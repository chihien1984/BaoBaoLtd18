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BaoBaoApp\quanlysaxuat\bin\Release\"/>
    </mc:Choice>
  </mc:AlternateContent>
  <bookViews>
    <workbookView xWindow="0" yWindow="1080" windowWidth="20490" windowHeight="6570" activeTab="1"/>
  </bookViews>
  <sheets>
    <sheet name="Sheet" sheetId="21" r:id="rId1"/>
    <sheet name="kehoach" sheetId="4" r:id="rId2"/>
  </sheets>
  <functionGroups builtInGroupCount="18"/>
  <definedNames>
    <definedName name="_xlnm._FilterDatabase" localSheetId="1" hidden="1">kehoach!$A$7:$AG$30</definedName>
    <definedName name="aq">#REF!</definedName>
    <definedName name="DH">#REF!</definedName>
    <definedName name="hiden">kehoach!$AP$1:$AP$2</definedName>
    <definedName name="mammam">#REF!</definedName>
    <definedName name="MBP">#REF!</definedName>
    <definedName name="MDH">#REF!</definedName>
    <definedName name="MDHSX">Sheet!$D$2:$D$5</definedName>
    <definedName name="NHANXET">#REF!</definedName>
    <definedName name="NHAP">#REF!</definedName>
    <definedName name="_xlnm.Print_Area" localSheetId="1">kehoach!$B$1:$AH$180</definedName>
    <definedName name="_xlnm.Print_Titles" localSheetId="1">kehoach!$2:$7</definedName>
    <definedName name="Z_6EB7BBAD_3452_4605_900C_6DE66425D2FF_.wvu.Cols" localSheetId="1" hidden="1">kehoach!$A:$A</definedName>
    <definedName name="Z_6EB7BBAD_3452_4605_900C_6DE66425D2FF_.wvu.FilterData" localSheetId="1" hidden="1">kehoach!$A$7:$AG$30</definedName>
    <definedName name="Z_6EB7BBAD_3452_4605_900C_6DE66425D2FF_.wvu.PrintArea" localSheetId="1" hidden="1">kehoach!$B$1:$AH$36</definedName>
    <definedName name="Z_E268F38E_0ADF_433A_B4A6_10EE55F57751_.wvu.Cols" localSheetId="1" hidden="1">kehoach!$K:$M,kehoach!$O:$Q,kehoach!$S:$U,kehoach!#REF!,kehoach!$AK:$AK</definedName>
    <definedName name="Z_E268F38E_0ADF_433A_B4A6_10EE55F57751_.wvu.FilterData" localSheetId="1" hidden="1">kehoach!$A$7:$AG$30</definedName>
    <definedName name="Z_E268F38E_0ADF_433A_B4A6_10EE55F57751_.wvu.PrintArea" localSheetId="1" hidden="1">kehoach!$B$1:$AH$36</definedName>
  </definedNames>
  <calcPr calcId="162913"/>
  <customWorkbookViews>
    <customWorkbookView name="NGUYEN CHI HIEN - Personal View" guid="{6EB7BBAD-3452-4605-900C-6DE66425D2FF}" mergeInterval="0" personalView="1" maximized="1" showSheetTabs="0" windowWidth="1362" windowHeight="706" tabRatio="531" activeSheetId="18" showFormulaBar="0"/>
    <customWorkbookView name="Administrator - Personal View" guid="{E268F38E-0ADF-433A-B4A6-10EE55F57751}" mergeInterval="0" personalView="1" maximized="1" showSheetTabs="0" windowWidth="1276" windowHeight="583" activeSheetId="2" showFormulaBar="0" showStatusbar="0"/>
  </customWorkbookViews>
</workbook>
</file>

<file path=xl/calcChain.xml><?xml version="1.0" encoding="utf-8"?>
<calcChain xmlns="http://schemas.openxmlformats.org/spreadsheetml/2006/main">
  <c r="B3" i="4" l="1"/>
  <c r="A8" i="4" l="1"/>
  <c r="A9" i="4" l="1"/>
  <c r="A10" i="4" s="1"/>
  <c r="E8" i="4"/>
  <c r="AH8" i="4"/>
  <c r="J8" i="4"/>
  <c r="B2" i="4"/>
  <c r="H3" i="4"/>
  <c r="F3" i="4"/>
  <c r="H8" i="4"/>
  <c r="F8" i="4"/>
  <c r="I8" i="4"/>
  <c r="M8" i="4"/>
  <c r="J4" i="4"/>
  <c r="AF8" i="4"/>
  <c r="AB8" i="4"/>
  <c r="X8" i="4"/>
  <c r="T8" i="4"/>
  <c r="O8" i="4"/>
  <c r="L8" i="4"/>
  <c r="AC8" i="4"/>
  <c r="Q8" i="4"/>
  <c r="AE8" i="4"/>
  <c r="AA8" i="4"/>
  <c r="W8" i="4"/>
  <c r="S8" i="4"/>
  <c r="N8" i="4"/>
  <c r="R8" i="4"/>
  <c r="U8" i="4"/>
  <c r="K8" i="4"/>
  <c r="AD8" i="4"/>
  <c r="Z8" i="4"/>
  <c r="V8" i="4"/>
  <c r="Y8" i="4"/>
  <c r="P8" i="4"/>
  <c r="G8" i="4"/>
  <c r="J5" i="4"/>
  <c r="C8" i="4"/>
  <c r="B1" i="4"/>
  <c r="CI8" i="4"/>
  <c r="BY8" i="4"/>
  <c r="BL8" i="4"/>
  <c r="BH8" i="4"/>
  <c r="BQ8" i="4"/>
  <c r="BO8" i="4"/>
  <c r="BT8" i="4"/>
  <c r="CC8" i="4"/>
  <c r="CB8" i="4"/>
  <c r="BK8" i="4"/>
  <c r="BS8" i="4"/>
  <c r="BM8" i="4"/>
  <c r="BJ8" i="4"/>
  <c r="BX8" i="4"/>
  <c r="BW8" i="4"/>
  <c r="CG8" i="4"/>
  <c r="CD8" i="4"/>
  <c r="CK8" i="4"/>
  <c r="CH8" i="4"/>
  <c r="CF8" i="4"/>
  <c r="CA8" i="4"/>
  <c r="BZ8" i="4"/>
  <c r="BN8" i="4"/>
  <c r="CJ8" i="4"/>
  <c r="BR8" i="4"/>
  <c r="CE8" i="4"/>
  <c r="BG8" i="4"/>
  <c r="BP8" i="4"/>
  <c r="BU8" i="4"/>
  <c r="BI8" i="4"/>
  <c r="E9" i="4" l="1"/>
  <c r="A11" i="4"/>
  <c r="E10" i="4"/>
  <c r="J9" i="4"/>
  <c r="AH9" i="4"/>
  <c r="H9" i="4"/>
  <c r="F9" i="4"/>
  <c r="I9" i="4"/>
  <c r="M9" i="4"/>
  <c r="C9" i="4"/>
  <c r="G9" i="4"/>
  <c r="K9" i="4"/>
  <c r="O9" i="4"/>
  <c r="S9" i="4"/>
  <c r="W9" i="4"/>
  <c r="AA9" i="4"/>
  <c r="AE9" i="4"/>
  <c r="L9" i="4"/>
  <c r="P9" i="4"/>
  <c r="T9" i="4"/>
  <c r="X9" i="4"/>
  <c r="AB9" i="4"/>
  <c r="AF9" i="4"/>
  <c r="Q9" i="4"/>
  <c r="U9" i="4"/>
  <c r="Y9" i="4"/>
  <c r="AC9" i="4"/>
  <c r="V9" i="4"/>
  <c r="Z9" i="4"/>
  <c r="N9" i="4"/>
  <c r="AD9" i="4"/>
  <c r="R9" i="4"/>
  <c r="CE9" i="4"/>
  <c r="BW9" i="4"/>
  <c r="CD9" i="4"/>
  <c r="CI9" i="4"/>
  <c r="BP9" i="4"/>
  <c r="BS9" i="4"/>
  <c r="BU9" i="4"/>
  <c r="CK9" i="4"/>
  <c r="BO9" i="4"/>
  <c r="CA9" i="4"/>
  <c r="CC9" i="4"/>
  <c r="BM9" i="4"/>
  <c r="BX9" i="4"/>
  <c r="BQ9" i="4"/>
  <c r="BZ9" i="4"/>
  <c r="CF9" i="4"/>
  <c r="BJ9" i="4"/>
  <c r="BK9" i="4"/>
  <c r="CJ9" i="4"/>
  <c r="BY9" i="4"/>
  <c r="BH9" i="4"/>
  <c r="BL9" i="4"/>
  <c r="BR9" i="4"/>
  <c r="BI9" i="4"/>
  <c r="BT9" i="4"/>
  <c r="CG9" i="4"/>
  <c r="BN9" i="4"/>
  <c r="BG9" i="4"/>
  <c r="CB9" i="4"/>
  <c r="CH9" i="4"/>
  <c r="A12" i="4" l="1"/>
  <c r="E11" i="4"/>
  <c r="J10" i="4"/>
  <c r="AH10" i="4"/>
  <c r="H10" i="4"/>
  <c r="F10" i="4"/>
  <c r="I10" i="4"/>
  <c r="M10" i="4"/>
  <c r="C10" i="4"/>
  <c r="G10" i="4"/>
  <c r="K10" i="4"/>
  <c r="O10" i="4"/>
  <c r="S10" i="4"/>
  <c r="W10" i="4"/>
  <c r="AA10" i="4"/>
  <c r="AE10" i="4"/>
  <c r="L10" i="4"/>
  <c r="P10" i="4"/>
  <c r="T10" i="4"/>
  <c r="X10" i="4"/>
  <c r="AB10" i="4"/>
  <c r="AF10" i="4"/>
  <c r="Q10" i="4"/>
  <c r="U10" i="4"/>
  <c r="Y10" i="4"/>
  <c r="AC10" i="4"/>
  <c r="V10" i="4"/>
  <c r="Z10" i="4"/>
  <c r="N10" i="4"/>
  <c r="AD10" i="4"/>
  <c r="R10" i="4"/>
  <c r="BR10" i="4"/>
  <c r="CD10" i="4"/>
  <c r="BZ10" i="4"/>
  <c r="BN10" i="4"/>
  <c r="BL10" i="4"/>
  <c r="CG10" i="4"/>
  <c r="CJ10" i="4"/>
  <c r="BJ10" i="4"/>
  <c r="CK10" i="4"/>
  <c r="BH10" i="4"/>
  <c r="BI10" i="4"/>
  <c r="CC10" i="4"/>
  <c r="BU10" i="4"/>
  <c r="BO10" i="4"/>
  <c r="CA10" i="4"/>
  <c r="CH10" i="4"/>
  <c r="BT10" i="4"/>
  <c r="CI10" i="4"/>
  <c r="BY10" i="4"/>
  <c r="BM10" i="4"/>
  <c r="CF10" i="4"/>
  <c r="CB10" i="4"/>
  <c r="BQ10" i="4"/>
  <c r="BG10" i="4"/>
  <c r="BX10" i="4"/>
  <c r="CE10" i="4"/>
  <c r="BW10" i="4"/>
  <c r="BP10" i="4"/>
  <c r="BS10" i="4"/>
  <c r="BK10" i="4"/>
  <c r="A13" i="4" l="1"/>
  <c r="E12" i="4"/>
  <c r="J11" i="4"/>
  <c r="AH11" i="4"/>
  <c r="H11" i="4"/>
  <c r="F11" i="4"/>
  <c r="I11" i="4"/>
  <c r="C11" i="4"/>
  <c r="G11" i="4"/>
  <c r="K11" i="4"/>
  <c r="M11" i="4"/>
  <c r="O11" i="4"/>
  <c r="Q11" i="4"/>
  <c r="S11" i="4"/>
  <c r="U11" i="4"/>
  <c r="W11" i="4"/>
  <c r="Y11" i="4"/>
  <c r="AA11" i="4"/>
  <c r="AC11" i="4"/>
  <c r="AE11" i="4"/>
  <c r="L11" i="4"/>
  <c r="N11" i="4"/>
  <c r="P11" i="4"/>
  <c r="R11" i="4"/>
  <c r="T11" i="4"/>
  <c r="V11" i="4"/>
  <c r="X11" i="4"/>
  <c r="Z11" i="4"/>
  <c r="AB11" i="4"/>
  <c r="AD11" i="4"/>
  <c r="AF11" i="4"/>
  <c r="CC11" i="4"/>
  <c r="BT11" i="4"/>
  <c r="CG11" i="4"/>
  <c r="CD11" i="4"/>
  <c r="BY11" i="4"/>
  <c r="BI11" i="4"/>
  <c r="BM11" i="4"/>
  <c r="CF11" i="4"/>
  <c r="BQ11" i="4"/>
  <c r="CK11" i="4"/>
  <c r="CI11" i="4"/>
  <c r="CA11" i="4"/>
  <c r="BG11" i="4"/>
  <c r="BO11" i="4"/>
  <c r="BU11" i="4"/>
  <c r="CJ11" i="4"/>
  <c r="BP11" i="4"/>
  <c r="BJ11" i="4"/>
  <c r="BR11" i="4"/>
  <c r="BK11" i="4"/>
  <c r="BX11" i="4"/>
  <c r="BS11" i="4"/>
  <c r="BN11" i="4"/>
  <c r="BW11" i="4"/>
  <c r="BZ11" i="4"/>
  <c r="CE11" i="4"/>
  <c r="BH11" i="4"/>
  <c r="BL11" i="4"/>
  <c r="CH11" i="4"/>
  <c r="CB11" i="4"/>
  <c r="A14" i="4" l="1"/>
  <c r="E13" i="4"/>
  <c r="J12" i="4"/>
  <c r="AH12" i="4"/>
  <c r="H12" i="4"/>
  <c r="F12" i="4"/>
  <c r="I12" i="4"/>
  <c r="M12" i="4"/>
  <c r="C12" i="4"/>
  <c r="G12" i="4"/>
  <c r="K12" i="4"/>
  <c r="O12" i="4"/>
  <c r="S12" i="4"/>
  <c r="W12" i="4"/>
  <c r="AA12" i="4"/>
  <c r="AE12" i="4"/>
  <c r="L12" i="4"/>
  <c r="P12" i="4"/>
  <c r="T12" i="4"/>
  <c r="X12" i="4"/>
  <c r="AB12" i="4"/>
  <c r="AF12" i="4"/>
  <c r="Q12" i="4"/>
  <c r="U12" i="4"/>
  <c r="Y12" i="4"/>
  <c r="AC12" i="4"/>
  <c r="V12" i="4"/>
  <c r="Z12" i="4"/>
  <c r="N12" i="4"/>
  <c r="AD12" i="4"/>
  <c r="R12" i="4"/>
  <c r="BR12" i="4"/>
  <c r="CH12" i="4"/>
  <c r="BU12" i="4"/>
  <c r="CC12" i="4"/>
  <c r="BL12" i="4"/>
  <c r="CG12" i="4"/>
  <c r="BM12" i="4"/>
  <c r="BY12" i="4"/>
  <c r="CK12" i="4"/>
  <c r="BP12" i="4"/>
  <c r="BH12" i="4"/>
  <c r="CE12" i="4"/>
  <c r="BX12" i="4"/>
  <c r="BO12" i="4"/>
  <c r="BT12" i="4"/>
  <c r="BI12" i="4"/>
  <c r="CJ12" i="4"/>
  <c r="BN12" i="4"/>
  <c r="CF12" i="4"/>
  <c r="BK12" i="4"/>
  <c r="BG12" i="4"/>
  <c r="CD12" i="4"/>
  <c r="BZ12" i="4"/>
  <c r="BS12" i="4"/>
  <c r="BW12" i="4"/>
  <c r="CA12" i="4"/>
  <c r="BJ12" i="4"/>
  <c r="CB12" i="4"/>
  <c r="BQ12" i="4"/>
  <c r="CI12" i="4"/>
  <c r="A15" i="4" l="1"/>
  <c r="E14" i="4"/>
  <c r="J13" i="4"/>
  <c r="AH13" i="4"/>
  <c r="H13" i="4"/>
  <c r="F13" i="4"/>
  <c r="I13" i="4"/>
  <c r="M13" i="4"/>
  <c r="C13" i="4"/>
  <c r="G13" i="4"/>
  <c r="K13" i="4"/>
  <c r="O13" i="4"/>
  <c r="S13" i="4"/>
  <c r="W13" i="4"/>
  <c r="AA13" i="4"/>
  <c r="AE13" i="4"/>
  <c r="L13" i="4"/>
  <c r="P13" i="4"/>
  <c r="T13" i="4"/>
  <c r="X13" i="4"/>
  <c r="AB13" i="4"/>
  <c r="AF13" i="4"/>
  <c r="Q13" i="4"/>
  <c r="U13" i="4"/>
  <c r="Y13" i="4"/>
  <c r="AC13" i="4"/>
  <c r="V13" i="4"/>
  <c r="Z13" i="4"/>
  <c r="N13" i="4"/>
  <c r="AD13" i="4"/>
  <c r="R13" i="4"/>
  <c r="BR13" i="4"/>
  <c r="BZ13" i="4"/>
  <c r="CK13" i="4"/>
  <c r="CD13" i="4"/>
  <c r="BY13" i="4"/>
  <c r="CC13" i="4"/>
  <c r="BJ13" i="4"/>
  <c r="CA13" i="4"/>
  <c r="BL13" i="4"/>
  <c r="CI13" i="4"/>
  <c r="BI13" i="4"/>
  <c r="BG13" i="4"/>
  <c r="BP13" i="4"/>
  <c r="BW13" i="4"/>
  <c r="BN13" i="4"/>
  <c r="BM13" i="4"/>
  <c r="BQ13" i="4"/>
  <c r="BU13" i="4"/>
  <c r="BK13" i="4"/>
  <c r="CB13" i="4"/>
  <c r="CJ13" i="4"/>
  <c r="BX13" i="4"/>
  <c r="CF13" i="4"/>
  <c r="BH13" i="4"/>
  <c r="BO13" i="4"/>
  <c r="CG13" i="4"/>
  <c r="BT13" i="4"/>
  <c r="BS13" i="4"/>
  <c r="CE13" i="4"/>
  <c r="CH13" i="4"/>
  <c r="A16" i="4" l="1"/>
  <c r="E15" i="4"/>
  <c r="J14" i="4"/>
  <c r="AH14" i="4"/>
  <c r="H14" i="4"/>
  <c r="F14" i="4"/>
  <c r="I14" i="4"/>
  <c r="M14" i="4"/>
  <c r="C14" i="4"/>
  <c r="G14" i="4"/>
  <c r="K14" i="4"/>
  <c r="O14" i="4"/>
  <c r="S14" i="4"/>
  <c r="W14" i="4"/>
  <c r="AA14" i="4"/>
  <c r="AE14" i="4"/>
  <c r="L14" i="4"/>
  <c r="P14" i="4"/>
  <c r="T14" i="4"/>
  <c r="X14" i="4"/>
  <c r="AB14" i="4"/>
  <c r="AF14" i="4"/>
  <c r="Q14" i="4"/>
  <c r="U14" i="4"/>
  <c r="Y14" i="4"/>
  <c r="AC14" i="4"/>
  <c r="V14" i="4"/>
  <c r="Z14" i="4"/>
  <c r="N14" i="4"/>
  <c r="AD14" i="4"/>
  <c r="R14" i="4"/>
  <c r="CJ14" i="4"/>
  <c r="CC14" i="4"/>
  <c r="CF14" i="4"/>
  <c r="BO14" i="4"/>
  <c r="CD14" i="4"/>
  <c r="CB14" i="4"/>
  <c r="CA14" i="4"/>
  <c r="CH14" i="4"/>
  <c r="BR14" i="4"/>
  <c r="BS14" i="4"/>
  <c r="BN14" i="4"/>
  <c r="BH14" i="4"/>
  <c r="CE14" i="4"/>
  <c r="BG14" i="4"/>
  <c r="CK14" i="4"/>
  <c r="CI14" i="4"/>
  <c r="BY14" i="4"/>
  <c r="BW14" i="4"/>
  <c r="BM14" i="4"/>
  <c r="BQ14" i="4"/>
  <c r="BT14" i="4"/>
  <c r="BI14" i="4"/>
  <c r="BZ14" i="4"/>
  <c r="BJ14" i="4"/>
  <c r="BU14" i="4"/>
  <c r="CG14" i="4"/>
  <c r="BK14" i="4"/>
  <c r="BP14" i="4"/>
  <c r="BX14" i="4"/>
  <c r="BL14" i="4"/>
  <c r="A17" i="4" l="1"/>
  <c r="E16" i="4"/>
  <c r="J15" i="4"/>
  <c r="AH15" i="4"/>
  <c r="H15" i="4"/>
  <c r="F15" i="4"/>
  <c r="I15" i="4"/>
  <c r="M15" i="4"/>
  <c r="C15" i="4"/>
  <c r="G15" i="4"/>
  <c r="K15" i="4"/>
  <c r="O15" i="4"/>
  <c r="S15" i="4"/>
  <c r="W15" i="4"/>
  <c r="AA15" i="4"/>
  <c r="AE15" i="4"/>
  <c r="L15" i="4"/>
  <c r="P15" i="4"/>
  <c r="T15" i="4"/>
  <c r="X15" i="4"/>
  <c r="AB15" i="4"/>
  <c r="AF15" i="4"/>
  <c r="Q15" i="4"/>
  <c r="U15" i="4"/>
  <c r="Y15" i="4"/>
  <c r="AC15" i="4"/>
  <c r="V15" i="4"/>
  <c r="Z15" i="4"/>
  <c r="N15" i="4"/>
  <c r="AD15" i="4"/>
  <c r="R15" i="4"/>
  <c r="CD15" i="4"/>
  <c r="CE15" i="4"/>
  <c r="BM15" i="4"/>
  <c r="BU15" i="4"/>
  <c r="BH15" i="4"/>
  <c r="CI15" i="4"/>
  <c r="BT15" i="4"/>
  <c r="CH15" i="4"/>
  <c r="BO15" i="4"/>
  <c r="BK15" i="4"/>
  <c r="CG15" i="4"/>
  <c r="BQ15" i="4"/>
  <c r="BG15" i="4"/>
  <c r="CB15" i="4"/>
  <c r="BN15" i="4"/>
  <c r="CC15" i="4"/>
  <c r="BJ15" i="4"/>
  <c r="BL15" i="4"/>
  <c r="CJ15" i="4"/>
  <c r="CK15" i="4"/>
  <c r="BW15" i="4"/>
  <c r="BS15" i="4"/>
  <c r="BZ15" i="4"/>
  <c r="BY15" i="4"/>
  <c r="CF15" i="4"/>
  <c r="BI15" i="4"/>
  <c r="BR15" i="4"/>
  <c r="CA15" i="4"/>
  <c r="BX15" i="4"/>
  <c r="BP15" i="4"/>
  <c r="A18" i="4" l="1"/>
  <c r="E17" i="4"/>
  <c r="J16" i="4"/>
  <c r="AH16" i="4"/>
  <c r="H16" i="4"/>
  <c r="F16" i="4"/>
  <c r="I16" i="4"/>
  <c r="M16" i="4"/>
  <c r="C16" i="4"/>
  <c r="G16" i="4"/>
  <c r="K16" i="4"/>
  <c r="O16" i="4"/>
  <c r="S16" i="4"/>
  <c r="W16" i="4"/>
  <c r="AA16" i="4"/>
  <c r="AE16" i="4"/>
  <c r="L16" i="4"/>
  <c r="Q16" i="4"/>
  <c r="U16" i="4"/>
  <c r="Y16" i="4"/>
  <c r="AC16" i="4"/>
  <c r="R16" i="4"/>
  <c r="Z16" i="4"/>
  <c r="T16" i="4"/>
  <c r="AB16" i="4"/>
  <c r="N16" i="4"/>
  <c r="V16" i="4"/>
  <c r="AD16" i="4"/>
  <c r="AF16" i="4"/>
  <c r="P16" i="4"/>
  <c r="X16" i="4"/>
  <c r="BG16" i="4"/>
  <c r="CA16" i="4"/>
  <c r="CK16" i="4"/>
  <c r="CJ16" i="4"/>
  <c r="BP16" i="4"/>
  <c r="BL16" i="4"/>
  <c r="BM16" i="4"/>
  <c r="BR16" i="4"/>
  <c r="BX16" i="4"/>
  <c r="CG16" i="4"/>
  <c r="CE16" i="4"/>
  <c r="BN16" i="4"/>
  <c r="CF16" i="4"/>
  <c r="CB16" i="4"/>
  <c r="BJ16" i="4"/>
  <c r="BT16" i="4"/>
  <c r="BW16" i="4"/>
  <c r="BQ16" i="4"/>
  <c r="BI16" i="4"/>
  <c r="CI16" i="4"/>
  <c r="BS16" i="4"/>
  <c r="CH16" i="4"/>
  <c r="BH16" i="4"/>
  <c r="CD16" i="4"/>
  <c r="BY16" i="4"/>
  <c r="BO16" i="4"/>
  <c r="BU16" i="4"/>
  <c r="BZ16" i="4"/>
  <c r="BK16" i="4"/>
  <c r="CC16" i="4"/>
  <c r="A19" i="4" l="1"/>
  <c r="E18" i="4"/>
  <c r="J17" i="4"/>
  <c r="AH17" i="4"/>
  <c r="I17" i="4"/>
  <c r="H17" i="4"/>
  <c r="F17" i="4"/>
  <c r="M17" i="4"/>
  <c r="C17" i="4"/>
  <c r="G17" i="4"/>
  <c r="K17" i="4"/>
  <c r="O17" i="4"/>
  <c r="S17" i="4"/>
  <c r="W17" i="4"/>
  <c r="AA17" i="4"/>
  <c r="AE17" i="4"/>
  <c r="Q17" i="4"/>
  <c r="U17" i="4"/>
  <c r="Y17" i="4"/>
  <c r="AC17" i="4"/>
  <c r="R17" i="4"/>
  <c r="Z17" i="4"/>
  <c r="L17" i="4"/>
  <c r="T17" i="4"/>
  <c r="AB17" i="4"/>
  <c r="N17" i="4"/>
  <c r="V17" i="4"/>
  <c r="AD17" i="4"/>
  <c r="AF17" i="4"/>
  <c r="P17" i="4"/>
  <c r="X17" i="4"/>
  <c r="BM17" i="4"/>
  <c r="BU17" i="4"/>
  <c r="CH17" i="4"/>
  <c r="BH17" i="4"/>
  <c r="BX17" i="4"/>
  <c r="BJ17" i="4"/>
  <c r="CG17" i="4"/>
  <c r="BK17" i="4"/>
  <c r="CB17" i="4"/>
  <c r="CA17" i="4"/>
  <c r="BR17" i="4"/>
  <c r="CK17" i="4"/>
  <c r="BS17" i="4"/>
  <c r="BL17" i="4"/>
  <c r="BN17" i="4"/>
  <c r="CI17" i="4"/>
  <c r="CC17" i="4"/>
  <c r="BZ17" i="4"/>
  <c r="BO17" i="4"/>
  <c r="BQ17" i="4"/>
  <c r="CD17" i="4"/>
  <c r="BW17" i="4"/>
  <c r="CF17" i="4"/>
  <c r="CE17" i="4"/>
  <c r="BT17" i="4"/>
  <c r="CJ17" i="4"/>
  <c r="BY17" i="4"/>
  <c r="BG17" i="4"/>
  <c r="BI17" i="4"/>
  <c r="BP17" i="4"/>
  <c r="A20" i="4" l="1"/>
  <c r="E19" i="4"/>
  <c r="J18" i="4"/>
  <c r="AH18" i="4"/>
  <c r="H18" i="4"/>
  <c r="F18" i="4"/>
  <c r="I18" i="4"/>
  <c r="M18" i="4"/>
  <c r="C18" i="4"/>
  <c r="G18" i="4"/>
  <c r="K18" i="4"/>
  <c r="O18" i="4"/>
  <c r="S18" i="4"/>
  <c r="W18" i="4"/>
  <c r="AA18" i="4"/>
  <c r="AE18" i="4"/>
  <c r="Q18" i="4"/>
  <c r="U18" i="4"/>
  <c r="Y18" i="4"/>
  <c r="AC18" i="4"/>
  <c r="R18" i="4"/>
  <c r="Z18" i="4"/>
  <c r="L18" i="4"/>
  <c r="T18" i="4"/>
  <c r="AB18" i="4"/>
  <c r="N18" i="4"/>
  <c r="V18" i="4"/>
  <c r="AD18" i="4"/>
  <c r="AF18" i="4"/>
  <c r="P18" i="4"/>
  <c r="X18" i="4"/>
  <c r="CH18" i="4"/>
  <c r="BZ18" i="4"/>
  <c r="BL18" i="4"/>
  <c r="BQ18" i="4"/>
  <c r="BW18" i="4"/>
  <c r="BN18" i="4"/>
  <c r="CK18" i="4"/>
  <c r="BJ18" i="4"/>
  <c r="CJ18" i="4"/>
  <c r="BS18" i="4"/>
  <c r="CB18" i="4"/>
  <c r="BK18" i="4"/>
  <c r="BH18" i="4"/>
  <c r="BG18" i="4"/>
  <c r="BT18" i="4"/>
  <c r="BR18" i="4"/>
  <c r="BU18" i="4"/>
  <c r="BO18" i="4"/>
  <c r="CI18" i="4"/>
  <c r="BY18" i="4"/>
  <c r="BM18" i="4"/>
  <c r="CC18" i="4"/>
  <c r="BI18" i="4"/>
  <c r="BP18" i="4"/>
  <c r="CA18" i="4"/>
  <c r="CD18" i="4"/>
  <c r="BX18" i="4"/>
  <c r="CE18" i="4"/>
  <c r="CF18" i="4"/>
  <c r="CG18" i="4"/>
  <c r="A21" i="4" l="1"/>
  <c r="E20" i="4"/>
  <c r="J19" i="4"/>
  <c r="AH19" i="4"/>
  <c r="H19" i="4"/>
  <c r="F19" i="4"/>
  <c r="I19" i="4"/>
  <c r="M19" i="4"/>
  <c r="C19" i="4"/>
  <c r="G19" i="4"/>
  <c r="K19" i="4"/>
  <c r="O19" i="4"/>
  <c r="S19" i="4"/>
  <c r="Q19" i="4"/>
  <c r="R19" i="4"/>
  <c r="W19" i="4"/>
  <c r="AA19" i="4"/>
  <c r="AE19" i="4"/>
  <c r="L19" i="4"/>
  <c r="T19" i="4"/>
  <c r="X19" i="4"/>
  <c r="AB19" i="4"/>
  <c r="AF19" i="4"/>
  <c r="N19" i="4"/>
  <c r="U19" i="4"/>
  <c r="Y19" i="4"/>
  <c r="AC19" i="4"/>
  <c r="Z19" i="4"/>
  <c r="AD19" i="4"/>
  <c r="P19" i="4"/>
  <c r="V19" i="4"/>
  <c r="CJ19" i="4"/>
  <c r="BS19" i="4"/>
  <c r="BZ19" i="4"/>
  <c r="CB19" i="4"/>
  <c r="BI19" i="4"/>
  <c r="CF19" i="4"/>
  <c r="BQ19" i="4"/>
  <c r="BK19" i="4"/>
  <c r="CH19" i="4"/>
  <c r="CD19" i="4"/>
  <c r="BW19" i="4"/>
  <c r="BJ19" i="4"/>
  <c r="BY19" i="4"/>
  <c r="CA19" i="4"/>
  <c r="BT19" i="4"/>
  <c r="BM19" i="4"/>
  <c r="BG19" i="4"/>
  <c r="BU19" i="4"/>
  <c r="BN19" i="4"/>
  <c r="CE19" i="4"/>
  <c r="BP19" i="4"/>
  <c r="CG19" i="4"/>
  <c r="CK19" i="4"/>
  <c r="BX19" i="4"/>
  <c r="CC19" i="4"/>
  <c r="BH19" i="4"/>
  <c r="BO19" i="4"/>
  <c r="CI19" i="4"/>
  <c r="BR19" i="4"/>
  <c r="BL19" i="4"/>
  <c r="A22" i="4" l="1"/>
  <c r="E21" i="4"/>
  <c r="J20" i="4"/>
  <c r="AH20" i="4"/>
  <c r="H20" i="4"/>
  <c r="F20" i="4"/>
  <c r="I20" i="4"/>
  <c r="M20" i="4"/>
  <c r="C20" i="4"/>
  <c r="G20" i="4"/>
  <c r="K20" i="4"/>
  <c r="O20" i="4"/>
  <c r="S20" i="4"/>
  <c r="W20" i="4"/>
  <c r="AA20" i="4"/>
  <c r="AE20" i="4"/>
  <c r="L20" i="4"/>
  <c r="P20" i="4"/>
  <c r="T20" i="4"/>
  <c r="X20" i="4"/>
  <c r="AB20" i="4"/>
  <c r="AF20" i="4"/>
  <c r="Q20" i="4"/>
  <c r="U20" i="4"/>
  <c r="Y20" i="4"/>
  <c r="AC20" i="4"/>
  <c r="Z20" i="4"/>
  <c r="N20" i="4"/>
  <c r="AD20" i="4"/>
  <c r="R20" i="4"/>
  <c r="V20" i="4"/>
  <c r="BO20" i="4"/>
  <c r="CA20" i="4"/>
  <c r="CJ20" i="4"/>
  <c r="BG20" i="4"/>
  <c r="BJ20" i="4"/>
  <c r="CC20" i="4"/>
  <c r="CI20" i="4"/>
  <c r="CK20" i="4"/>
  <c r="BX20" i="4"/>
  <c r="CD20" i="4"/>
  <c r="CE20" i="4"/>
  <c r="CF20" i="4"/>
  <c r="BS20" i="4"/>
  <c r="BP20" i="4"/>
  <c r="BN20" i="4"/>
  <c r="BU20" i="4"/>
  <c r="BY20" i="4"/>
  <c r="BQ20" i="4"/>
  <c r="BZ20" i="4"/>
  <c r="CG20" i="4"/>
  <c r="BL20" i="4"/>
  <c r="CB20" i="4"/>
  <c r="BM20" i="4"/>
  <c r="BR20" i="4"/>
  <c r="BK20" i="4"/>
  <c r="BW20" i="4"/>
  <c r="BH20" i="4"/>
  <c r="BT20" i="4"/>
  <c r="BI20" i="4"/>
  <c r="CH20" i="4"/>
  <c r="A23" i="4" l="1"/>
  <c r="E22" i="4"/>
  <c r="J21" i="4"/>
  <c r="AH21" i="4"/>
  <c r="H21" i="4"/>
  <c r="F21" i="4"/>
  <c r="I21" i="4"/>
  <c r="M21" i="4"/>
  <c r="C21" i="4"/>
  <c r="G21" i="4"/>
  <c r="K21" i="4"/>
  <c r="O21" i="4"/>
  <c r="S21" i="4"/>
  <c r="W21" i="4"/>
  <c r="AA21" i="4"/>
  <c r="AE21" i="4"/>
  <c r="L21" i="4"/>
  <c r="P21" i="4"/>
  <c r="T21" i="4"/>
  <c r="X21" i="4"/>
  <c r="AB21" i="4"/>
  <c r="AF21" i="4"/>
  <c r="Q21" i="4"/>
  <c r="U21" i="4"/>
  <c r="Y21" i="4"/>
  <c r="AC21" i="4"/>
  <c r="Z21" i="4"/>
  <c r="N21" i="4"/>
  <c r="AD21" i="4"/>
  <c r="R21" i="4"/>
  <c r="V21" i="4"/>
  <c r="CI21" i="4"/>
  <c r="CD21" i="4"/>
  <c r="BH21" i="4"/>
  <c r="BK21" i="4"/>
  <c r="BP21" i="4"/>
  <c r="BQ21" i="4"/>
  <c r="CF21" i="4"/>
  <c r="BJ21" i="4"/>
  <c r="BT21" i="4"/>
  <c r="BM21" i="4"/>
  <c r="BY21" i="4"/>
  <c r="CG21" i="4"/>
  <c r="CK21" i="4"/>
  <c r="BU21" i="4"/>
  <c r="CB21" i="4"/>
  <c r="BN21" i="4"/>
  <c r="CE21" i="4"/>
  <c r="BZ21" i="4"/>
  <c r="BW21" i="4"/>
  <c r="CC21" i="4"/>
  <c r="BR21" i="4"/>
  <c r="BX21" i="4"/>
  <c r="BS21" i="4"/>
  <c r="BL21" i="4"/>
  <c r="BG21" i="4"/>
  <c r="BO21" i="4"/>
  <c r="CJ21" i="4"/>
  <c r="CH21" i="4"/>
  <c r="BI21" i="4"/>
  <c r="CA21" i="4"/>
  <c r="A24" i="4" l="1"/>
  <c r="E23" i="4"/>
  <c r="J22" i="4"/>
  <c r="AH22" i="4"/>
  <c r="H22" i="4"/>
  <c r="F22" i="4"/>
  <c r="I22" i="4"/>
  <c r="M22" i="4"/>
  <c r="C22" i="4"/>
  <c r="G22" i="4"/>
  <c r="K22" i="4"/>
  <c r="O22" i="4"/>
  <c r="S22" i="4"/>
  <c r="W22" i="4"/>
  <c r="AA22" i="4"/>
  <c r="AE22" i="4"/>
  <c r="L22" i="4"/>
  <c r="P22" i="4"/>
  <c r="T22" i="4"/>
  <c r="X22" i="4"/>
  <c r="AB22" i="4"/>
  <c r="AF22" i="4"/>
  <c r="Q22" i="4"/>
  <c r="U22" i="4"/>
  <c r="Y22" i="4"/>
  <c r="AC22" i="4"/>
  <c r="Z22" i="4"/>
  <c r="N22" i="4"/>
  <c r="AD22" i="4"/>
  <c r="R22" i="4"/>
  <c r="V22" i="4"/>
  <c r="BO22" i="4"/>
  <c r="CC22" i="4"/>
  <c r="BM22" i="4"/>
  <c r="BI22" i="4"/>
  <c r="BJ22" i="4"/>
  <c r="BQ22" i="4"/>
  <c r="CA22" i="4"/>
  <c r="BS22" i="4"/>
  <c r="CI22" i="4"/>
  <c r="CK22" i="4"/>
  <c r="BT22" i="4"/>
  <c r="BW22" i="4"/>
  <c r="BL22" i="4"/>
  <c r="BR22" i="4"/>
  <c r="CG22" i="4"/>
  <c r="BH22" i="4"/>
  <c r="BZ22" i="4"/>
  <c r="CE22" i="4"/>
  <c r="BG22" i="4"/>
  <c r="CJ22" i="4"/>
  <c r="CD22" i="4"/>
  <c r="BY22" i="4"/>
  <c r="BK22" i="4"/>
  <c r="CB22" i="4"/>
  <c r="CF22" i="4"/>
  <c r="BN22" i="4"/>
  <c r="BP22" i="4"/>
  <c r="BX22" i="4"/>
  <c r="CH22" i="4"/>
  <c r="BU22" i="4"/>
  <c r="A25" i="4" l="1"/>
  <c r="E24" i="4"/>
  <c r="J23" i="4"/>
  <c r="AH23" i="4"/>
  <c r="H23" i="4"/>
  <c r="F23" i="4"/>
  <c r="I23" i="4"/>
  <c r="M23" i="4"/>
  <c r="C23" i="4"/>
  <c r="G23" i="4"/>
  <c r="K23" i="4"/>
  <c r="O23" i="4"/>
  <c r="S23" i="4"/>
  <c r="W23" i="4"/>
  <c r="AA23" i="4"/>
  <c r="AE23" i="4"/>
  <c r="L23" i="4"/>
  <c r="P23" i="4"/>
  <c r="T23" i="4"/>
  <c r="X23" i="4"/>
  <c r="AB23" i="4"/>
  <c r="AF23" i="4"/>
  <c r="Q23" i="4"/>
  <c r="U23" i="4"/>
  <c r="Y23" i="4"/>
  <c r="AC23" i="4"/>
  <c r="Z23" i="4"/>
  <c r="N23" i="4"/>
  <c r="AD23" i="4"/>
  <c r="R23" i="4"/>
  <c r="V23" i="4"/>
  <c r="BR23" i="4"/>
  <c r="BM23" i="4"/>
  <c r="BH23" i="4"/>
  <c r="CE23" i="4"/>
  <c r="BQ23" i="4"/>
  <c r="CH23" i="4"/>
  <c r="BN23" i="4"/>
  <c r="BS23" i="4"/>
  <c r="BX23" i="4"/>
  <c r="CI23" i="4"/>
  <c r="CG23" i="4"/>
  <c r="BO23" i="4"/>
  <c r="BG23" i="4"/>
  <c r="CF23" i="4"/>
  <c r="BU23" i="4"/>
  <c r="CA23" i="4"/>
  <c r="BL23" i="4"/>
  <c r="BW23" i="4"/>
  <c r="BP23" i="4"/>
  <c r="CB23" i="4"/>
  <c r="CK23" i="4"/>
  <c r="CC23" i="4"/>
  <c r="BY23" i="4"/>
  <c r="CD23" i="4"/>
  <c r="BT23" i="4"/>
  <c r="BI23" i="4"/>
  <c r="BZ23" i="4"/>
  <c r="BK23" i="4"/>
  <c r="CJ23" i="4"/>
  <c r="BJ23" i="4"/>
  <c r="A26" i="4" l="1"/>
  <c r="E25" i="4"/>
  <c r="J24" i="4"/>
  <c r="AH24" i="4"/>
  <c r="H24" i="4"/>
  <c r="F24" i="4"/>
  <c r="I24" i="4"/>
  <c r="M24" i="4"/>
  <c r="C24" i="4"/>
  <c r="G24" i="4"/>
  <c r="K24" i="4"/>
  <c r="O24" i="4"/>
  <c r="S24" i="4"/>
  <c r="W24" i="4"/>
  <c r="AA24" i="4"/>
  <c r="AE24" i="4"/>
  <c r="L24" i="4"/>
  <c r="P24" i="4"/>
  <c r="T24" i="4"/>
  <c r="X24" i="4"/>
  <c r="AB24" i="4"/>
  <c r="AF24" i="4"/>
  <c r="Q24" i="4"/>
  <c r="U24" i="4"/>
  <c r="Y24" i="4"/>
  <c r="AC24" i="4"/>
  <c r="Z24" i="4"/>
  <c r="N24" i="4"/>
  <c r="AD24" i="4"/>
  <c r="R24" i="4"/>
  <c r="V24" i="4"/>
  <c r="BZ24" i="4"/>
  <c r="CF24" i="4"/>
  <c r="BJ24" i="4"/>
  <c r="BX24" i="4"/>
  <c r="BR24" i="4"/>
  <c r="BH24" i="4"/>
  <c r="CH24" i="4"/>
  <c r="BK24" i="4"/>
  <c r="CC24" i="4"/>
  <c r="BY24" i="4"/>
  <c r="CK24" i="4"/>
  <c r="CG24" i="4"/>
  <c r="BG24" i="4"/>
  <c r="CJ24" i="4"/>
  <c r="CD24" i="4"/>
  <c r="CB24" i="4"/>
  <c r="CI24" i="4"/>
  <c r="CA24" i="4"/>
  <c r="BU24" i="4"/>
  <c r="BL24" i="4"/>
  <c r="BP24" i="4"/>
  <c r="BI24" i="4"/>
  <c r="BO24" i="4"/>
  <c r="BN24" i="4"/>
  <c r="BS24" i="4"/>
  <c r="BW24" i="4"/>
  <c r="CE24" i="4"/>
  <c r="BM24" i="4"/>
  <c r="BQ24" i="4"/>
  <c r="BT24" i="4"/>
  <c r="A27" i="4" l="1"/>
  <c r="E26" i="4"/>
  <c r="J25" i="4"/>
  <c r="AH25" i="4"/>
  <c r="H25" i="4"/>
  <c r="F25" i="4"/>
  <c r="I25" i="4"/>
  <c r="M25" i="4"/>
  <c r="C25" i="4"/>
  <c r="G25" i="4"/>
  <c r="K25" i="4"/>
  <c r="O25" i="4"/>
  <c r="S25" i="4"/>
  <c r="W25" i="4"/>
  <c r="AA25" i="4"/>
  <c r="AE25" i="4"/>
  <c r="L25" i="4"/>
  <c r="P25" i="4"/>
  <c r="T25" i="4"/>
  <c r="X25" i="4"/>
  <c r="AB25" i="4"/>
  <c r="AF25" i="4"/>
  <c r="Q25" i="4"/>
  <c r="U25" i="4"/>
  <c r="Y25" i="4"/>
  <c r="AC25" i="4"/>
  <c r="Z25" i="4"/>
  <c r="N25" i="4"/>
  <c r="AD25" i="4"/>
  <c r="R25" i="4"/>
  <c r="V25" i="4"/>
  <c r="BL25" i="4"/>
  <c r="BX25" i="4"/>
  <c r="BN25" i="4"/>
  <c r="CE25" i="4"/>
  <c r="CJ25" i="4"/>
  <c r="BI25" i="4"/>
  <c r="BM25" i="4"/>
  <c r="CD25" i="4"/>
  <c r="CI25" i="4"/>
  <c r="BJ25" i="4"/>
  <c r="BR25" i="4"/>
  <c r="BH25" i="4"/>
  <c r="BS25" i="4"/>
  <c r="BW25" i="4"/>
  <c r="CB25" i="4"/>
  <c r="BK25" i="4"/>
  <c r="BP25" i="4"/>
  <c r="CA25" i="4"/>
  <c r="BZ25" i="4"/>
  <c r="CK25" i="4"/>
  <c r="CG25" i="4"/>
  <c r="BT25" i="4"/>
  <c r="CH25" i="4"/>
  <c r="BQ25" i="4"/>
  <c r="BO25" i="4"/>
  <c r="BY25" i="4"/>
  <c r="BG25" i="4"/>
  <c r="CC25" i="4"/>
  <c r="BU25" i="4"/>
  <c r="CF25" i="4"/>
  <c r="A28" i="4" l="1"/>
  <c r="E27" i="4"/>
  <c r="J26" i="4"/>
  <c r="AH26" i="4"/>
  <c r="H26" i="4"/>
  <c r="F26" i="4"/>
  <c r="I26" i="4"/>
  <c r="M26" i="4"/>
  <c r="C26" i="4"/>
  <c r="G26" i="4"/>
  <c r="K26" i="4"/>
  <c r="O26" i="4"/>
  <c r="S26" i="4"/>
  <c r="W26" i="4"/>
  <c r="L26" i="4"/>
  <c r="Q26" i="4"/>
  <c r="U26" i="4"/>
  <c r="Y26" i="4"/>
  <c r="T26" i="4"/>
  <c r="AA26" i="4"/>
  <c r="AE26" i="4"/>
  <c r="N26" i="4"/>
  <c r="V26" i="4"/>
  <c r="AB26" i="4"/>
  <c r="AF26" i="4"/>
  <c r="P26" i="4"/>
  <c r="X26" i="4"/>
  <c r="AC26" i="4"/>
  <c r="R26" i="4"/>
  <c r="Z26" i="4"/>
  <c r="AD26" i="4"/>
  <c r="CI26" i="4"/>
  <c r="CG26" i="4"/>
  <c r="BL26" i="4"/>
  <c r="BK26" i="4"/>
  <c r="CJ26" i="4"/>
  <c r="BP26" i="4"/>
  <c r="BG26" i="4"/>
  <c r="CA26" i="4"/>
  <c r="BX26" i="4"/>
  <c r="BH26" i="4"/>
  <c r="CK26" i="4"/>
  <c r="BO26" i="4"/>
  <c r="BS26" i="4"/>
  <c r="BR26" i="4"/>
  <c r="BM26" i="4"/>
  <c r="BU26" i="4"/>
  <c r="CH26" i="4"/>
  <c r="BZ26" i="4"/>
  <c r="CF26" i="4"/>
  <c r="BI26" i="4"/>
  <c r="BT26" i="4"/>
  <c r="BW26" i="4"/>
  <c r="BQ26" i="4"/>
  <c r="BN26" i="4"/>
  <c r="CC26" i="4"/>
  <c r="BY26" i="4"/>
  <c r="CB26" i="4"/>
  <c r="BJ26" i="4"/>
  <c r="CD26" i="4"/>
  <c r="CE26" i="4"/>
  <c r="A29" i="4" l="1"/>
  <c r="E28" i="4"/>
  <c r="J27" i="4"/>
  <c r="AH27" i="4"/>
  <c r="H27" i="4"/>
  <c r="F27" i="4"/>
  <c r="I27" i="4"/>
  <c r="M27" i="4"/>
  <c r="C27" i="4"/>
  <c r="G27" i="4"/>
  <c r="K27" i="4"/>
  <c r="O27" i="4"/>
  <c r="S27" i="4"/>
  <c r="W27" i="4"/>
  <c r="AA27" i="4"/>
  <c r="AE27" i="4"/>
  <c r="L27" i="4"/>
  <c r="P27" i="4"/>
  <c r="T27" i="4"/>
  <c r="X27" i="4"/>
  <c r="AB27" i="4"/>
  <c r="AF27" i="4"/>
  <c r="Q27" i="4"/>
  <c r="U27" i="4"/>
  <c r="Y27" i="4"/>
  <c r="AC27" i="4"/>
  <c r="V27" i="4"/>
  <c r="R27" i="4"/>
  <c r="Z27" i="4"/>
  <c r="N27" i="4"/>
  <c r="AD27" i="4"/>
  <c r="CJ27" i="4"/>
  <c r="BQ27" i="4"/>
  <c r="BI27" i="4"/>
  <c r="BP27" i="4"/>
  <c r="BO27" i="4"/>
  <c r="CD27" i="4"/>
  <c r="BH27" i="4"/>
  <c r="BJ27" i="4"/>
  <c r="BY27" i="4"/>
  <c r="BK27" i="4"/>
  <c r="BX27" i="4"/>
  <c r="CH27" i="4"/>
  <c r="BN27" i="4"/>
  <c r="BS27" i="4"/>
  <c r="CI27" i="4"/>
  <c r="BG27" i="4"/>
  <c r="BM27" i="4"/>
  <c r="BW27" i="4"/>
  <c r="CE27" i="4"/>
  <c r="CK27" i="4"/>
  <c r="CG27" i="4"/>
  <c r="CF27" i="4"/>
  <c r="BR27" i="4"/>
  <c r="BZ27" i="4"/>
  <c r="BU27" i="4"/>
  <c r="CC27" i="4"/>
  <c r="CB27" i="4"/>
  <c r="BT27" i="4"/>
  <c r="CA27" i="4"/>
  <c r="BL27" i="4"/>
  <c r="A30" i="4" l="1"/>
  <c r="E29" i="4"/>
  <c r="J28" i="4"/>
  <c r="AH28" i="4"/>
  <c r="H28" i="4"/>
  <c r="F28" i="4"/>
  <c r="I28" i="4"/>
  <c r="M28" i="4"/>
  <c r="C28" i="4"/>
  <c r="G28" i="4"/>
  <c r="K28" i="4"/>
  <c r="O28" i="4"/>
  <c r="S28" i="4"/>
  <c r="W28" i="4"/>
  <c r="AA28" i="4"/>
  <c r="AE28" i="4"/>
  <c r="L28" i="4"/>
  <c r="P28" i="4"/>
  <c r="T28" i="4"/>
  <c r="X28" i="4"/>
  <c r="AB28" i="4"/>
  <c r="AF28" i="4"/>
  <c r="Q28" i="4"/>
  <c r="U28" i="4"/>
  <c r="Y28" i="4"/>
  <c r="AC28" i="4"/>
  <c r="V28" i="4"/>
  <c r="R28" i="4"/>
  <c r="Z28" i="4"/>
  <c r="N28" i="4"/>
  <c r="AD28" i="4"/>
  <c r="CC28" i="4"/>
  <c r="BW28" i="4"/>
  <c r="CI28" i="4"/>
  <c r="CF28" i="4"/>
  <c r="CA28" i="4"/>
  <c r="BP28" i="4"/>
  <c r="CH28" i="4"/>
  <c r="BU28" i="4"/>
  <c r="BN28" i="4"/>
  <c r="CE28" i="4"/>
  <c r="CJ28" i="4"/>
  <c r="BX28" i="4"/>
  <c r="BK28" i="4"/>
  <c r="BI28" i="4"/>
  <c r="BM28" i="4"/>
  <c r="BR28" i="4"/>
  <c r="BZ28" i="4"/>
  <c r="BS28" i="4"/>
  <c r="BG28" i="4"/>
  <c r="BO28" i="4"/>
  <c r="BL28" i="4"/>
  <c r="BH28" i="4"/>
  <c r="BY28" i="4"/>
  <c r="CD28" i="4"/>
  <c r="CB28" i="4"/>
  <c r="BT28" i="4"/>
  <c r="CK28" i="4"/>
  <c r="BQ28" i="4"/>
  <c r="CG28" i="4"/>
  <c r="BJ28" i="4"/>
  <c r="A31" i="4" l="1"/>
  <c r="E30" i="4"/>
  <c r="J29" i="4"/>
  <c r="AH29" i="4"/>
  <c r="H29" i="4"/>
  <c r="F29" i="4"/>
  <c r="I29" i="4"/>
  <c r="M29" i="4"/>
  <c r="C29" i="4"/>
  <c r="G29" i="4"/>
  <c r="K29" i="4"/>
  <c r="O29" i="4"/>
  <c r="S29" i="4"/>
  <c r="W29" i="4"/>
  <c r="AA29" i="4"/>
  <c r="AE29" i="4"/>
  <c r="L29" i="4"/>
  <c r="P29" i="4"/>
  <c r="T29" i="4"/>
  <c r="X29" i="4"/>
  <c r="AB29" i="4"/>
  <c r="AF29" i="4"/>
  <c r="Q29" i="4"/>
  <c r="U29" i="4"/>
  <c r="Y29" i="4"/>
  <c r="AC29" i="4"/>
  <c r="V29" i="4"/>
  <c r="Z29" i="4"/>
  <c r="R29" i="4"/>
  <c r="N29" i="4"/>
  <c r="AD29" i="4"/>
  <c r="BO29" i="4"/>
  <c r="CB29" i="4"/>
  <c r="BI29" i="4"/>
  <c r="BP29" i="4"/>
  <c r="BL29" i="4"/>
  <c r="BY29" i="4"/>
  <c r="BX29" i="4"/>
  <c r="BW29" i="4"/>
  <c r="CJ29" i="4"/>
  <c r="BR29" i="4"/>
  <c r="CG29" i="4"/>
  <c r="BJ29" i="4"/>
  <c r="BT29" i="4"/>
  <c r="CA29" i="4"/>
  <c r="BG29" i="4"/>
  <c r="CI29" i="4"/>
  <c r="BN29" i="4"/>
  <c r="CC29" i="4"/>
  <c r="BS29" i="4"/>
  <c r="CK29" i="4"/>
  <c r="CF29" i="4"/>
  <c r="CH29" i="4"/>
  <c r="BZ29" i="4"/>
  <c r="CE29" i="4"/>
  <c r="BM29" i="4"/>
  <c r="BU29" i="4"/>
  <c r="BQ29" i="4"/>
  <c r="BK29" i="4"/>
  <c r="CD29" i="4"/>
  <c r="BH29" i="4"/>
  <c r="A32" i="4" l="1"/>
  <c r="E31" i="4"/>
  <c r="J30" i="4"/>
  <c r="AH30" i="4"/>
  <c r="H30" i="4"/>
  <c r="F30" i="4"/>
  <c r="I30" i="4"/>
  <c r="M30" i="4"/>
  <c r="C30" i="4"/>
  <c r="G30" i="4"/>
  <c r="K30" i="4"/>
  <c r="O30" i="4"/>
  <c r="S30" i="4"/>
  <c r="W30" i="4"/>
  <c r="AA30" i="4"/>
  <c r="AE30" i="4"/>
  <c r="L30" i="4"/>
  <c r="P30" i="4"/>
  <c r="T30" i="4"/>
  <c r="X30" i="4"/>
  <c r="AB30" i="4"/>
  <c r="AF30" i="4"/>
  <c r="Q30" i="4"/>
  <c r="U30" i="4"/>
  <c r="Y30" i="4"/>
  <c r="AC30" i="4"/>
  <c r="V30" i="4"/>
  <c r="Z30" i="4"/>
  <c r="N30" i="4"/>
  <c r="AD30" i="4"/>
  <c r="R30" i="4"/>
  <c r="CF30" i="4"/>
  <c r="BU30" i="4"/>
  <c r="BI30" i="4"/>
  <c r="BR30" i="4"/>
  <c r="CH30" i="4"/>
  <c r="BZ30" i="4"/>
  <c r="BY30" i="4"/>
  <c r="BM30" i="4"/>
  <c r="BT30" i="4"/>
  <c r="BG30" i="4"/>
  <c r="CI30" i="4"/>
  <c r="CE30" i="4"/>
  <c r="CC30" i="4"/>
  <c r="BL30" i="4"/>
  <c r="CA30" i="4"/>
  <c r="BH30" i="4"/>
  <c r="BJ30" i="4"/>
  <c r="BS30" i="4"/>
  <c r="BW30" i="4"/>
  <c r="CB30" i="4"/>
  <c r="BO30" i="4"/>
  <c r="BP30" i="4"/>
  <c r="CJ30" i="4"/>
  <c r="BX30" i="4"/>
  <c r="CG30" i="4"/>
  <c r="BN30" i="4"/>
  <c r="BQ30" i="4"/>
  <c r="CD30" i="4"/>
  <c r="BK30" i="4"/>
  <c r="CK30" i="4"/>
  <c r="A33" i="4" l="1"/>
  <c r="E32" i="4"/>
  <c r="J31" i="4"/>
  <c r="AH31" i="4"/>
  <c r="H31" i="4"/>
  <c r="F31" i="4"/>
  <c r="I31" i="4"/>
  <c r="M31" i="4"/>
  <c r="C31" i="4"/>
  <c r="G31" i="4"/>
  <c r="K31" i="4"/>
  <c r="O31" i="4"/>
  <c r="S31" i="4"/>
  <c r="W31" i="4"/>
  <c r="AA31" i="4"/>
  <c r="AE31" i="4"/>
  <c r="L31" i="4"/>
  <c r="P31" i="4"/>
  <c r="T31" i="4"/>
  <c r="X31" i="4"/>
  <c r="AB31" i="4"/>
  <c r="AF31" i="4"/>
  <c r="Q31" i="4"/>
  <c r="U31" i="4"/>
  <c r="Y31" i="4"/>
  <c r="AC31" i="4"/>
  <c r="V31" i="4"/>
  <c r="Z31" i="4"/>
  <c r="R31" i="4"/>
  <c r="N31" i="4"/>
  <c r="AD31" i="4"/>
  <c r="BQ31" i="4"/>
  <c r="CK31" i="4"/>
  <c r="CJ31" i="4"/>
  <c r="BK31" i="4"/>
  <c r="BP31" i="4"/>
  <c r="BH31" i="4"/>
  <c r="BX31" i="4"/>
  <c r="BW31" i="4"/>
  <c r="BN31" i="4"/>
  <c r="CA31" i="4"/>
  <c r="CI31" i="4"/>
  <c r="CD31" i="4"/>
  <c r="BO31" i="4"/>
  <c r="BL31" i="4"/>
  <c r="CH31" i="4"/>
  <c r="CG31" i="4"/>
  <c r="BM31" i="4"/>
  <c r="CF31" i="4"/>
  <c r="CC31" i="4"/>
  <c r="CB31" i="4"/>
  <c r="BU31" i="4"/>
  <c r="BZ31" i="4"/>
  <c r="BT31" i="4"/>
  <c r="BR31" i="4"/>
  <c r="BI31" i="4"/>
  <c r="BS31" i="4"/>
  <c r="BG31" i="4"/>
  <c r="CE31" i="4"/>
  <c r="BJ31" i="4"/>
  <c r="BY31" i="4"/>
  <c r="A34" i="4" l="1"/>
  <c r="E33" i="4"/>
  <c r="J32" i="4"/>
  <c r="AH32" i="4"/>
  <c r="H32" i="4"/>
  <c r="F32" i="4"/>
  <c r="I32" i="4"/>
  <c r="M32" i="4"/>
  <c r="C32" i="4"/>
  <c r="G32" i="4"/>
  <c r="K32" i="4"/>
  <c r="O32" i="4"/>
  <c r="S32" i="4"/>
  <c r="W32" i="4"/>
  <c r="AA32" i="4"/>
  <c r="AE32" i="4"/>
  <c r="L32" i="4"/>
  <c r="P32" i="4"/>
  <c r="T32" i="4"/>
  <c r="X32" i="4"/>
  <c r="AB32" i="4"/>
  <c r="AF32" i="4"/>
  <c r="Q32" i="4"/>
  <c r="U32" i="4"/>
  <c r="Y32" i="4"/>
  <c r="AC32" i="4"/>
  <c r="V32" i="4"/>
  <c r="R32" i="4"/>
  <c r="Z32" i="4"/>
  <c r="N32" i="4"/>
  <c r="AD32" i="4"/>
  <c r="BO32" i="4"/>
  <c r="CG32" i="4"/>
  <c r="BG32" i="4"/>
  <c r="BN32" i="4"/>
  <c r="BI32" i="4"/>
  <c r="BX32" i="4"/>
  <c r="BL32" i="4"/>
  <c r="BQ32" i="4"/>
  <c r="CF32" i="4"/>
  <c r="BP32" i="4"/>
  <c r="BY32" i="4"/>
  <c r="CE32" i="4"/>
  <c r="BJ32" i="4"/>
  <c r="BS32" i="4"/>
  <c r="BM32" i="4"/>
  <c r="CA32" i="4"/>
  <c r="CB32" i="4"/>
  <c r="BH32" i="4"/>
  <c r="BZ32" i="4"/>
  <c r="BK32" i="4"/>
  <c r="CC32" i="4"/>
  <c r="BW32" i="4"/>
  <c r="BR32" i="4"/>
  <c r="BU32" i="4"/>
  <c r="CH32" i="4"/>
  <c r="CI32" i="4"/>
  <c r="CD32" i="4"/>
  <c r="CK32" i="4"/>
  <c r="CJ32" i="4"/>
  <c r="BT32" i="4"/>
  <c r="A35" i="4" l="1"/>
  <c r="E34" i="4"/>
  <c r="J33" i="4"/>
  <c r="AH33" i="4"/>
  <c r="H33" i="4"/>
  <c r="F33" i="4"/>
  <c r="I33" i="4"/>
  <c r="M33" i="4"/>
  <c r="C33" i="4"/>
  <c r="G33" i="4"/>
  <c r="K33" i="4"/>
  <c r="O33" i="4"/>
  <c r="S33" i="4"/>
  <c r="W33" i="4"/>
  <c r="AA33" i="4"/>
  <c r="AE33" i="4"/>
  <c r="L33" i="4"/>
  <c r="P33" i="4"/>
  <c r="T33" i="4"/>
  <c r="X33" i="4"/>
  <c r="AB33" i="4"/>
  <c r="AF33" i="4"/>
  <c r="Q33" i="4"/>
  <c r="U33" i="4"/>
  <c r="Y33" i="4"/>
  <c r="AC33" i="4"/>
  <c r="V33" i="4"/>
  <c r="Z33" i="4"/>
  <c r="N33" i="4"/>
  <c r="AD33" i="4"/>
  <c r="R33" i="4"/>
  <c r="BY33" i="4"/>
  <c r="CI33" i="4"/>
  <c r="BJ33" i="4"/>
  <c r="BM33" i="4"/>
  <c r="BT33" i="4"/>
  <c r="BW33" i="4"/>
  <c r="BQ33" i="4"/>
  <c r="CC33" i="4"/>
  <c r="CG33" i="4"/>
  <c r="BP33" i="4"/>
  <c r="BI33" i="4"/>
  <c r="CF33" i="4"/>
  <c r="CK33" i="4"/>
  <c r="BR33" i="4"/>
  <c r="BO33" i="4"/>
  <c r="CE33" i="4"/>
  <c r="BS33" i="4"/>
  <c r="CD33" i="4"/>
  <c r="BN33" i="4"/>
  <c r="BG33" i="4"/>
  <c r="CB33" i="4"/>
  <c r="BH33" i="4"/>
  <c r="BZ33" i="4"/>
  <c r="CA33" i="4"/>
  <c r="CH33" i="4"/>
  <c r="CJ33" i="4"/>
  <c r="BX33" i="4"/>
  <c r="BU33" i="4"/>
  <c r="BK33" i="4"/>
  <c r="BL33" i="4"/>
  <c r="A36" i="4" l="1"/>
  <c r="E35" i="4"/>
  <c r="J34" i="4"/>
  <c r="AH34" i="4"/>
  <c r="H34" i="4"/>
  <c r="F34" i="4"/>
  <c r="I34" i="4"/>
  <c r="M34" i="4"/>
  <c r="C34" i="4"/>
  <c r="G34" i="4"/>
  <c r="K34" i="4"/>
  <c r="O34" i="4"/>
  <c r="S34" i="4"/>
  <c r="W34" i="4"/>
  <c r="AA34" i="4"/>
  <c r="AE34" i="4"/>
  <c r="L34" i="4"/>
  <c r="P34" i="4"/>
  <c r="T34" i="4"/>
  <c r="Q34" i="4"/>
  <c r="U34" i="4"/>
  <c r="Y34" i="4"/>
  <c r="AC34" i="4"/>
  <c r="V34" i="4"/>
  <c r="AD34" i="4"/>
  <c r="R34" i="4"/>
  <c r="X34" i="4"/>
  <c r="AF34" i="4"/>
  <c r="N34" i="4"/>
  <c r="Z34" i="4"/>
  <c r="AB34" i="4"/>
  <c r="BJ34" i="4"/>
  <c r="CA34" i="4"/>
  <c r="CD34" i="4"/>
  <c r="BT34" i="4"/>
  <c r="BP34" i="4"/>
  <c r="BZ34" i="4"/>
  <c r="BH34" i="4"/>
  <c r="BY34" i="4"/>
  <c r="CJ34" i="4"/>
  <c r="CE34" i="4"/>
  <c r="BK34" i="4"/>
  <c r="BS34" i="4"/>
  <c r="CC34" i="4"/>
  <c r="CG34" i="4"/>
  <c r="BM34" i="4"/>
  <c r="CK34" i="4"/>
  <c r="BQ34" i="4"/>
  <c r="BR34" i="4"/>
  <c r="BG34" i="4"/>
  <c r="CH34" i="4"/>
  <c r="CI34" i="4"/>
  <c r="CB34" i="4"/>
  <c r="BI34" i="4"/>
  <c r="BW34" i="4"/>
  <c r="CF34" i="4"/>
  <c r="BX34" i="4"/>
  <c r="BN34" i="4"/>
  <c r="BL34" i="4"/>
  <c r="BU34" i="4"/>
  <c r="BO34" i="4"/>
  <c r="A37" i="4" l="1"/>
  <c r="E36" i="4"/>
  <c r="J35" i="4"/>
  <c r="AH35" i="4"/>
  <c r="H35" i="4"/>
  <c r="F35" i="4"/>
  <c r="I35" i="4"/>
  <c r="M35" i="4"/>
  <c r="C35" i="4"/>
  <c r="G35" i="4"/>
  <c r="K35" i="4"/>
  <c r="O35" i="4"/>
  <c r="S35" i="4"/>
  <c r="W35" i="4"/>
  <c r="AA35" i="4"/>
  <c r="Q35" i="4"/>
  <c r="U35" i="4"/>
  <c r="Y35" i="4"/>
  <c r="AC35" i="4"/>
  <c r="N35" i="4"/>
  <c r="V35" i="4"/>
  <c r="AD35" i="4"/>
  <c r="L35" i="4"/>
  <c r="AB35" i="4"/>
  <c r="P35" i="4"/>
  <c r="X35" i="4"/>
  <c r="AE35" i="4"/>
  <c r="R35" i="4"/>
  <c r="Z35" i="4"/>
  <c r="AF35" i="4"/>
  <c r="T35" i="4"/>
  <c r="BM35" i="4"/>
  <c r="CE35" i="4"/>
  <c r="CJ35" i="4"/>
  <c r="BI35" i="4"/>
  <c r="BT35" i="4"/>
  <c r="BJ35" i="4"/>
  <c r="BU35" i="4"/>
  <c r="CI35" i="4"/>
  <c r="CD35" i="4"/>
  <c r="BQ35" i="4"/>
  <c r="CA35" i="4"/>
  <c r="CK35" i="4"/>
  <c r="BW35" i="4"/>
  <c r="CH35" i="4"/>
  <c r="CG35" i="4"/>
  <c r="BK35" i="4"/>
  <c r="CC35" i="4"/>
  <c r="BY35" i="4"/>
  <c r="BX35" i="4"/>
  <c r="BN35" i="4"/>
  <c r="BP35" i="4"/>
  <c r="CB35" i="4"/>
  <c r="BR35" i="4"/>
  <c r="BZ35" i="4"/>
  <c r="BG35" i="4"/>
  <c r="BS35" i="4"/>
  <c r="CF35" i="4"/>
  <c r="BH35" i="4"/>
  <c r="BO35" i="4"/>
  <c r="BL35" i="4"/>
  <c r="A38" i="4" l="1"/>
  <c r="E37" i="4"/>
  <c r="J36" i="4"/>
  <c r="AH36" i="4"/>
  <c r="C36" i="4"/>
  <c r="G36" i="4"/>
  <c r="I36" i="4"/>
  <c r="K36" i="4"/>
  <c r="M36" i="4"/>
  <c r="O36" i="4"/>
  <c r="Q36" i="4"/>
  <c r="S36" i="4"/>
  <c r="U36" i="4"/>
  <c r="W36" i="4"/>
  <c r="Y36" i="4"/>
  <c r="AA36" i="4"/>
  <c r="AC36" i="4"/>
  <c r="AE36" i="4"/>
  <c r="F36" i="4"/>
  <c r="H36" i="4"/>
  <c r="L36" i="4"/>
  <c r="N36" i="4"/>
  <c r="P36" i="4"/>
  <c r="R36" i="4"/>
  <c r="T36" i="4"/>
  <c r="V36" i="4"/>
  <c r="X36" i="4"/>
  <c r="Z36" i="4"/>
  <c r="AB36" i="4"/>
  <c r="AD36" i="4"/>
  <c r="AF36" i="4"/>
  <c r="BW36" i="4"/>
  <c r="BP36" i="4"/>
  <c r="BR36" i="4"/>
  <c r="CD36" i="4"/>
  <c r="CB36" i="4"/>
  <c r="BH36" i="4"/>
  <c r="BG36" i="4"/>
  <c r="BO36" i="4"/>
  <c r="BT36" i="4"/>
  <c r="CG36" i="4"/>
  <c r="BN36" i="4"/>
  <c r="BZ36" i="4"/>
  <c r="CE36" i="4"/>
  <c r="BU36" i="4"/>
  <c r="CF36" i="4"/>
  <c r="CC36" i="4"/>
  <c r="BL36" i="4"/>
  <c r="CJ36" i="4"/>
  <c r="CI36" i="4"/>
  <c r="BM36" i="4"/>
  <c r="BJ36" i="4"/>
  <c r="BK36" i="4"/>
  <c r="BY36" i="4"/>
  <c r="BS36" i="4"/>
  <c r="BI36" i="4"/>
  <c r="BX36" i="4"/>
  <c r="CK36" i="4"/>
  <c r="CH36" i="4"/>
  <c r="BQ36" i="4"/>
  <c r="CA36" i="4"/>
  <c r="A39" i="4" l="1"/>
  <c r="E38" i="4"/>
  <c r="J37" i="4"/>
  <c r="AH37" i="4"/>
  <c r="C37" i="4"/>
  <c r="G37" i="4"/>
  <c r="I37" i="4"/>
  <c r="K37" i="4"/>
  <c r="M37" i="4"/>
  <c r="O37" i="4"/>
  <c r="Q37" i="4"/>
  <c r="S37" i="4"/>
  <c r="U37" i="4"/>
  <c r="W37" i="4"/>
  <c r="Y37" i="4"/>
  <c r="AA37" i="4"/>
  <c r="AC37" i="4"/>
  <c r="AE37" i="4"/>
  <c r="F37" i="4"/>
  <c r="H37" i="4"/>
  <c r="L37" i="4"/>
  <c r="N37" i="4"/>
  <c r="P37" i="4"/>
  <c r="R37" i="4"/>
  <c r="T37" i="4"/>
  <c r="V37" i="4"/>
  <c r="X37" i="4"/>
  <c r="Z37" i="4"/>
  <c r="AB37" i="4"/>
  <c r="AD37" i="4"/>
  <c r="AF37" i="4"/>
  <c r="BI37" i="4"/>
  <c r="BO37" i="4"/>
  <c r="BL37" i="4"/>
  <c r="CJ37" i="4"/>
  <c r="CH37" i="4"/>
  <c r="CF37" i="4"/>
  <c r="BW37" i="4"/>
  <c r="CE37" i="4"/>
  <c r="CD37" i="4"/>
  <c r="BZ37" i="4"/>
  <c r="BK37" i="4"/>
  <c r="BJ37" i="4"/>
  <c r="CK37" i="4"/>
  <c r="BN37" i="4"/>
  <c r="BP37" i="4"/>
  <c r="CC37" i="4"/>
  <c r="BM37" i="4"/>
  <c r="BX37" i="4"/>
  <c r="CG37" i="4"/>
  <c r="BH37" i="4"/>
  <c r="BG37" i="4"/>
  <c r="CB37" i="4"/>
  <c r="BS37" i="4"/>
  <c r="BT37" i="4"/>
  <c r="BU37" i="4"/>
  <c r="CI37" i="4"/>
  <c r="BQ37" i="4"/>
  <c r="BR37" i="4"/>
  <c r="CA37" i="4"/>
  <c r="BY37" i="4"/>
  <c r="A40" i="4" l="1"/>
  <c r="E39" i="4"/>
  <c r="J38" i="4"/>
  <c r="AH38" i="4"/>
  <c r="C38" i="4"/>
  <c r="G38" i="4"/>
  <c r="I38" i="4"/>
  <c r="K38" i="4"/>
  <c r="M38" i="4"/>
  <c r="O38" i="4"/>
  <c r="Q38" i="4"/>
  <c r="S38" i="4"/>
  <c r="U38" i="4"/>
  <c r="W38" i="4"/>
  <c r="Y38" i="4"/>
  <c r="AA38" i="4"/>
  <c r="AC38" i="4"/>
  <c r="AE38" i="4"/>
  <c r="F38" i="4"/>
  <c r="H38" i="4"/>
  <c r="N38" i="4"/>
  <c r="R38" i="4"/>
  <c r="V38" i="4"/>
  <c r="Z38" i="4"/>
  <c r="AD38" i="4"/>
  <c r="L38" i="4"/>
  <c r="P38" i="4"/>
  <c r="T38" i="4"/>
  <c r="X38" i="4"/>
  <c r="AB38" i="4"/>
  <c r="AF38" i="4"/>
  <c r="AQ3" i="4"/>
  <c r="AR3" i="4" s="1"/>
  <c r="AZ6" i="4"/>
  <c r="AY6" i="4"/>
  <c r="AR6" i="4"/>
  <c r="AT6" i="4"/>
  <c r="AX6" i="4"/>
  <c r="AS6" i="4"/>
  <c r="AV6" i="4"/>
  <c r="AP6" i="4"/>
  <c r="AW6" i="4"/>
  <c r="AQ6" i="4"/>
  <c r="AU6" i="4"/>
  <c r="CA38" i="4"/>
  <c r="BG38" i="4"/>
  <c r="BP38" i="4"/>
  <c r="BU38" i="4"/>
  <c r="BW38" i="4"/>
  <c r="CH38" i="4"/>
  <c r="BK38" i="4"/>
  <c r="BT38" i="4"/>
  <c r="BZ38" i="4"/>
  <c r="CF38" i="4"/>
  <c r="BI38" i="4"/>
  <c r="BH38" i="4"/>
  <c r="CB38" i="4"/>
  <c r="CK38" i="4"/>
  <c r="BL38" i="4"/>
  <c r="CJ38" i="4"/>
  <c r="BJ38" i="4"/>
  <c r="CE38" i="4"/>
  <c r="CG38" i="4"/>
  <c r="BY38" i="4"/>
  <c r="CC38" i="4"/>
  <c r="CI38" i="4"/>
  <c r="BR38" i="4"/>
  <c r="BO38" i="4"/>
  <c r="BQ38" i="4"/>
  <c r="BX38" i="4"/>
  <c r="BM38" i="4"/>
  <c r="BN38" i="4"/>
  <c r="CD38" i="4"/>
  <c r="BS38" i="4"/>
  <c r="A41" i="4" l="1"/>
  <c r="E40" i="4"/>
  <c r="J39" i="4"/>
  <c r="AH39" i="4"/>
  <c r="F39" i="4"/>
  <c r="H39" i="4"/>
  <c r="L39" i="4"/>
  <c r="N39" i="4"/>
  <c r="P39" i="4"/>
  <c r="R39" i="4"/>
  <c r="T39" i="4"/>
  <c r="V39" i="4"/>
  <c r="X39" i="4"/>
  <c r="Z39" i="4"/>
  <c r="AB39" i="4"/>
  <c r="AD39" i="4"/>
  <c r="AF39" i="4"/>
  <c r="C39" i="4"/>
  <c r="G39" i="4"/>
  <c r="I39" i="4"/>
  <c r="K39" i="4"/>
  <c r="M39" i="4"/>
  <c r="O39" i="4"/>
  <c r="Q39" i="4"/>
  <c r="S39" i="4"/>
  <c r="U39" i="4"/>
  <c r="W39" i="4"/>
  <c r="Y39" i="4"/>
  <c r="AA39" i="4"/>
  <c r="AC39" i="4"/>
  <c r="AE39" i="4"/>
  <c r="BW39" i="4"/>
  <c r="BP39" i="4"/>
  <c r="BX39" i="4"/>
  <c r="BM39" i="4"/>
  <c r="CK39" i="4"/>
  <c r="BZ39" i="4"/>
  <c r="BG39" i="4"/>
  <c r="CD39" i="4"/>
  <c r="CG39" i="4"/>
  <c r="BI39" i="4"/>
  <c r="CJ39" i="4"/>
  <c r="BJ39" i="4"/>
  <c r="BT39" i="4"/>
  <c r="BH39" i="4"/>
  <c r="BS39" i="4"/>
  <c r="BK39" i="4"/>
  <c r="BQ39" i="4"/>
  <c r="CA39" i="4"/>
  <c r="BL39" i="4"/>
  <c r="BN39" i="4"/>
  <c r="CB39" i="4"/>
  <c r="CH39" i="4"/>
  <c r="CF39" i="4"/>
  <c r="CI39" i="4"/>
  <c r="CE39" i="4"/>
  <c r="CC39" i="4"/>
  <c r="BR39" i="4"/>
  <c r="BO39" i="4"/>
  <c r="BY39" i="4"/>
  <c r="BU39" i="4"/>
  <c r="A42" i="4" l="1"/>
  <c r="E41" i="4"/>
  <c r="J40" i="4"/>
  <c r="AH40" i="4"/>
  <c r="F40" i="4"/>
  <c r="H40" i="4"/>
  <c r="L40" i="4"/>
  <c r="N40" i="4"/>
  <c r="P40" i="4"/>
  <c r="R40" i="4"/>
  <c r="T40" i="4"/>
  <c r="V40" i="4"/>
  <c r="X40" i="4"/>
  <c r="Z40" i="4"/>
  <c r="AB40" i="4"/>
  <c r="AD40" i="4"/>
  <c r="AF40" i="4"/>
  <c r="C40" i="4"/>
  <c r="G40" i="4"/>
  <c r="I40" i="4"/>
  <c r="K40" i="4"/>
  <c r="M40" i="4"/>
  <c r="O40" i="4"/>
  <c r="Q40" i="4"/>
  <c r="S40" i="4"/>
  <c r="U40" i="4"/>
  <c r="W40" i="4"/>
  <c r="Y40" i="4"/>
  <c r="AA40" i="4"/>
  <c r="AC40" i="4"/>
  <c r="AE40" i="4"/>
  <c r="BQ40" i="4"/>
  <c r="CA40" i="4"/>
  <c r="CI40" i="4"/>
  <c r="BN40" i="4"/>
  <c r="BU40" i="4"/>
  <c r="CF40" i="4"/>
  <c r="CE40" i="4"/>
  <c r="BL40" i="4"/>
  <c r="BX40" i="4"/>
  <c r="BP40" i="4"/>
  <c r="BZ40" i="4"/>
  <c r="CG40" i="4"/>
  <c r="CJ40" i="4"/>
  <c r="BY40" i="4"/>
  <c r="BM40" i="4"/>
  <c r="BH40" i="4"/>
  <c r="CC40" i="4"/>
  <c r="BT40" i="4"/>
  <c r="BW40" i="4"/>
  <c r="CD40" i="4"/>
  <c r="BK40" i="4"/>
  <c r="BJ40" i="4"/>
  <c r="BG40" i="4"/>
  <c r="BR40" i="4"/>
  <c r="BO40" i="4"/>
  <c r="BS40" i="4"/>
  <c r="CK40" i="4"/>
  <c r="CB40" i="4"/>
  <c r="BI40" i="4"/>
  <c r="CH40" i="4"/>
  <c r="A43" i="4" l="1"/>
  <c r="E42" i="4"/>
  <c r="J41" i="4"/>
  <c r="AH41" i="4"/>
  <c r="C41" i="4"/>
  <c r="F41" i="4"/>
  <c r="H41" i="4"/>
  <c r="L41" i="4"/>
  <c r="N41" i="4"/>
  <c r="P41" i="4"/>
  <c r="R41" i="4"/>
  <c r="T41" i="4"/>
  <c r="V41" i="4"/>
  <c r="X41" i="4"/>
  <c r="Z41" i="4"/>
  <c r="AB41" i="4"/>
  <c r="AD41" i="4"/>
  <c r="AF41" i="4"/>
  <c r="G41" i="4"/>
  <c r="I41" i="4"/>
  <c r="K41" i="4"/>
  <c r="M41" i="4"/>
  <c r="O41" i="4"/>
  <c r="Q41" i="4"/>
  <c r="S41" i="4"/>
  <c r="U41" i="4"/>
  <c r="W41" i="4"/>
  <c r="Y41" i="4"/>
  <c r="AA41" i="4"/>
  <c r="AC41" i="4"/>
  <c r="AE41" i="4"/>
  <c r="BW41" i="4"/>
  <c r="CD41" i="4"/>
  <c r="CE41" i="4"/>
  <c r="BK41" i="4"/>
  <c r="BH41" i="4"/>
  <c r="BQ41" i="4"/>
  <c r="CB41" i="4"/>
  <c r="CJ41" i="4"/>
  <c r="CI41" i="4"/>
  <c r="BT41" i="4"/>
  <c r="BG41" i="4"/>
  <c r="CK41" i="4"/>
  <c r="CG41" i="4"/>
  <c r="BZ41" i="4"/>
  <c r="BM41" i="4"/>
  <c r="BI41" i="4"/>
  <c r="BO41" i="4"/>
  <c r="BX41" i="4"/>
  <c r="BY41" i="4"/>
  <c r="BP41" i="4"/>
  <c r="CF41" i="4"/>
  <c r="BN41" i="4"/>
  <c r="BS41" i="4"/>
  <c r="BJ41" i="4"/>
  <c r="BL41" i="4"/>
  <c r="CA41" i="4"/>
  <c r="BU41" i="4"/>
  <c r="CH41" i="4"/>
  <c r="CC41" i="4"/>
  <c r="BR41" i="4"/>
  <c r="A44" i="4" l="1"/>
  <c r="E43" i="4"/>
  <c r="J42" i="4"/>
  <c r="AH42" i="4"/>
  <c r="F42" i="4"/>
  <c r="H42" i="4"/>
  <c r="L42" i="4"/>
  <c r="N42" i="4"/>
  <c r="P42" i="4"/>
  <c r="R42" i="4"/>
  <c r="T42" i="4"/>
  <c r="V42" i="4"/>
  <c r="X42" i="4"/>
  <c r="Z42" i="4"/>
  <c r="AB42" i="4"/>
  <c r="AD42" i="4"/>
  <c r="AF42" i="4"/>
  <c r="C42" i="4"/>
  <c r="G42" i="4"/>
  <c r="I42" i="4"/>
  <c r="K42" i="4"/>
  <c r="M42" i="4"/>
  <c r="O42" i="4"/>
  <c r="Q42" i="4"/>
  <c r="S42" i="4"/>
  <c r="U42" i="4"/>
  <c r="W42" i="4"/>
  <c r="Y42" i="4"/>
  <c r="AA42" i="4"/>
  <c r="AC42" i="4"/>
  <c r="AE42" i="4"/>
  <c r="CF42" i="4"/>
  <c r="BN42" i="4"/>
  <c r="CK42" i="4"/>
  <c r="BZ42" i="4"/>
  <c r="BX42" i="4"/>
  <c r="BJ42" i="4"/>
  <c r="CE42" i="4"/>
  <c r="BT42" i="4"/>
  <c r="BI42" i="4"/>
  <c r="BM42" i="4"/>
  <c r="CI42" i="4"/>
  <c r="CD42" i="4"/>
  <c r="BW42" i="4"/>
  <c r="BY42" i="4"/>
  <c r="BR42" i="4"/>
  <c r="CB42" i="4"/>
  <c r="BK42" i="4"/>
  <c r="CG42" i="4"/>
  <c r="BP42" i="4"/>
  <c r="BQ42" i="4"/>
  <c r="BH42" i="4"/>
  <c r="BS42" i="4"/>
  <c r="BU42" i="4"/>
  <c r="BL42" i="4"/>
  <c r="CH42" i="4"/>
  <c r="BO42" i="4"/>
  <c r="BG42" i="4"/>
  <c r="CA42" i="4"/>
  <c r="CC42" i="4"/>
  <c r="CJ42" i="4"/>
  <c r="A45" i="4" l="1"/>
  <c r="E44" i="4"/>
  <c r="J43" i="4"/>
  <c r="AH43" i="4"/>
  <c r="F43" i="4"/>
  <c r="H43" i="4"/>
  <c r="L43" i="4"/>
  <c r="N43" i="4"/>
  <c r="P43" i="4"/>
  <c r="R43" i="4"/>
  <c r="T43" i="4"/>
  <c r="V43" i="4"/>
  <c r="X43" i="4"/>
  <c r="Z43" i="4"/>
  <c r="AB43" i="4"/>
  <c r="AD43" i="4"/>
  <c r="AF43" i="4"/>
  <c r="C43" i="4"/>
  <c r="G43" i="4"/>
  <c r="I43" i="4"/>
  <c r="K43" i="4"/>
  <c r="M43" i="4"/>
  <c r="O43" i="4"/>
  <c r="Q43" i="4"/>
  <c r="S43" i="4"/>
  <c r="U43" i="4"/>
  <c r="W43" i="4"/>
  <c r="Y43" i="4"/>
  <c r="AA43" i="4"/>
  <c r="AC43" i="4"/>
  <c r="AE43" i="4"/>
  <c r="BX43" i="4"/>
  <c r="CK43" i="4"/>
  <c r="BJ43" i="4"/>
  <c r="BP43" i="4"/>
  <c r="BN43" i="4"/>
  <c r="BH43" i="4"/>
  <c r="CD43" i="4"/>
  <c r="CA43" i="4"/>
  <c r="BI43" i="4"/>
  <c r="BQ43" i="4"/>
  <c r="CE43" i="4"/>
  <c r="CF43" i="4"/>
  <c r="BK43" i="4"/>
  <c r="BS43" i="4"/>
  <c r="CC43" i="4"/>
  <c r="CJ43" i="4"/>
  <c r="BT43" i="4"/>
  <c r="BU43" i="4"/>
  <c r="BZ43" i="4"/>
  <c r="CG43" i="4"/>
  <c r="BM43" i="4"/>
  <c r="BG43" i="4"/>
  <c r="BW43" i="4"/>
  <c r="BL43" i="4"/>
  <c r="BY43" i="4"/>
  <c r="CI43" i="4"/>
  <c r="CH43" i="4"/>
  <c r="BR43" i="4"/>
  <c r="BO43" i="4"/>
  <c r="CB43" i="4"/>
  <c r="A46" i="4" l="1"/>
  <c r="E45" i="4"/>
  <c r="J44" i="4"/>
  <c r="AH44" i="4"/>
  <c r="F44" i="4"/>
  <c r="H44" i="4"/>
  <c r="L44" i="4"/>
  <c r="N44" i="4"/>
  <c r="P44" i="4"/>
  <c r="R44" i="4"/>
  <c r="T44" i="4"/>
  <c r="V44" i="4"/>
  <c r="X44" i="4"/>
  <c r="Z44" i="4"/>
  <c r="AB44" i="4"/>
  <c r="AD44" i="4"/>
  <c r="AF44" i="4"/>
  <c r="C44" i="4"/>
  <c r="G44" i="4"/>
  <c r="I44" i="4"/>
  <c r="K44" i="4"/>
  <c r="M44" i="4"/>
  <c r="O44" i="4"/>
  <c r="Q44" i="4"/>
  <c r="S44" i="4"/>
  <c r="U44" i="4"/>
  <c r="W44" i="4"/>
  <c r="Y44" i="4"/>
  <c r="AA44" i="4"/>
  <c r="AC44" i="4"/>
  <c r="AE44" i="4"/>
  <c r="BY44" i="4"/>
  <c r="CJ44" i="4"/>
  <c r="CH44" i="4"/>
  <c r="BO44" i="4"/>
  <c r="BK44" i="4"/>
  <c r="BR44" i="4"/>
  <c r="CB44" i="4"/>
  <c r="CK44" i="4"/>
  <c r="CC44" i="4"/>
  <c r="CA44" i="4"/>
  <c r="CD44" i="4"/>
  <c r="BH44" i="4"/>
  <c r="BN44" i="4"/>
  <c r="CE44" i="4"/>
  <c r="BG44" i="4"/>
  <c r="CG44" i="4"/>
  <c r="BW44" i="4"/>
  <c r="BL44" i="4"/>
  <c r="BI44" i="4"/>
  <c r="BU44" i="4"/>
  <c r="BX44" i="4"/>
  <c r="BQ44" i="4"/>
  <c r="BT44" i="4"/>
  <c r="BP44" i="4"/>
  <c r="CF44" i="4"/>
  <c r="BZ44" i="4"/>
  <c r="CI44" i="4"/>
  <c r="BJ44" i="4"/>
  <c r="BM44" i="4"/>
  <c r="BS44" i="4"/>
  <c r="A47" i="4" l="1"/>
  <c r="E46" i="4"/>
  <c r="J45" i="4"/>
  <c r="AH45" i="4"/>
  <c r="F45" i="4"/>
  <c r="H45" i="4"/>
  <c r="L45" i="4"/>
  <c r="N45" i="4"/>
  <c r="P45" i="4"/>
  <c r="R45" i="4"/>
  <c r="T45" i="4"/>
  <c r="V45" i="4"/>
  <c r="X45" i="4"/>
  <c r="Z45" i="4"/>
  <c r="AB45" i="4"/>
  <c r="AD45" i="4"/>
  <c r="AF45" i="4"/>
  <c r="C45" i="4"/>
  <c r="G45" i="4"/>
  <c r="I45" i="4"/>
  <c r="K45" i="4"/>
  <c r="M45" i="4"/>
  <c r="O45" i="4"/>
  <c r="Q45" i="4"/>
  <c r="S45" i="4"/>
  <c r="U45" i="4"/>
  <c r="W45" i="4"/>
  <c r="Y45" i="4"/>
  <c r="AA45" i="4"/>
  <c r="AC45" i="4"/>
  <c r="AE45" i="4"/>
  <c r="BJ45" i="4"/>
  <c r="BY45" i="4"/>
  <c r="BU45" i="4"/>
  <c r="BS45" i="4"/>
  <c r="CH45" i="4"/>
  <c r="CK45" i="4"/>
  <c r="BI45" i="4"/>
  <c r="CB45" i="4"/>
  <c r="BG45" i="4"/>
  <c r="CF45" i="4"/>
  <c r="BT45" i="4"/>
  <c r="CA45" i="4"/>
  <c r="CG45" i="4"/>
  <c r="BW45" i="4"/>
  <c r="BM45" i="4"/>
  <c r="BK45" i="4"/>
  <c r="BH45" i="4"/>
  <c r="CJ45" i="4"/>
  <c r="CD45" i="4"/>
  <c r="BP45" i="4"/>
  <c r="BL45" i="4"/>
  <c r="BZ45" i="4"/>
  <c r="BO45" i="4"/>
  <c r="BN45" i="4"/>
  <c r="BR45" i="4"/>
  <c r="CE45" i="4"/>
  <c r="BX45" i="4"/>
  <c r="CC45" i="4"/>
  <c r="CI45" i="4"/>
  <c r="BQ45" i="4"/>
  <c r="A48" i="4" l="1"/>
  <c r="E47" i="4"/>
  <c r="J46" i="4"/>
  <c r="AH46" i="4"/>
  <c r="F46" i="4"/>
  <c r="H46" i="4"/>
  <c r="L46" i="4"/>
  <c r="N46" i="4"/>
  <c r="P46" i="4"/>
  <c r="R46" i="4"/>
  <c r="T46" i="4"/>
  <c r="V46" i="4"/>
  <c r="C46" i="4"/>
  <c r="G46" i="4"/>
  <c r="I46" i="4"/>
  <c r="K46" i="4"/>
  <c r="M46" i="4"/>
  <c r="O46" i="4"/>
  <c r="Q46" i="4"/>
  <c r="S46" i="4"/>
  <c r="U46" i="4"/>
  <c r="W46" i="4"/>
  <c r="X46" i="4"/>
  <c r="Z46" i="4"/>
  <c r="AB46" i="4"/>
  <c r="AD46" i="4"/>
  <c r="AF46" i="4"/>
  <c r="Y46" i="4"/>
  <c r="AA46" i="4"/>
  <c r="AC46" i="4"/>
  <c r="AE46" i="4"/>
  <c r="CD46" i="4"/>
  <c r="BT46" i="4"/>
  <c r="CI46" i="4"/>
  <c r="BX46" i="4"/>
  <c r="BG46" i="4"/>
  <c r="CG46" i="4"/>
  <c r="BQ46" i="4"/>
  <c r="BN46" i="4"/>
  <c r="BY46" i="4"/>
  <c r="BL46" i="4"/>
  <c r="BO46" i="4"/>
  <c r="CA46" i="4"/>
  <c r="BP46" i="4"/>
  <c r="CE46" i="4"/>
  <c r="BR46" i="4"/>
  <c r="BJ46" i="4"/>
  <c r="CF46" i="4"/>
  <c r="CC46" i="4"/>
  <c r="BS46" i="4"/>
  <c r="BU46" i="4"/>
  <c r="BW46" i="4"/>
  <c r="BI46" i="4"/>
  <c r="CK46" i="4"/>
  <c r="CJ46" i="4"/>
  <c r="BK46" i="4"/>
  <c r="BM46" i="4"/>
  <c r="BZ46" i="4"/>
  <c r="BH46" i="4"/>
  <c r="CB46" i="4"/>
  <c r="CH46" i="4"/>
  <c r="A49" i="4" l="1"/>
  <c r="E48" i="4"/>
  <c r="J47" i="4"/>
  <c r="AH47" i="4"/>
  <c r="F47" i="4"/>
  <c r="H47" i="4"/>
  <c r="L47" i="4"/>
  <c r="N47" i="4"/>
  <c r="P47" i="4"/>
  <c r="R47" i="4"/>
  <c r="T47" i="4"/>
  <c r="V47" i="4"/>
  <c r="X47" i="4"/>
  <c r="Z47" i="4"/>
  <c r="AB47" i="4"/>
  <c r="AD47" i="4"/>
  <c r="AF47" i="4"/>
  <c r="C47" i="4"/>
  <c r="G47" i="4"/>
  <c r="I47" i="4"/>
  <c r="K47" i="4"/>
  <c r="M47" i="4"/>
  <c r="O47" i="4"/>
  <c r="Q47" i="4"/>
  <c r="S47" i="4"/>
  <c r="U47" i="4"/>
  <c r="W47" i="4"/>
  <c r="Y47" i="4"/>
  <c r="AA47" i="4"/>
  <c r="AC47" i="4"/>
  <c r="AE47" i="4"/>
  <c r="BX47" i="4"/>
  <c r="BK47" i="4"/>
  <c r="CG47" i="4"/>
  <c r="BR47" i="4"/>
  <c r="BZ47" i="4"/>
  <c r="CK47" i="4"/>
  <c r="BY47" i="4"/>
  <c r="BW47" i="4"/>
  <c r="BS47" i="4"/>
  <c r="BG47" i="4"/>
  <c r="BN47" i="4"/>
  <c r="BI47" i="4"/>
  <c r="BH47" i="4"/>
  <c r="BQ47" i="4"/>
  <c r="BM47" i="4"/>
  <c r="CF47" i="4"/>
  <c r="BJ47" i="4"/>
  <c r="BU47" i="4"/>
  <c r="BO47" i="4"/>
  <c r="CD47" i="4"/>
  <c r="CE47" i="4"/>
  <c r="BT47" i="4"/>
  <c r="CB47" i="4"/>
  <c r="CI47" i="4"/>
  <c r="CA47" i="4"/>
  <c r="CJ47" i="4"/>
  <c r="BL47" i="4"/>
  <c r="CC47" i="4"/>
  <c r="BP47" i="4"/>
  <c r="CH47" i="4"/>
  <c r="A50" i="4" l="1"/>
  <c r="E49" i="4"/>
  <c r="J48" i="4"/>
  <c r="AH48" i="4"/>
  <c r="F48" i="4"/>
  <c r="H48" i="4"/>
  <c r="L48" i="4"/>
  <c r="N48" i="4"/>
  <c r="P48" i="4"/>
  <c r="R48" i="4"/>
  <c r="T48" i="4"/>
  <c r="V48" i="4"/>
  <c r="X48" i="4"/>
  <c r="Z48" i="4"/>
  <c r="AB48" i="4"/>
  <c r="AD48" i="4"/>
  <c r="AF48" i="4"/>
  <c r="C48" i="4"/>
  <c r="G48" i="4"/>
  <c r="I48" i="4"/>
  <c r="K48" i="4"/>
  <c r="M48" i="4"/>
  <c r="O48" i="4"/>
  <c r="Q48" i="4"/>
  <c r="S48" i="4"/>
  <c r="U48" i="4"/>
  <c r="W48" i="4"/>
  <c r="Y48" i="4"/>
  <c r="AA48" i="4"/>
  <c r="AC48" i="4"/>
  <c r="AE48" i="4"/>
  <c r="BK48" i="4"/>
  <c r="CE48" i="4"/>
  <c r="BZ48" i="4"/>
  <c r="CJ48" i="4"/>
  <c r="BX48" i="4"/>
  <c r="CG48" i="4"/>
  <c r="BJ48" i="4"/>
  <c r="BI48" i="4"/>
  <c r="CF48" i="4"/>
  <c r="CC48" i="4"/>
  <c r="BT48" i="4"/>
  <c r="BS48" i="4"/>
  <c r="CK48" i="4"/>
  <c r="BL48" i="4"/>
  <c r="BQ48" i="4"/>
  <c r="BM48" i="4"/>
  <c r="BO48" i="4"/>
  <c r="CA48" i="4"/>
  <c r="BR48" i="4"/>
  <c r="CD48" i="4"/>
  <c r="CB48" i="4"/>
  <c r="BG48" i="4"/>
  <c r="BN48" i="4"/>
  <c r="BW48" i="4"/>
  <c r="CH48" i="4"/>
  <c r="BY48" i="4"/>
  <c r="BP48" i="4"/>
  <c r="BH48" i="4"/>
  <c r="CI48" i="4"/>
  <c r="BU48" i="4"/>
  <c r="A51" i="4" l="1"/>
  <c r="E50" i="4"/>
  <c r="J49" i="4"/>
  <c r="AH49" i="4"/>
  <c r="F49" i="4"/>
  <c r="H49" i="4"/>
  <c r="L49" i="4"/>
  <c r="N49" i="4"/>
  <c r="P49" i="4"/>
  <c r="R49" i="4"/>
  <c r="T49" i="4"/>
  <c r="V49" i="4"/>
  <c r="X49" i="4"/>
  <c r="Z49" i="4"/>
  <c r="AB49" i="4"/>
  <c r="AD49" i="4"/>
  <c r="AF49" i="4"/>
  <c r="C49" i="4"/>
  <c r="G49" i="4"/>
  <c r="I49" i="4"/>
  <c r="K49" i="4"/>
  <c r="M49" i="4"/>
  <c r="O49" i="4"/>
  <c r="Q49" i="4"/>
  <c r="S49" i="4"/>
  <c r="U49" i="4"/>
  <c r="W49" i="4"/>
  <c r="Y49" i="4"/>
  <c r="AA49" i="4"/>
  <c r="AC49" i="4"/>
  <c r="AE49" i="4"/>
  <c r="CG49" i="4"/>
  <c r="BX49" i="4"/>
  <c r="BR49" i="4"/>
  <c r="BG49" i="4"/>
  <c r="BP49" i="4"/>
  <c r="BS49" i="4"/>
  <c r="CE49" i="4"/>
  <c r="BO49" i="4"/>
  <c r="BN49" i="4"/>
  <c r="CJ49" i="4"/>
  <c r="CC49" i="4"/>
  <c r="BT49" i="4"/>
  <c r="CH49" i="4"/>
  <c r="CF49" i="4"/>
  <c r="BY49" i="4"/>
  <c r="BK49" i="4"/>
  <c r="BL49" i="4"/>
  <c r="BZ49" i="4"/>
  <c r="BI49" i="4"/>
  <c r="BH49" i="4"/>
  <c r="BW49" i="4"/>
  <c r="BU49" i="4"/>
  <c r="CK49" i="4"/>
  <c r="BJ49" i="4"/>
  <c r="BQ49" i="4"/>
  <c r="CA49" i="4"/>
  <c r="CI49" i="4"/>
  <c r="BM49" i="4"/>
  <c r="CD49" i="4"/>
  <c r="CB49" i="4"/>
  <c r="A52" i="4" l="1"/>
  <c r="E51" i="4"/>
  <c r="J50" i="4"/>
  <c r="AH50" i="4"/>
  <c r="F50" i="4"/>
  <c r="H50" i="4"/>
  <c r="L50" i="4"/>
  <c r="N50" i="4"/>
  <c r="P50" i="4"/>
  <c r="R50" i="4"/>
  <c r="T50" i="4"/>
  <c r="V50" i="4"/>
  <c r="X50" i="4"/>
  <c r="Z50" i="4"/>
  <c r="AB50" i="4"/>
  <c r="AD50" i="4"/>
  <c r="AF50" i="4"/>
  <c r="C50" i="4"/>
  <c r="G50" i="4"/>
  <c r="I50" i="4"/>
  <c r="K50" i="4"/>
  <c r="M50" i="4"/>
  <c r="O50" i="4"/>
  <c r="Q50" i="4"/>
  <c r="S50" i="4"/>
  <c r="U50" i="4"/>
  <c r="W50" i="4"/>
  <c r="Y50" i="4"/>
  <c r="AA50" i="4"/>
  <c r="AC50" i="4"/>
  <c r="AE50" i="4"/>
  <c r="CE50" i="4"/>
  <c r="BH50" i="4"/>
  <c r="BG50" i="4"/>
  <c r="CH50" i="4"/>
  <c r="CB50" i="4"/>
  <c r="BJ50" i="4"/>
  <c r="BU50" i="4"/>
  <c r="CI50" i="4"/>
  <c r="BL50" i="4"/>
  <c r="BP50" i="4"/>
  <c r="CD50" i="4"/>
  <c r="CK50" i="4"/>
  <c r="BR50" i="4"/>
  <c r="BT50" i="4"/>
  <c r="CF50" i="4"/>
  <c r="CG50" i="4"/>
  <c r="BZ50" i="4"/>
  <c r="BK50" i="4"/>
  <c r="BS50" i="4"/>
  <c r="CJ50" i="4"/>
  <c r="BQ50" i="4"/>
  <c r="BW50" i="4"/>
  <c r="BM50" i="4"/>
  <c r="BO50" i="4"/>
  <c r="BY50" i="4"/>
  <c r="CA50" i="4"/>
  <c r="BI50" i="4"/>
  <c r="CC50" i="4"/>
  <c r="BX50" i="4"/>
  <c r="BN50" i="4"/>
  <c r="A53" i="4" l="1"/>
  <c r="E52" i="4"/>
  <c r="J51" i="4"/>
  <c r="AH51" i="4"/>
  <c r="F51" i="4"/>
  <c r="H51" i="4"/>
  <c r="L51" i="4"/>
  <c r="N51" i="4"/>
  <c r="P51" i="4"/>
  <c r="R51" i="4"/>
  <c r="T51" i="4"/>
  <c r="V51" i="4"/>
  <c r="X51" i="4"/>
  <c r="Z51" i="4"/>
  <c r="AB51" i="4"/>
  <c r="AD51" i="4"/>
  <c r="AF51" i="4"/>
  <c r="C51" i="4"/>
  <c r="G51" i="4"/>
  <c r="I51" i="4"/>
  <c r="K51" i="4"/>
  <c r="M51" i="4"/>
  <c r="O51" i="4"/>
  <c r="Q51" i="4"/>
  <c r="S51" i="4"/>
  <c r="U51" i="4"/>
  <c r="W51" i="4"/>
  <c r="Y51" i="4"/>
  <c r="AA51" i="4"/>
  <c r="AC51" i="4"/>
  <c r="AE51" i="4"/>
  <c r="CC51" i="4"/>
  <c r="CG51" i="4"/>
  <c r="BN51" i="4"/>
  <c r="BG51" i="4"/>
  <c r="BM51" i="4"/>
  <c r="BQ51" i="4"/>
  <c r="CB51" i="4"/>
  <c r="BL51" i="4"/>
  <c r="CD51" i="4"/>
  <c r="BU51" i="4"/>
  <c r="CH51" i="4"/>
  <c r="CJ51" i="4"/>
  <c r="BX51" i="4"/>
  <c r="CE51" i="4"/>
  <c r="BY51" i="4"/>
  <c r="BK51" i="4"/>
  <c r="BW51" i="4"/>
  <c r="BT51" i="4"/>
  <c r="BR51" i="4"/>
  <c r="BS51" i="4"/>
  <c r="BI51" i="4"/>
  <c r="CA51" i="4"/>
  <c r="BP51" i="4"/>
  <c r="BH51" i="4"/>
  <c r="BZ51" i="4"/>
  <c r="CI51" i="4"/>
  <c r="CF51" i="4"/>
  <c r="BO51" i="4"/>
  <c r="CK51" i="4"/>
  <c r="BJ51" i="4"/>
  <c r="A54" i="4" l="1"/>
  <c r="E53" i="4"/>
  <c r="J52" i="4"/>
  <c r="AH52" i="4"/>
  <c r="C52" i="4"/>
  <c r="G52" i="4"/>
  <c r="I52" i="4"/>
  <c r="K52" i="4"/>
  <c r="M52" i="4"/>
  <c r="O52" i="4"/>
  <c r="Q52" i="4"/>
  <c r="S52" i="4"/>
  <c r="U52" i="4"/>
  <c r="W52" i="4"/>
  <c r="Y52" i="4"/>
  <c r="AA52" i="4"/>
  <c r="AC52" i="4"/>
  <c r="AE52" i="4"/>
  <c r="F52" i="4"/>
  <c r="H52" i="4"/>
  <c r="L52" i="4"/>
  <c r="N52" i="4"/>
  <c r="P52" i="4"/>
  <c r="R52" i="4"/>
  <c r="T52" i="4"/>
  <c r="V52" i="4"/>
  <c r="X52" i="4"/>
  <c r="Z52" i="4"/>
  <c r="AB52" i="4"/>
  <c r="AD52" i="4"/>
  <c r="AF52" i="4"/>
  <c r="BP52" i="4"/>
  <c r="BR52" i="4"/>
  <c r="BT52" i="4"/>
  <c r="BU52" i="4"/>
  <c r="CC52" i="4"/>
  <c r="BX52" i="4"/>
  <c r="BW52" i="4"/>
  <c r="CI52" i="4"/>
  <c r="BS52" i="4"/>
  <c r="BO52" i="4"/>
  <c r="BJ52" i="4"/>
  <c r="CF52" i="4"/>
  <c r="BK52" i="4"/>
  <c r="BM52" i="4"/>
  <c r="BZ52" i="4"/>
  <c r="CA52" i="4"/>
  <c r="BQ52" i="4"/>
  <c r="BN52" i="4"/>
  <c r="BL52" i="4"/>
  <c r="CH52" i="4"/>
  <c r="CD52" i="4"/>
  <c r="BY52" i="4"/>
  <c r="CB52" i="4"/>
  <c r="CJ52" i="4"/>
  <c r="BH52" i="4"/>
  <c r="CK52" i="4"/>
  <c r="CG52" i="4"/>
  <c r="BG52" i="4"/>
  <c r="BI52" i="4"/>
  <c r="CE52" i="4"/>
  <c r="A55" i="4" l="1"/>
  <c r="E54" i="4"/>
  <c r="J53" i="4"/>
  <c r="AH53" i="4"/>
  <c r="C53" i="4"/>
  <c r="G53" i="4"/>
  <c r="I53" i="4"/>
  <c r="K53" i="4"/>
  <c r="M53" i="4"/>
  <c r="O53" i="4"/>
  <c r="Q53" i="4"/>
  <c r="S53" i="4"/>
  <c r="U53" i="4"/>
  <c r="W53" i="4"/>
  <c r="Y53" i="4"/>
  <c r="AA53" i="4"/>
  <c r="AC53" i="4"/>
  <c r="AE53" i="4"/>
  <c r="F53" i="4"/>
  <c r="H53" i="4"/>
  <c r="L53" i="4"/>
  <c r="N53" i="4"/>
  <c r="P53" i="4"/>
  <c r="R53" i="4"/>
  <c r="T53" i="4"/>
  <c r="V53" i="4"/>
  <c r="X53" i="4"/>
  <c r="Z53" i="4"/>
  <c r="AB53" i="4"/>
  <c r="AD53" i="4"/>
  <c r="AF53" i="4"/>
  <c r="BY53" i="4"/>
  <c r="BG53" i="4"/>
  <c r="BS53" i="4"/>
  <c r="BZ53" i="4"/>
  <c r="CD53" i="4"/>
  <c r="BI53" i="4"/>
  <c r="BO53" i="4"/>
  <c r="CI53" i="4"/>
  <c r="CH53" i="4"/>
  <c r="BQ53" i="4"/>
  <c r="BN53" i="4"/>
  <c r="CF53" i="4"/>
  <c r="CE53" i="4"/>
  <c r="CK53" i="4"/>
  <c r="BR53" i="4"/>
  <c r="CJ53" i="4"/>
  <c r="BL53" i="4"/>
  <c r="CG53" i="4"/>
  <c r="BU53" i="4"/>
  <c r="BP53" i="4"/>
  <c r="CA53" i="4"/>
  <c r="BJ53" i="4"/>
  <c r="BH53" i="4"/>
  <c r="BK53" i="4"/>
  <c r="CB53" i="4"/>
  <c r="BX53" i="4"/>
  <c r="BW53" i="4"/>
  <c r="BT53" i="4"/>
  <c r="BM53" i="4"/>
  <c r="CC53" i="4"/>
  <c r="A56" i="4" l="1"/>
  <c r="E55" i="4"/>
  <c r="J54" i="4"/>
  <c r="AH54" i="4"/>
  <c r="C54" i="4"/>
  <c r="G54" i="4"/>
  <c r="I54" i="4"/>
  <c r="K54" i="4"/>
  <c r="M54" i="4"/>
  <c r="O54" i="4"/>
  <c r="Q54" i="4"/>
  <c r="S54" i="4"/>
  <c r="U54" i="4"/>
  <c r="W54" i="4"/>
  <c r="Y54" i="4"/>
  <c r="AA54" i="4"/>
  <c r="AC54" i="4"/>
  <c r="AE54" i="4"/>
  <c r="F54" i="4"/>
  <c r="H54" i="4"/>
  <c r="L54" i="4"/>
  <c r="N54" i="4"/>
  <c r="P54" i="4"/>
  <c r="R54" i="4"/>
  <c r="T54" i="4"/>
  <c r="V54" i="4"/>
  <c r="X54" i="4"/>
  <c r="Z54" i="4"/>
  <c r="AB54" i="4"/>
  <c r="AD54" i="4"/>
  <c r="AF54" i="4"/>
  <c r="BI54" i="4"/>
  <c r="CD54" i="4"/>
  <c r="BM54" i="4"/>
  <c r="CC54" i="4"/>
  <c r="CE54" i="4"/>
  <c r="BK54" i="4"/>
  <c r="BR54" i="4"/>
  <c r="BP54" i="4"/>
  <c r="CK54" i="4"/>
  <c r="BN54" i="4"/>
  <c r="BU54" i="4"/>
  <c r="BG54" i="4"/>
  <c r="BJ54" i="4"/>
  <c r="CJ54" i="4"/>
  <c r="BW54" i="4"/>
  <c r="CF54" i="4"/>
  <c r="BS54" i="4"/>
  <c r="CA54" i="4"/>
  <c r="BL54" i="4"/>
  <c r="BT54" i="4"/>
  <c r="BQ54" i="4"/>
  <c r="BH54" i="4"/>
  <c r="BX54" i="4"/>
  <c r="CH54" i="4"/>
  <c r="CI54" i="4"/>
  <c r="CG54" i="4"/>
  <c r="BZ54" i="4"/>
  <c r="BY54" i="4"/>
  <c r="BO54" i="4"/>
  <c r="CB54" i="4"/>
  <c r="A57" i="4" l="1"/>
  <c r="E56" i="4"/>
  <c r="J55" i="4"/>
  <c r="AH55" i="4"/>
  <c r="C55" i="4"/>
  <c r="G55" i="4"/>
  <c r="I55" i="4"/>
  <c r="K55" i="4"/>
  <c r="M55" i="4"/>
  <c r="O55" i="4"/>
  <c r="Q55" i="4"/>
  <c r="S55" i="4"/>
  <c r="U55" i="4"/>
  <c r="W55" i="4"/>
  <c r="Y55" i="4"/>
  <c r="AA55" i="4"/>
  <c r="AC55" i="4"/>
  <c r="AE55" i="4"/>
  <c r="F55" i="4"/>
  <c r="H55" i="4"/>
  <c r="L55" i="4"/>
  <c r="N55" i="4"/>
  <c r="P55" i="4"/>
  <c r="R55" i="4"/>
  <c r="T55" i="4"/>
  <c r="V55" i="4"/>
  <c r="X55" i="4"/>
  <c r="Z55" i="4"/>
  <c r="AB55" i="4"/>
  <c r="AD55" i="4"/>
  <c r="AF55" i="4"/>
  <c r="CE55" i="4"/>
  <c r="CB55" i="4"/>
  <c r="CK55" i="4"/>
  <c r="BM55" i="4"/>
  <c r="BL55" i="4"/>
  <c r="BU55" i="4"/>
  <c r="BS55" i="4"/>
  <c r="CF55" i="4"/>
  <c r="BO55" i="4"/>
  <c r="BJ55" i="4"/>
  <c r="BX55" i="4"/>
  <c r="BH55" i="4"/>
  <c r="BZ55" i="4"/>
  <c r="BK55" i="4"/>
  <c r="CI55" i="4"/>
  <c r="BP55" i="4"/>
  <c r="CC55" i="4"/>
  <c r="BG55" i="4"/>
  <c r="CH55" i="4"/>
  <c r="BI55" i="4"/>
  <c r="BY55" i="4"/>
  <c r="CG55" i="4"/>
  <c r="CA55" i="4"/>
  <c r="BR55" i="4"/>
  <c r="BT55" i="4"/>
  <c r="BQ55" i="4"/>
  <c r="CJ55" i="4"/>
  <c r="BN55" i="4"/>
  <c r="BW55" i="4"/>
  <c r="CD55" i="4"/>
  <c r="A58" i="4" l="1"/>
  <c r="E57" i="4"/>
  <c r="J56" i="4"/>
  <c r="AH56" i="4"/>
  <c r="C56" i="4"/>
  <c r="G56" i="4"/>
  <c r="I56" i="4"/>
  <c r="K56" i="4"/>
  <c r="M56" i="4"/>
  <c r="O56" i="4"/>
  <c r="Q56" i="4"/>
  <c r="S56" i="4"/>
  <c r="U56" i="4"/>
  <c r="W56" i="4"/>
  <c r="Y56" i="4"/>
  <c r="AA56" i="4"/>
  <c r="AC56" i="4"/>
  <c r="AE56" i="4"/>
  <c r="F56" i="4"/>
  <c r="H56" i="4"/>
  <c r="L56" i="4"/>
  <c r="N56" i="4"/>
  <c r="P56" i="4"/>
  <c r="R56" i="4"/>
  <c r="T56" i="4"/>
  <c r="V56" i="4"/>
  <c r="X56" i="4"/>
  <c r="Z56" i="4"/>
  <c r="AB56" i="4"/>
  <c r="AD56" i="4"/>
  <c r="AF56" i="4"/>
  <c r="CC56" i="4"/>
  <c r="BN56" i="4"/>
  <c r="BS56" i="4"/>
  <c r="BG56" i="4"/>
  <c r="BO56" i="4"/>
  <c r="BX56" i="4"/>
  <c r="BL56" i="4"/>
  <c r="CK56" i="4"/>
  <c r="BP56" i="4"/>
  <c r="BQ56" i="4"/>
  <c r="CJ56" i="4"/>
  <c r="BY56" i="4"/>
  <c r="BT56" i="4"/>
  <c r="BK56" i="4"/>
  <c r="CF56" i="4"/>
  <c r="BI56" i="4"/>
  <c r="BZ56" i="4"/>
  <c r="CG56" i="4"/>
  <c r="CE56" i="4"/>
  <c r="CB56" i="4"/>
  <c r="BJ56" i="4"/>
  <c r="CH56" i="4"/>
  <c r="BR56" i="4"/>
  <c r="BU56" i="4"/>
  <c r="BM56" i="4"/>
  <c r="CD56" i="4"/>
  <c r="BW56" i="4"/>
  <c r="BH56" i="4"/>
  <c r="CA56" i="4"/>
  <c r="CI56" i="4"/>
  <c r="A59" i="4" l="1"/>
  <c r="E58" i="4"/>
  <c r="J57" i="4"/>
  <c r="AH57" i="4"/>
  <c r="C57" i="4"/>
  <c r="G57" i="4"/>
  <c r="I57" i="4"/>
  <c r="K57" i="4"/>
  <c r="M57" i="4"/>
  <c r="O57" i="4"/>
  <c r="Q57" i="4"/>
  <c r="S57" i="4"/>
  <c r="U57" i="4"/>
  <c r="W57" i="4"/>
  <c r="Y57" i="4"/>
  <c r="AA57" i="4"/>
  <c r="AC57" i="4"/>
  <c r="AE57" i="4"/>
  <c r="F57" i="4"/>
  <c r="H57" i="4"/>
  <c r="L57" i="4"/>
  <c r="N57" i="4"/>
  <c r="P57" i="4"/>
  <c r="R57" i="4"/>
  <c r="T57" i="4"/>
  <c r="V57" i="4"/>
  <c r="X57" i="4"/>
  <c r="Z57" i="4"/>
  <c r="AB57" i="4"/>
  <c r="AD57" i="4"/>
  <c r="AF57" i="4"/>
  <c r="BR57" i="4"/>
  <c r="BQ57" i="4"/>
  <c r="BO57" i="4"/>
  <c r="CJ57" i="4"/>
  <c r="BL57" i="4"/>
  <c r="BJ57" i="4"/>
  <c r="BU57" i="4"/>
  <c r="BT57" i="4"/>
  <c r="CH57" i="4"/>
  <c r="BX57" i="4"/>
  <c r="BS57" i="4"/>
  <c r="BM57" i="4"/>
  <c r="CC57" i="4"/>
  <c r="BG57" i="4"/>
  <c r="BN57" i="4"/>
  <c r="CG57" i="4"/>
  <c r="BY57" i="4"/>
  <c r="BP57" i="4"/>
  <c r="CE57" i="4"/>
  <c r="CF57" i="4"/>
  <c r="CD57" i="4"/>
  <c r="CB57" i="4"/>
  <c r="BK57" i="4"/>
  <c r="BH57" i="4"/>
  <c r="CA57" i="4"/>
  <c r="BI57" i="4"/>
  <c r="CK57" i="4"/>
  <c r="BW57" i="4"/>
  <c r="CI57" i="4"/>
  <c r="BZ57" i="4"/>
  <c r="A60" i="4" l="1"/>
  <c r="E59" i="4"/>
  <c r="J58" i="4"/>
  <c r="AH58" i="4"/>
  <c r="C58" i="4"/>
  <c r="G58" i="4"/>
  <c r="I58" i="4"/>
  <c r="K58" i="4"/>
  <c r="M58" i="4"/>
  <c r="O58" i="4"/>
  <c r="Q58" i="4"/>
  <c r="S58" i="4"/>
  <c r="U58" i="4"/>
  <c r="W58" i="4"/>
  <c r="Y58" i="4"/>
  <c r="AA58" i="4"/>
  <c r="AC58" i="4"/>
  <c r="AE58" i="4"/>
  <c r="F58" i="4"/>
  <c r="H58" i="4"/>
  <c r="L58" i="4"/>
  <c r="N58" i="4"/>
  <c r="P58" i="4"/>
  <c r="R58" i="4"/>
  <c r="T58" i="4"/>
  <c r="V58" i="4"/>
  <c r="X58" i="4"/>
  <c r="Z58" i="4"/>
  <c r="AB58" i="4"/>
  <c r="AD58" i="4"/>
  <c r="AF58" i="4"/>
  <c r="BT58" i="4"/>
  <c r="BU58" i="4"/>
  <c r="BP58" i="4"/>
  <c r="CG58" i="4"/>
  <c r="BX58" i="4"/>
  <c r="BH58" i="4"/>
  <c r="BL58" i="4"/>
  <c r="CA58" i="4"/>
  <c r="CJ58" i="4"/>
  <c r="BW58" i="4"/>
  <c r="BI58" i="4"/>
  <c r="BR58" i="4"/>
  <c r="BN58" i="4"/>
  <c r="BY58" i="4"/>
  <c r="CD58" i="4"/>
  <c r="CF58" i="4"/>
  <c r="CB58" i="4"/>
  <c r="BS58" i="4"/>
  <c r="CE58" i="4"/>
  <c r="BO58" i="4"/>
  <c r="BZ58" i="4"/>
  <c r="CH58" i="4"/>
  <c r="CI58" i="4"/>
  <c r="BG58" i="4"/>
  <c r="BK58" i="4"/>
  <c r="BJ58" i="4"/>
  <c r="CK58" i="4"/>
  <c r="CC58" i="4"/>
  <c r="BM58" i="4"/>
  <c r="BQ58" i="4"/>
  <c r="A61" i="4" l="1"/>
  <c r="E60" i="4"/>
  <c r="J59" i="4"/>
  <c r="AH59" i="4"/>
  <c r="C59" i="4"/>
  <c r="G59" i="4"/>
  <c r="I59" i="4"/>
  <c r="K59" i="4"/>
  <c r="M59" i="4"/>
  <c r="O59" i="4"/>
  <c r="Q59" i="4"/>
  <c r="S59" i="4"/>
  <c r="U59" i="4"/>
  <c r="W59" i="4"/>
  <c r="Y59" i="4"/>
  <c r="AA59" i="4"/>
  <c r="AC59" i="4"/>
  <c r="AE59" i="4"/>
  <c r="F59" i="4"/>
  <c r="H59" i="4"/>
  <c r="L59" i="4"/>
  <c r="N59" i="4"/>
  <c r="P59" i="4"/>
  <c r="R59" i="4"/>
  <c r="T59" i="4"/>
  <c r="V59" i="4"/>
  <c r="X59" i="4"/>
  <c r="Z59" i="4"/>
  <c r="AB59" i="4"/>
  <c r="AD59" i="4"/>
  <c r="AF59" i="4"/>
  <c r="BO59" i="4"/>
  <c r="CK59" i="4"/>
  <c r="BX59" i="4"/>
  <c r="BM59" i="4"/>
  <c r="CI59" i="4"/>
  <c r="BN59" i="4"/>
  <c r="BR59" i="4"/>
  <c r="CG59" i="4"/>
  <c r="CJ59" i="4"/>
  <c r="BI59" i="4"/>
  <c r="BJ59" i="4"/>
  <c r="BP59" i="4"/>
  <c r="BQ59" i="4"/>
  <c r="BG59" i="4"/>
  <c r="CE59" i="4"/>
  <c r="CA59" i="4"/>
  <c r="BW59" i="4"/>
  <c r="BH59" i="4"/>
  <c r="BZ59" i="4"/>
  <c r="BS59" i="4"/>
  <c r="BU59" i="4"/>
  <c r="CB59" i="4"/>
  <c r="BK59" i="4"/>
  <c r="CC59" i="4"/>
  <c r="CF59" i="4"/>
  <c r="CH59" i="4"/>
  <c r="CD59" i="4"/>
  <c r="BL59" i="4"/>
  <c r="BY59" i="4"/>
  <c r="BT59" i="4"/>
  <c r="A62" i="4" l="1"/>
  <c r="E61" i="4"/>
  <c r="J60" i="4"/>
  <c r="AH60" i="4"/>
  <c r="C60" i="4"/>
  <c r="G60" i="4"/>
  <c r="I60" i="4"/>
  <c r="K60" i="4"/>
  <c r="M60" i="4"/>
  <c r="O60" i="4"/>
  <c r="Q60" i="4"/>
  <c r="S60" i="4"/>
  <c r="U60" i="4"/>
  <c r="W60" i="4"/>
  <c r="Y60" i="4"/>
  <c r="AA60" i="4"/>
  <c r="AC60" i="4"/>
  <c r="AE60" i="4"/>
  <c r="F60" i="4"/>
  <c r="H60" i="4"/>
  <c r="L60" i="4"/>
  <c r="N60" i="4"/>
  <c r="P60" i="4"/>
  <c r="R60" i="4"/>
  <c r="T60" i="4"/>
  <c r="V60" i="4"/>
  <c r="X60" i="4"/>
  <c r="Z60" i="4"/>
  <c r="AB60" i="4"/>
  <c r="AD60" i="4"/>
  <c r="AF60" i="4"/>
  <c r="CK60" i="4"/>
  <c r="BY60" i="4"/>
  <c r="CF60" i="4"/>
  <c r="BP60" i="4"/>
  <c r="CE60" i="4"/>
  <c r="BS60" i="4"/>
  <c r="BR60" i="4"/>
  <c r="BJ60" i="4"/>
  <c r="CI60" i="4"/>
  <c r="BH60" i="4"/>
  <c r="CD60" i="4"/>
  <c r="CH60" i="4"/>
  <c r="BT60" i="4"/>
  <c r="CJ60" i="4"/>
  <c r="BL60" i="4"/>
  <c r="BZ60" i="4"/>
  <c r="CB60" i="4"/>
  <c r="CA60" i="4"/>
  <c r="BU60" i="4"/>
  <c r="CC60" i="4"/>
  <c r="BK60" i="4"/>
  <c r="BW60" i="4"/>
  <c r="BO60" i="4"/>
  <c r="CG60" i="4"/>
  <c r="BN60" i="4"/>
  <c r="BM60" i="4"/>
  <c r="BI60" i="4"/>
  <c r="BQ60" i="4"/>
  <c r="BX60" i="4"/>
  <c r="BG60" i="4"/>
  <c r="A63" i="4" l="1"/>
  <c r="E62" i="4"/>
  <c r="J61" i="4"/>
  <c r="AH61" i="4"/>
  <c r="C61" i="4"/>
  <c r="G61" i="4"/>
  <c r="I61" i="4"/>
  <c r="K61" i="4"/>
  <c r="M61" i="4"/>
  <c r="O61" i="4"/>
  <c r="Q61" i="4"/>
  <c r="S61" i="4"/>
  <c r="U61" i="4"/>
  <c r="W61" i="4"/>
  <c r="Y61" i="4"/>
  <c r="AA61" i="4"/>
  <c r="AC61" i="4"/>
  <c r="AE61" i="4"/>
  <c r="F61" i="4"/>
  <c r="H61" i="4"/>
  <c r="L61" i="4"/>
  <c r="N61" i="4"/>
  <c r="P61" i="4"/>
  <c r="R61" i="4"/>
  <c r="T61" i="4"/>
  <c r="V61" i="4"/>
  <c r="X61" i="4"/>
  <c r="Z61" i="4"/>
  <c r="AB61" i="4"/>
  <c r="AD61" i="4"/>
  <c r="AF61" i="4"/>
  <c r="BG61" i="4"/>
  <c r="BX61" i="4"/>
  <c r="CD61" i="4"/>
  <c r="CF61" i="4"/>
  <c r="BL61" i="4"/>
  <c r="CH61" i="4"/>
  <c r="BT61" i="4"/>
  <c r="BN61" i="4"/>
  <c r="BO61" i="4"/>
  <c r="BK61" i="4"/>
  <c r="BW61" i="4"/>
  <c r="BP61" i="4"/>
  <c r="BI61" i="4"/>
  <c r="CA61" i="4"/>
  <c r="CG61" i="4"/>
  <c r="BJ61" i="4"/>
  <c r="BY61" i="4"/>
  <c r="BQ61" i="4"/>
  <c r="CC61" i="4"/>
  <c r="CE61" i="4"/>
  <c r="BU61" i="4"/>
  <c r="CB61" i="4"/>
  <c r="CJ61" i="4"/>
  <c r="BR61" i="4"/>
  <c r="BH61" i="4"/>
  <c r="BM61" i="4"/>
  <c r="CI61" i="4"/>
  <c r="BZ61" i="4"/>
  <c r="BS61" i="4"/>
  <c r="CK61" i="4"/>
  <c r="A64" i="4" l="1"/>
  <c r="E63" i="4"/>
  <c r="J62" i="4"/>
  <c r="AH62" i="4"/>
  <c r="C62" i="4"/>
  <c r="G62" i="4"/>
  <c r="I62" i="4"/>
  <c r="K62" i="4"/>
  <c r="M62" i="4"/>
  <c r="O62" i="4"/>
  <c r="Q62" i="4"/>
  <c r="S62" i="4"/>
  <c r="U62" i="4"/>
  <c r="F62" i="4"/>
  <c r="H62" i="4"/>
  <c r="L62" i="4"/>
  <c r="N62" i="4"/>
  <c r="P62" i="4"/>
  <c r="R62" i="4"/>
  <c r="V62" i="4"/>
  <c r="X62" i="4"/>
  <c r="Z62" i="4"/>
  <c r="AB62" i="4"/>
  <c r="AD62" i="4"/>
  <c r="AF62" i="4"/>
  <c r="T62" i="4"/>
  <c r="W62" i="4"/>
  <c r="Y62" i="4"/>
  <c r="AA62" i="4"/>
  <c r="AC62" i="4"/>
  <c r="AE62" i="4"/>
  <c r="CD62" i="4"/>
  <c r="BL62" i="4"/>
  <c r="BP62" i="4"/>
  <c r="CH62" i="4"/>
  <c r="BN62" i="4"/>
  <c r="BJ62" i="4"/>
  <c r="CG62" i="4"/>
  <c r="BW62" i="4"/>
  <c r="BI62" i="4"/>
  <c r="CK62" i="4"/>
  <c r="CJ62" i="4"/>
  <c r="BS62" i="4"/>
  <c r="CA62" i="4"/>
  <c r="BR62" i="4"/>
  <c r="CI62" i="4"/>
  <c r="BX62" i="4"/>
  <c r="BK62" i="4"/>
  <c r="CF62" i="4"/>
  <c r="BH62" i="4"/>
  <c r="BO62" i="4"/>
  <c r="CE62" i="4"/>
  <c r="BG62" i="4"/>
  <c r="BZ62" i="4"/>
  <c r="CB62" i="4"/>
  <c r="BM62" i="4"/>
  <c r="BY62" i="4"/>
  <c r="CC62" i="4"/>
  <c r="BT62" i="4"/>
  <c r="BU62" i="4"/>
  <c r="BQ62" i="4"/>
  <c r="A65" i="4" l="1"/>
  <c r="E64" i="4"/>
  <c r="J63" i="4"/>
  <c r="AH63" i="4"/>
  <c r="F63" i="4"/>
  <c r="H63" i="4"/>
  <c r="L63" i="4"/>
  <c r="N63" i="4"/>
  <c r="P63" i="4"/>
  <c r="R63" i="4"/>
  <c r="T63" i="4"/>
  <c r="V63" i="4"/>
  <c r="X63" i="4"/>
  <c r="Z63" i="4"/>
  <c r="AB63" i="4"/>
  <c r="AD63" i="4"/>
  <c r="AF63" i="4"/>
  <c r="C63" i="4"/>
  <c r="G63" i="4"/>
  <c r="I63" i="4"/>
  <c r="K63" i="4"/>
  <c r="M63" i="4"/>
  <c r="O63" i="4"/>
  <c r="Q63" i="4"/>
  <c r="S63" i="4"/>
  <c r="U63" i="4"/>
  <c r="W63" i="4"/>
  <c r="Y63" i="4"/>
  <c r="AA63" i="4"/>
  <c r="AC63" i="4"/>
  <c r="AE63" i="4"/>
  <c r="CI63" i="4"/>
  <c r="BR63" i="4"/>
  <c r="BK63" i="4"/>
  <c r="CJ63" i="4"/>
  <c r="CD63" i="4"/>
  <c r="BM63" i="4"/>
  <c r="BP63" i="4"/>
  <c r="CC63" i="4"/>
  <c r="BL63" i="4"/>
  <c r="BW63" i="4"/>
  <c r="BQ63" i="4"/>
  <c r="BY63" i="4"/>
  <c r="BT63" i="4"/>
  <c r="BG63" i="4"/>
  <c r="BX63" i="4"/>
  <c r="CK63" i="4"/>
  <c r="BU63" i="4"/>
  <c r="BZ63" i="4"/>
  <c r="BH63" i="4"/>
  <c r="BO63" i="4"/>
  <c r="CA63" i="4"/>
  <c r="CG63" i="4"/>
  <c r="CF63" i="4"/>
  <c r="BS63" i="4"/>
  <c r="BN63" i="4"/>
  <c r="BI63" i="4"/>
  <c r="CE63" i="4"/>
  <c r="BJ63" i="4"/>
  <c r="CH63" i="4"/>
  <c r="CB63" i="4"/>
  <c r="A66" i="4" l="1"/>
  <c r="E65" i="4"/>
  <c r="J64" i="4"/>
  <c r="AH64" i="4"/>
  <c r="F64" i="4"/>
  <c r="H64" i="4"/>
  <c r="L64" i="4"/>
  <c r="N64" i="4"/>
  <c r="P64" i="4"/>
  <c r="R64" i="4"/>
  <c r="T64" i="4"/>
  <c r="V64" i="4"/>
  <c r="X64" i="4"/>
  <c r="Z64" i="4"/>
  <c r="AB64" i="4"/>
  <c r="AD64" i="4"/>
  <c r="AF64" i="4"/>
  <c r="C64" i="4"/>
  <c r="G64" i="4"/>
  <c r="I64" i="4"/>
  <c r="K64" i="4"/>
  <c r="M64" i="4"/>
  <c r="O64" i="4"/>
  <c r="Q64" i="4"/>
  <c r="S64" i="4"/>
  <c r="U64" i="4"/>
  <c r="W64" i="4"/>
  <c r="Y64" i="4"/>
  <c r="AA64" i="4"/>
  <c r="AC64" i="4"/>
  <c r="AE64" i="4"/>
  <c r="CF64" i="4"/>
  <c r="CC64" i="4"/>
  <c r="CK64" i="4"/>
  <c r="CH64" i="4"/>
  <c r="BZ64" i="4"/>
  <c r="CG64" i="4"/>
  <c r="BJ64" i="4"/>
  <c r="BX64" i="4"/>
  <c r="CA64" i="4"/>
  <c r="BT64" i="4"/>
  <c r="BW64" i="4"/>
  <c r="BH64" i="4"/>
  <c r="BM64" i="4"/>
  <c r="CI64" i="4"/>
  <c r="BQ64" i="4"/>
  <c r="BL64" i="4"/>
  <c r="BU64" i="4"/>
  <c r="CE64" i="4"/>
  <c r="BI64" i="4"/>
  <c r="BO64" i="4"/>
  <c r="BK64" i="4"/>
  <c r="CD64" i="4"/>
  <c r="BG64" i="4"/>
  <c r="BY64" i="4"/>
  <c r="BS64" i="4"/>
  <c r="CJ64" i="4"/>
  <c r="BR64" i="4"/>
  <c r="BN64" i="4"/>
  <c r="CB64" i="4"/>
  <c r="BP64" i="4"/>
  <c r="A67" i="4" l="1"/>
  <c r="E66" i="4"/>
  <c r="J65" i="4"/>
  <c r="AH65" i="4"/>
  <c r="F65" i="4"/>
  <c r="H65" i="4"/>
  <c r="L65" i="4"/>
  <c r="N65" i="4"/>
  <c r="P65" i="4"/>
  <c r="R65" i="4"/>
  <c r="T65" i="4"/>
  <c r="V65" i="4"/>
  <c r="X65" i="4"/>
  <c r="Z65" i="4"/>
  <c r="AB65" i="4"/>
  <c r="AD65" i="4"/>
  <c r="AF65" i="4"/>
  <c r="C65" i="4"/>
  <c r="G65" i="4"/>
  <c r="I65" i="4"/>
  <c r="K65" i="4"/>
  <c r="M65" i="4"/>
  <c r="O65" i="4"/>
  <c r="Q65" i="4"/>
  <c r="S65" i="4"/>
  <c r="U65" i="4"/>
  <c r="W65" i="4"/>
  <c r="Y65" i="4"/>
  <c r="AA65" i="4"/>
  <c r="AC65" i="4"/>
  <c r="AE65" i="4"/>
  <c r="BO65" i="4"/>
  <c r="CH65" i="4"/>
  <c r="CJ65" i="4"/>
  <c r="BT65" i="4"/>
  <c r="CK65" i="4"/>
  <c r="BN65" i="4"/>
  <c r="CI65" i="4"/>
  <c r="BH65" i="4"/>
  <c r="BK65" i="4"/>
  <c r="CB65" i="4"/>
  <c r="BQ65" i="4"/>
  <c r="BS65" i="4"/>
  <c r="CF65" i="4"/>
  <c r="BX65" i="4"/>
  <c r="BL65" i="4"/>
  <c r="BZ65" i="4"/>
  <c r="CD65" i="4"/>
  <c r="BM65" i="4"/>
  <c r="BJ65" i="4"/>
  <c r="CG65" i="4"/>
  <c r="BG65" i="4"/>
  <c r="CE65" i="4"/>
  <c r="BI65" i="4"/>
  <c r="CA65" i="4"/>
  <c r="BU65" i="4"/>
  <c r="BR65" i="4"/>
  <c r="CC65" i="4"/>
  <c r="BW65" i="4"/>
  <c r="BP65" i="4"/>
  <c r="BY65" i="4"/>
  <c r="A68" i="4" l="1"/>
  <c r="E67" i="4"/>
  <c r="J66" i="4"/>
  <c r="AH66" i="4"/>
  <c r="F66" i="4"/>
  <c r="H66" i="4"/>
  <c r="L66" i="4"/>
  <c r="N66" i="4"/>
  <c r="P66" i="4"/>
  <c r="R66" i="4"/>
  <c r="T66" i="4"/>
  <c r="V66" i="4"/>
  <c r="X66" i="4"/>
  <c r="Z66" i="4"/>
  <c r="AB66" i="4"/>
  <c r="AD66" i="4"/>
  <c r="AF66" i="4"/>
  <c r="C66" i="4"/>
  <c r="G66" i="4"/>
  <c r="I66" i="4"/>
  <c r="K66" i="4"/>
  <c r="M66" i="4"/>
  <c r="O66" i="4"/>
  <c r="Q66" i="4"/>
  <c r="S66" i="4"/>
  <c r="U66" i="4"/>
  <c r="W66" i="4"/>
  <c r="Y66" i="4"/>
  <c r="AA66" i="4"/>
  <c r="AC66" i="4"/>
  <c r="AE66" i="4"/>
  <c r="BS66" i="4"/>
  <c r="BL66" i="4"/>
  <c r="CC66" i="4"/>
  <c r="BI66" i="4"/>
  <c r="BM66" i="4"/>
  <c r="CH66" i="4"/>
  <c r="BQ66" i="4"/>
  <c r="CE66" i="4"/>
  <c r="BJ66" i="4"/>
  <c r="CJ66" i="4"/>
  <c r="BR66" i="4"/>
  <c r="CK66" i="4"/>
  <c r="BO66" i="4"/>
  <c r="BX66" i="4"/>
  <c r="BT66" i="4"/>
  <c r="BY66" i="4"/>
  <c r="CF66" i="4"/>
  <c r="CA66" i="4"/>
  <c r="BZ66" i="4"/>
  <c r="BU66" i="4"/>
  <c r="BG66" i="4"/>
  <c r="BH66" i="4"/>
  <c r="CI66" i="4"/>
  <c r="CD66" i="4"/>
  <c r="CG66" i="4"/>
  <c r="BW66" i="4"/>
  <c r="BP66" i="4"/>
  <c r="BN66" i="4"/>
  <c r="CB66" i="4"/>
  <c r="BK66" i="4"/>
  <c r="A69" i="4" l="1"/>
  <c r="E68" i="4"/>
  <c r="J67" i="4"/>
  <c r="AH67" i="4"/>
  <c r="F67" i="4"/>
  <c r="H67" i="4"/>
  <c r="L67" i="4"/>
  <c r="N67" i="4"/>
  <c r="P67" i="4"/>
  <c r="R67" i="4"/>
  <c r="T67" i="4"/>
  <c r="V67" i="4"/>
  <c r="X67" i="4"/>
  <c r="Z67" i="4"/>
  <c r="AB67" i="4"/>
  <c r="AD67" i="4"/>
  <c r="AF67" i="4"/>
  <c r="C67" i="4"/>
  <c r="G67" i="4"/>
  <c r="I67" i="4"/>
  <c r="K67" i="4"/>
  <c r="M67" i="4"/>
  <c r="O67" i="4"/>
  <c r="Q67" i="4"/>
  <c r="S67" i="4"/>
  <c r="U67" i="4"/>
  <c r="W67" i="4"/>
  <c r="Y67" i="4"/>
  <c r="AA67" i="4"/>
  <c r="AC67" i="4"/>
  <c r="AE67" i="4"/>
  <c r="CF67" i="4"/>
  <c r="BM67" i="4"/>
  <c r="BN67" i="4"/>
  <c r="CJ67" i="4"/>
  <c r="CE67" i="4"/>
  <c r="BT67" i="4"/>
  <c r="BS67" i="4"/>
  <c r="CK67" i="4"/>
  <c r="CB67" i="4"/>
  <c r="BW67" i="4"/>
  <c r="BP67" i="4"/>
  <c r="BR67" i="4"/>
  <c r="BQ67" i="4"/>
  <c r="BL67" i="4"/>
  <c r="BU67" i="4"/>
  <c r="CG67" i="4"/>
  <c r="BY67" i="4"/>
  <c r="BI67" i="4"/>
  <c r="BX67" i="4"/>
  <c r="CD67" i="4"/>
  <c r="BZ67" i="4"/>
  <c r="CI67" i="4"/>
  <c r="CA67" i="4"/>
  <c r="BG67" i="4"/>
  <c r="BK67" i="4"/>
  <c r="BO67" i="4"/>
  <c r="CC67" i="4"/>
  <c r="BJ67" i="4"/>
  <c r="BH67" i="4"/>
  <c r="CH67" i="4"/>
  <c r="A70" i="4" l="1"/>
  <c r="E69" i="4"/>
  <c r="J68" i="4"/>
  <c r="AH68" i="4"/>
  <c r="F68" i="4"/>
  <c r="H68" i="4"/>
  <c r="L68" i="4"/>
  <c r="N68" i="4"/>
  <c r="P68" i="4"/>
  <c r="R68" i="4"/>
  <c r="T68" i="4"/>
  <c r="V68" i="4"/>
  <c r="X68" i="4"/>
  <c r="Z68" i="4"/>
  <c r="AB68" i="4"/>
  <c r="AD68" i="4"/>
  <c r="AF68" i="4"/>
  <c r="C68" i="4"/>
  <c r="G68" i="4"/>
  <c r="I68" i="4"/>
  <c r="K68" i="4"/>
  <c r="M68" i="4"/>
  <c r="O68" i="4"/>
  <c r="Q68" i="4"/>
  <c r="S68" i="4"/>
  <c r="U68" i="4"/>
  <c r="W68" i="4"/>
  <c r="Y68" i="4"/>
  <c r="AA68" i="4"/>
  <c r="AC68" i="4"/>
  <c r="AE68" i="4"/>
  <c r="CE68" i="4"/>
  <c r="CD68" i="4"/>
  <c r="CG68" i="4"/>
  <c r="BJ68" i="4"/>
  <c r="BR68" i="4"/>
  <c r="BP68" i="4"/>
  <c r="BL68" i="4"/>
  <c r="BH68" i="4"/>
  <c r="BU68" i="4"/>
  <c r="BM68" i="4"/>
  <c r="CH68" i="4"/>
  <c r="CC68" i="4"/>
  <c r="CF68" i="4"/>
  <c r="CA68" i="4"/>
  <c r="CJ68" i="4"/>
  <c r="BQ68" i="4"/>
  <c r="BK68" i="4"/>
  <c r="BZ68" i="4"/>
  <c r="BY68" i="4"/>
  <c r="CI68" i="4"/>
  <c r="BN68" i="4"/>
  <c r="BI68" i="4"/>
  <c r="BO68" i="4"/>
  <c r="BX68" i="4"/>
  <c r="BT68" i="4"/>
  <c r="BG68" i="4"/>
  <c r="BW68" i="4"/>
  <c r="BS68" i="4"/>
  <c r="CK68" i="4"/>
  <c r="CB68" i="4"/>
  <c r="A71" i="4" l="1"/>
  <c r="E70" i="4"/>
  <c r="J69" i="4"/>
  <c r="AH69" i="4"/>
  <c r="F69" i="4"/>
  <c r="H69" i="4"/>
  <c r="L69" i="4"/>
  <c r="N69" i="4"/>
  <c r="P69" i="4"/>
  <c r="R69" i="4"/>
  <c r="T69" i="4"/>
  <c r="V69" i="4"/>
  <c r="X69" i="4"/>
  <c r="Z69" i="4"/>
  <c r="AB69" i="4"/>
  <c r="AD69" i="4"/>
  <c r="AF69" i="4"/>
  <c r="C69" i="4"/>
  <c r="G69" i="4"/>
  <c r="I69" i="4"/>
  <c r="K69" i="4"/>
  <c r="M69" i="4"/>
  <c r="O69" i="4"/>
  <c r="Q69" i="4"/>
  <c r="S69" i="4"/>
  <c r="U69" i="4"/>
  <c r="W69" i="4"/>
  <c r="Y69" i="4"/>
  <c r="AA69" i="4"/>
  <c r="AC69" i="4"/>
  <c r="AE69" i="4"/>
  <c r="CD69" i="4"/>
  <c r="BK69" i="4"/>
  <c r="BN69" i="4"/>
  <c r="BZ69" i="4"/>
  <c r="BG69" i="4"/>
  <c r="BW69" i="4"/>
  <c r="BU69" i="4"/>
  <c r="CI69" i="4"/>
  <c r="BT69" i="4"/>
  <c r="CH69" i="4"/>
  <c r="CA69" i="4"/>
  <c r="CB69" i="4"/>
  <c r="BP69" i="4"/>
  <c r="BI69" i="4"/>
  <c r="CE69" i="4"/>
  <c r="CG69" i="4"/>
  <c r="BL69" i="4"/>
  <c r="CK69" i="4"/>
  <c r="BR69" i="4"/>
  <c r="BX69" i="4"/>
  <c r="BH69" i="4"/>
  <c r="CC69" i="4"/>
  <c r="BO69" i="4"/>
  <c r="BJ69" i="4"/>
  <c r="BM69" i="4"/>
  <c r="BQ69" i="4"/>
  <c r="CJ69" i="4"/>
  <c r="BY69" i="4"/>
  <c r="BS69" i="4"/>
  <c r="CF69" i="4"/>
  <c r="A72" i="4" l="1"/>
  <c r="E71" i="4"/>
  <c r="J70" i="4"/>
  <c r="AH70" i="4"/>
  <c r="F70" i="4"/>
  <c r="H70" i="4"/>
  <c r="L70" i="4"/>
  <c r="N70" i="4"/>
  <c r="P70" i="4"/>
  <c r="R70" i="4"/>
  <c r="T70" i="4"/>
  <c r="V70" i="4"/>
  <c r="X70" i="4"/>
  <c r="Z70" i="4"/>
  <c r="AB70" i="4"/>
  <c r="AD70" i="4"/>
  <c r="AF70" i="4"/>
  <c r="C70" i="4"/>
  <c r="G70" i="4"/>
  <c r="I70" i="4"/>
  <c r="K70" i="4"/>
  <c r="M70" i="4"/>
  <c r="O70" i="4"/>
  <c r="Q70" i="4"/>
  <c r="S70" i="4"/>
  <c r="U70" i="4"/>
  <c r="W70" i="4"/>
  <c r="Y70" i="4"/>
  <c r="AA70" i="4"/>
  <c r="AC70" i="4"/>
  <c r="AE70" i="4"/>
  <c r="BS70" i="4"/>
  <c r="BK70" i="4"/>
  <c r="BL70" i="4"/>
  <c r="CH70" i="4"/>
  <c r="BJ70" i="4"/>
  <c r="BU70" i="4"/>
  <c r="BX70" i="4"/>
  <c r="CD70" i="4"/>
  <c r="BW70" i="4"/>
  <c r="CK70" i="4"/>
  <c r="BM70" i="4"/>
  <c r="BH70" i="4"/>
  <c r="BN70" i="4"/>
  <c r="BY70" i="4"/>
  <c r="CI70" i="4"/>
  <c r="BI70" i="4"/>
  <c r="CG70" i="4"/>
  <c r="CC70" i="4"/>
  <c r="CJ70" i="4"/>
  <c r="BO70" i="4"/>
  <c r="CF70" i="4"/>
  <c r="BT70" i="4"/>
  <c r="BQ70" i="4"/>
  <c r="BR70" i="4"/>
  <c r="BP70" i="4"/>
  <c r="BZ70" i="4"/>
  <c r="CA70" i="4"/>
  <c r="BG70" i="4"/>
  <c r="CB70" i="4"/>
  <c r="CE70" i="4"/>
  <c r="A73" i="4" l="1"/>
  <c r="E72" i="4"/>
  <c r="J71" i="4"/>
  <c r="AH71" i="4"/>
  <c r="F71" i="4"/>
  <c r="H71" i="4"/>
  <c r="L71" i="4"/>
  <c r="N71" i="4"/>
  <c r="P71" i="4"/>
  <c r="R71" i="4"/>
  <c r="T71" i="4"/>
  <c r="V71" i="4"/>
  <c r="X71" i="4"/>
  <c r="Z71" i="4"/>
  <c r="AB71" i="4"/>
  <c r="AD71" i="4"/>
  <c r="AF71" i="4"/>
  <c r="C71" i="4"/>
  <c r="G71" i="4"/>
  <c r="I71" i="4"/>
  <c r="K71" i="4"/>
  <c r="M71" i="4"/>
  <c r="O71" i="4"/>
  <c r="Q71" i="4"/>
  <c r="S71" i="4"/>
  <c r="U71" i="4"/>
  <c r="W71" i="4"/>
  <c r="Y71" i="4"/>
  <c r="AA71" i="4"/>
  <c r="AC71" i="4"/>
  <c r="AE71" i="4"/>
  <c r="BO71" i="4"/>
  <c r="BM71" i="4"/>
  <c r="CA71" i="4"/>
  <c r="CG71" i="4"/>
  <c r="BU71" i="4"/>
  <c r="BP71" i="4"/>
  <c r="BX71" i="4"/>
  <c r="CF71" i="4"/>
  <c r="CB71" i="4"/>
  <c r="BS71" i="4"/>
  <c r="BZ71" i="4"/>
  <c r="CJ71" i="4"/>
  <c r="CE71" i="4"/>
  <c r="BT71" i="4"/>
  <c r="BJ71" i="4"/>
  <c r="CH71" i="4"/>
  <c r="BN71" i="4"/>
  <c r="BW71" i="4"/>
  <c r="CD71" i="4"/>
  <c r="BK71" i="4"/>
  <c r="BQ71" i="4"/>
  <c r="BH71" i="4"/>
  <c r="BL71" i="4"/>
  <c r="BG71" i="4"/>
  <c r="BR71" i="4"/>
  <c r="CK71" i="4"/>
  <c r="BI71" i="4"/>
  <c r="CI71" i="4"/>
  <c r="BY71" i="4"/>
  <c r="CC71" i="4"/>
  <c r="A74" i="4" l="1"/>
  <c r="E73" i="4"/>
  <c r="J72" i="4"/>
  <c r="AH72" i="4"/>
  <c r="F72" i="4"/>
  <c r="H72" i="4"/>
  <c r="L72" i="4"/>
  <c r="N72" i="4"/>
  <c r="P72" i="4"/>
  <c r="R72" i="4"/>
  <c r="T72" i="4"/>
  <c r="V72" i="4"/>
  <c r="X72" i="4"/>
  <c r="Z72" i="4"/>
  <c r="AB72" i="4"/>
  <c r="AD72" i="4"/>
  <c r="AF72" i="4"/>
  <c r="C72" i="4"/>
  <c r="G72" i="4"/>
  <c r="I72" i="4"/>
  <c r="K72" i="4"/>
  <c r="M72" i="4"/>
  <c r="O72" i="4"/>
  <c r="Q72" i="4"/>
  <c r="S72" i="4"/>
  <c r="U72" i="4"/>
  <c r="W72" i="4"/>
  <c r="Y72" i="4"/>
  <c r="AA72" i="4"/>
  <c r="AC72" i="4"/>
  <c r="AE72" i="4"/>
  <c r="CB72" i="4"/>
  <c r="BI72" i="4"/>
  <c r="CH72" i="4"/>
  <c r="BS72" i="4"/>
  <c r="BG72" i="4"/>
  <c r="BQ72" i="4"/>
  <c r="BP72" i="4"/>
  <c r="BT72" i="4"/>
  <c r="CC72" i="4"/>
  <c r="BK72" i="4"/>
  <c r="BU72" i="4"/>
  <c r="BN72" i="4"/>
  <c r="CE72" i="4"/>
  <c r="CF72" i="4"/>
  <c r="CG72" i="4"/>
  <c r="CA72" i="4"/>
  <c r="CI72" i="4"/>
  <c r="CD72" i="4"/>
  <c r="CJ72" i="4"/>
  <c r="BR72" i="4"/>
  <c r="CK72" i="4"/>
  <c r="BY72" i="4"/>
  <c r="BL72" i="4"/>
  <c r="BX72" i="4"/>
  <c r="BW72" i="4"/>
  <c r="BZ72" i="4"/>
  <c r="BM72" i="4"/>
  <c r="BO72" i="4"/>
  <c r="BJ72" i="4"/>
  <c r="BH72" i="4"/>
  <c r="A75" i="4" l="1"/>
  <c r="E74" i="4"/>
  <c r="J73" i="4"/>
  <c r="AH73" i="4"/>
  <c r="C73" i="4"/>
  <c r="G73" i="4"/>
  <c r="I73" i="4"/>
  <c r="K73" i="4"/>
  <c r="M73" i="4"/>
  <c r="O73" i="4"/>
  <c r="Q73" i="4"/>
  <c r="S73" i="4"/>
  <c r="U73" i="4"/>
  <c r="W73" i="4"/>
  <c r="Y73" i="4"/>
  <c r="AA73" i="4"/>
  <c r="AC73" i="4"/>
  <c r="AE73" i="4"/>
  <c r="F73" i="4"/>
  <c r="H73" i="4"/>
  <c r="L73" i="4"/>
  <c r="N73" i="4"/>
  <c r="P73" i="4"/>
  <c r="R73" i="4"/>
  <c r="T73" i="4"/>
  <c r="V73" i="4"/>
  <c r="X73" i="4"/>
  <c r="Z73" i="4"/>
  <c r="AB73" i="4"/>
  <c r="AD73" i="4"/>
  <c r="AF73" i="4"/>
  <c r="BL73" i="4"/>
  <c r="CB73" i="4"/>
  <c r="BI73" i="4"/>
  <c r="CE73" i="4"/>
  <c r="CK73" i="4"/>
  <c r="BO73" i="4"/>
  <c r="BP73" i="4"/>
  <c r="CI73" i="4"/>
  <c r="BU73" i="4"/>
  <c r="BT73" i="4"/>
  <c r="CC73" i="4"/>
  <c r="BJ73" i="4"/>
  <c r="BM73" i="4"/>
  <c r="CJ73" i="4"/>
  <c r="BS73" i="4"/>
  <c r="BZ73" i="4"/>
  <c r="BK73" i="4"/>
  <c r="CD73" i="4"/>
  <c r="BY73" i="4"/>
  <c r="CG73" i="4"/>
  <c r="BW73" i="4"/>
  <c r="BH73" i="4"/>
  <c r="BX73" i="4"/>
  <c r="BG73" i="4"/>
  <c r="BN73" i="4"/>
  <c r="BR73" i="4"/>
  <c r="CH73" i="4"/>
  <c r="CF73" i="4"/>
  <c r="BQ73" i="4"/>
  <c r="CA73" i="4"/>
  <c r="A76" i="4" l="1"/>
  <c r="E75" i="4"/>
  <c r="J74" i="4"/>
  <c r="AH74" i="4"/>
  <c r="C74" i="4"/>
  <c r="G74" i="4"/>
  <c r="I74" i="4"/>
  <c r="K74" i="4"/>
  <c r="M74" i="4"/>
  <c r="O74" i="4"/>
  <c r="Q74" i="4"/>
  <c r="S74" i="4"/>
  <c r="U74" i="4"/>
  <c r="W74" i="4"/>
  <c r="Y74" i="4"/>
  <c r="AA74" i="4"/>
  <c r="AC74" i="4"/>
  <c r="AE74" i="4"/>
  <c r="F74" i="4"/>
  <c r="H74" i="4"/>
  <c r="L74" i="4"/>
  <c r="N74" i="4"/>
  <c r="P74" i="4"/>
  <c r="R74" i="4"/>
  <c r="T74" i="4"/>
  <c r="V74" i="4"/>
  <c r="X74" i="4"/>
  <c r="Z74" i="4"/>
  <c r="AB74" i="4"/>
  <c r="AD74" i="4"/>
  <c r="AF74" i="4"/>
  <c r="BT74" i="4"/>
  <c r="CH74" i="4"/>
  <c r="CK74" i="4"/>
  <c r="BZ74" i="4"/>
  <c r="BO74" i="4"/>
  <c r="CJ74" i="4"/>
  <c r="CA74" i="4"/>
  <c r="BH74" i="4"/>
  <c r="BG74" i="4"/>
  <c r="BM74" i="4"/>
  <c r="BX74" i="4"/>
  <c r="CE74" i="4"/>
  <c r="BP74" i="4"/>
  <c r="CC74" i="4"/>
  <c r="CI74" i="4"/>
  <c r="BL74" i="4"/>
  <c r="BY74" i="4"/>
  <c r="CF74" i="4"/>
  <c r="BW74" i="4"/>
  <c r="BU74" i="4"/>
  <c r="BQ74" i="4"/>
  <c r="BS74" i="4"/>
  <c r="BJ74" i="4"/>
  <c r="CG74" i="4"/>
  <c r="BI74" i="4"/>
  <c r="BK74" i="4"/>
  <c r="CD74" i="4"/>
  <c r="CB74" i="4"/>
  <c r="BN74" i="4"/>
  <c r="BR74" i="4"/>
  <c r="A77" i="4" l="1"/>
  <c r="E76" i="4"/>
  <c r="J75" i="4"/>
  <c r="AH75" i="4"/>
  <c r="C75" i="4"/>
  <c r="G75" i="4"/>
  <c r="I75" i="4"/>
  <c r="K75" i="4"/>
  <c r="M75" i="4"/>
  <c r="O75" i="4"/>
  <c r="Q75" i="4"/>
  <c r="S75" i="4"/>
  <c r="U75" i="4"/>
  <c r="W75" i="4"/>
  <c r="Y75" i="4"/>
  <c r="AA75" i="4"/>
  <c r="AC75" i="4"/>
  <c r="AE75" i="4"/>
  <c r="F75" i="4"/>
  <c r="H75" i="4"/>
  <c r="L75" i="4"/>
  <c r="N75" i="4"/>
  <c r="P75" i="4"/>
  <c r="R75" i="4"/>
  <c r="T75" i="4"/>
  <c r="V75" i="4"/>
  <c r="X75" i="4"/>
  <c r="Z75" i="4"/>
  <c r="AB75" i="4"/>
  <c r="AD75" i="4"/>
  <c r="AF75" i="4"/>
  <c r="BR75" i="4"/>
  <c r="CD75" i="4"/>
  <c r="CA75" i="4"/>
  <c r="CG75" i="4"/>
  <c r="CH75" i="4"/>
  <c r="BG75" i="4"/>
  <c r="BJ75" i="4"/>
  <c r="CJ75" i="4"/>
  <c r="BY75" i="4"/>
  <c r="BQ75" i="4"/>
  <c r="BP75" i="4"/>
  <c r="BU75" i="4"/>
  <c r="BZ75" i="4"/>
  <c r="BS75" i="4"/>
  <c r="CC75" i="4"/>
  <c r="BM75" i="4"/>
  <c r="BL75" i="4"/>
  <c r="BK75" i="4"/>
  <c r="CF75" i="4"/>
  <c r="BX75" i="4"/>
  <c r="CE75" i="4"/>
  <c r="BN75" i="4"/>
  <c r="BH75" i="4"/>
  <c r="BI75" i="4"/>
  <c r="CI75" i="4"/>
  <c r="CK75" i="4"/>
  <c r="CB75" i="4"/>
  <c r="BT75" i="4"/>
  <c r="BW75" i="4"/>
  <c r="BO75" i="4"/>
  <c r="A78" i="4" l="1"/>
  <c r="E77" i="4"/>
  <c r="J76" i="4"/>
  <c r="AH76" i="4"/>
  <c r="C76" i="4"/>
  <c r="G76" i="4"/>
  <c r="I76" i="4"/>
  <c r="K76" i="4"/>
  <c r="M76" i="4"/>
  <c r="O76" i="4"/>
  <c r="Q76" i="4"/>
  <c r="S76" i="4"/>
  <c r="U76" i="4"/>
  <c r="W76" i="4"/>
  <c r="Y76" i="4"/>
  <c r="AA76" i="4"/>
  <c r="AC76" i="4"/>
  <c r="AE76" i="4"/>
  <c r="F76" i="4"/>
  <c r="H76" i="4"/>
  <c r="L76" i="4"/>
  <c r="N76" i="4"/>
  <c r="P76" i="4"/>
  <c r="R76" i="4"/>
  <c r="T76" i="4"/>
  <c r="V76" i="4"/>
  <c r="X76" i="4"/>
  <c r="Z76" i="4"/>
  <c r="AB76" i="4"/>
  <c r="AD76" i="4"/>
  <c r="AF76" i="4"/>
  <c r="BP76" i="4"/>
  <c r="BW76" i="4"/>
  <c r="BS76" i="4"/>
  <c r="CH76" i="4"/>
  <c r="BT76" i="4"/>
  <c r="CG76" i="4"/>
  <c r="CB76" i="4"/>
  <c r="CE76" i="4"/>
  <c r="CC76" i="4"/>
  <c r="BX76" i="4"/>
  <c r="BG76" i="4"/>
  <c r="CF76" i="4"/>
  <c r="CA76" i="4"/>
  <c r="BK76" i="4"/>
  <c r="CD76" i="4"/>
  <c r="BH76" i="4"/>
  <c r="BI76" i="4"/>
  <c r="BL76" i="4"/>
  <c r="BN76" i="4"/>
  <c r="BR76" i="4"/>
  <c r="CI76" i="4"/>
  <c r="BO76" i="4"/>
  <c r="CK76" i="4"/>
  <c r="BU76" i="4"/>
  <c r="BM76" i="4"/>
  <c r="BQ76" i="4"/>
  <c r="BY76" i="4"/>
  <c r="BJ76" i="4"/>
  <c r="BZ76" i="4"/>
  <c r="CJ76" i="4"/>
  <c r="A79" i="4" l="1"/>
  <c r="E78" i="4"/>
  <c r="J77" i="4"/>
  <c r="AH77" i="4"/>
  <c r="C77" i="4"/>
  <c r="G77" i="4"/>
  <c r="I77" i="4"/>
  <c r="K77" i="4"/>
  <c r="M77" i="4"/>
  <c r="O77" i="4"/>
  <c r="Q77" i="4"/>
  <c r="S77" i="4"/>
  <c r="U77" i="4"/>
  <c r="W77" i="4"/>
  <c r="Y77" i="4"/>
  <c r="AA77" i="4"/>
  <c r="AC77" i="4"/>
  <c r="AE77" i="4"/>
  <c r="F77" i="4"/>
  <c r="H77" i="4"/>
  <c r="L77" i="4"/>
  <c r="N77" i="4"/>
  <c r="P77" i="4"/>
  <c r="R77" i="4"/>
  <c r="T77" i="4"/>
  <c r="V77" i="4"/>
  <c r="X77" i="4"/>
  <c r="Z77" i="4"/>
  <c r="AB77" i="4"/>
  <c r="AD77" i="4"/>
  <c r="AF77" i="4"/>
  <c r="BY77" i="4"/>
  <c r="CA77" i="4"/>
  <c r="CG77" i="4"/>
  <c r="BU77" i="4"/>
  <c r="CD77" i="4"/>
  <c r="BM77" i="4"/>
  <c r="CI77" i="4"/>
  <c r="BP77" i="4"/>
  <c r="BJ77" i="4"/>
  <c r="BS77" i="4"/>
  <c r="BL77" i="4"/>
  <c r="CK77" i="4"/>
  <c r="BO77" i="4"/>
  <c r="CE77" i="4"/>
  <c r="CC77" i="4"/>
  <c r="BQ77" i="4"/>
  <c r="CB77" i="4"/>
  <c r="BZ77" i="4"/>
  <c r="BI77" i="4"/>
  <c r="BH77" i="4"/>
  <c r="BK77" i="4"/>
  <c r="BG77" i="4"/>
  <c r="BW77" i="4"/>
  <c r="BT77" i="4"/>
  <c r="CJ77" i="4"/>
  <c r="CH77" i="4"/>
  <c r="BN77" i="4"/>
  <c r="BX77" i="4"/>
  <c r="BR77" i="4"/>
  <c r="CF77" i="4"/>
  <c r="A80" i="4" l="1"/>
  <c r="E79" i="4"/>
  <c r="J78" i="4"/>
  <c r="AH78" i="4"/>
  <c r="C78" i="4"/>
  <c r="G78" i="4"/>
  <c r="I78" i="4"/>
  <c r="K78" i="4"/>
  <c r="M78" i="4"/>
  <c r="O78" i="4"/>
  <c r="Q78" i="4"/>
  <c r="S78" i="4"/>
  <c r="U78" i="4"/>
  <c r="W78" i="4"/>
  <c r="Y78" i="4"/>
  <c r="AA78" i="4"/>
  <c r="AC78" i="4"/>
  <c r="AE78" i="4"/>
  <c r="F78" i="4"/>
  <c r="H78" i="4"/>
  <c r="L78" i="4"/>
  <c r="N78" i="4"/>
  <c r="P78" i="4"/>
  <c r="R78" i="4"/>
  <c r="T78" i="4"/>
  <c r="V78" i="4"/>
  <c r="X78" i="4"/>
  <c r="Z78" i="4"/>
  <c r="AB78" i="4"/>
  <c r="AD78" i="4"/>
  <c r="AF78" i="4"/>
  <c r="BX78" i="4"/>
  <c r="BQ78" i="4"/>
  <c r="BJ78" i="4"/>
  <c r="BM78" i="4"/>
  <c r="BI78" i="4"/>
  <c r="CK78" i="4"/>
  <c r="BL78" i="4"/>
  <c r="BY78" i="4"/>
  <c r="BP78" i="4"/>
  <c r="CG78" i="4"/>
  <c r="CC78" i="4"/>
  <c r="CE78" i="4"/>
  <c r="BR78" i="4"/>
  <c r="BT78" i="4"/>
  <c r="BS78" i="4"/>
  <c r="BZ78" i="4"/>
  <c r="BO78" i="4"/>
  <c r="BN78" i="4"/>
  <c r="BU78" i="4"/>
  <c r="CB78" i="4"/>
  <c r="CA78" i="4"/>
  <c r="CH78" i="4"/>
  <c r="BK78" i="4"/>
  <c r="CJ78" i="4"/>
  <c r="CF78" i="4"/>
  <c r="BG78" i="4"/>
  <c r="CD78" i="4"/>
  <c r="BW78" i="4"/>
  <c r="CI78" i="4"/>
  <c r="BH78" i="4"/>
  <c r="A81" i="4" l="1"/>
  <c r="E80" i="4"/>
  <c r="J79" i="4"/>
  <c r="AH79" i="4"/>
  <c r="C79" i="4"/>
  <c r="G79" i="4"/>
  <c r="I79" i="4"/>
  <c r="K79" i="4"/>
  <c r="M79" i="4"/>
  <c r="O79" i="4"/>
  <c r="Q79" i="4"/>
  <c r="S79" i="4"/>
  <c r="U79" i="4"/>
  <c r="W79" i="4"/>
  <c r="Y79" i="4"/>
  <c r="AA79" i="4"/>
  <c r="AC79" i="4"/>
  <c r="AE79" i="4"/>
  <c r="F79" i="4"/>
  <c r="H79" i="4"/>
  <c r="L79" i="4"/>
  <c r="N79" i="4"/>
  <c r="P79" i="4"/>
  <c r="R79" i="4"/>
  <c r="T79" i="4"/>
  <c r="V79" i="4"/>
  <c r="X79" i="4"/>
  <c r="Z79" i="4"/>
  <c r="AB79" i="4"/>
  <c r="AD79" i="4"/>
  <c r="AF79" i="4"/>
  <c r="BR79" i="4"/>
  <c r="BP79" i="4"/>
  <c r="BQ79" i="4"/>
  <c r="CI79" i="4"/>
  <c r="BG79" i="4"/>
  <c r="BX79" i="4"/>
  <c r="BT79" i="4"/>
  <c r="BU79" i="4"/>
  <c r="CA79" i="4"/>
  <c r="BS79" i="4"/>
  <c r="BH79" i="4"/>
  <c r="CD79" i="4"/>
  <c r="CJ79" i="4"/>
  <c r="BL79" i="4"/>
  <c r="BY79" i="4"/>
  <c r="CK79" i="4"/>
  <c r="BI79" i="4"/>
  <c r="BW79" i="4"/>
  <c r="CG79" i="4"/>
  <c r="BJ79" i="4"/>
  <c r="BZ79" i="4"/>
  <c r="CF79" i="4"/>
  <c r="BN79" i="4"/>
  <c r="BK79" i="4"/>
  <c r="BM79" i="4"/>
  <c r="CE79" i="4"/>
  <c r="CC79" i="4"/>
  <c r="CH79" i="4"/>
  <c r="CB79" i="4"/>
  <c r="BO79" i="4"/>
  <c r="A82" i="4" l="1"/>
  <c r="E81" i="4"/>
  <c r="J80" i="4"/>
  <c r="AH80" i="4"/>
  <c r="C80" i="4"/>
  <c r="G80" i="4"/>
  <c r="I80" i="4"/>
  <c r="K80" i="4"/>
  <c r="M80" i="4"/>
  <c r="O80" i="4"/>
  <c r="Q80" i="4"/>
  <c r="S80" i="4"/>
  <c r="U80" i="4"/>
  <c r="W80" i="4"/>
  <c r="Y80" i="4"/>
  <c r="AA80" i="4"/>
  <c r="AC80" i="4"/>
  <c r="AE80" i="4"/>
  <c r="F80" i="4"/>
  <c r="H80" i="4"/>
  <c r="L80" i="4"/>
  <c r="N80" i="4"/>
  <c r="P80" i="4"/>
  <c r="R80" i="4"/>
  <c r="T80" i="4"/>
  <c r="V80" i="4"/>
  <c r="X80" i="4"/>
  <c r="Z80" i="4"/>
  <c r="AB80" i="4"/>
  <c r="AD80" i="4"/>
  <c r="AF80" i="4"/>
  <c r="CH80" i="4"/>
  <c r="BJ80" i="4"/>
  <c r="CC80" i="4"/>
  <c r="CI80" i="4"/>
  <c r="CE80" i="4"/>
  <c r="BY80" i="4"/>
  <c r="BU80" i="4"/>
  <c r="BR80" i="4"/>
  <c r="CJ80" i="4"/>
  <c r="BI80" i="4"/>
  <c r="BK80" i="4"/>
  <c r="BT80" i="4"/>
  <c r="CD80" i="4"/>
  <c r="BW80" i="4"/>
  <c r="BQ80" i="4"/>
  <c r="BS80" i="4"/>
  <c r="CK80" i="4"/>
  <c r="BX80" i="4"/>
  <c r="BL80" i="4"/>
  <c r="BP80" i="4"/>
  <c r="BN80" i="4"/>
  <c r="BG80" i="4"/>
  <c r="CG80" i="4"/>
  <c r="BM80" i="4"/>
  <c r="CB80" i="4"/>
  <c r="CF80" i="4"/>
  <c r="CA80" i="4"/>
  <c r="BZ80" i="4"/>
  <c r="BH80" i="4"/>
  <c r="BO80" i="4"/>
  <c r="A83" i="4" l="1"/>
  <c r="E82" i="4"/>
  <c r="J81" i="4"/>
  <c r="AH81" i="4"/>
  <c r="C81" i="4"/>
  <c r="G81" i="4"/>
  <c r="I81" i="4"/>
  <c r="K81" i="4"/>
  <c r="M81" i="4"/>
  <c r="O81" i="4"/>
  <c r="Q81" i="4"/>
  <c r="S81" i="4"/>
  <c r="U81" i="4"/>
  <c r="W81" i="4"/>
  <c r="Y81" i="4"/>
  <c r="AA81" i="4"/>
  <c r="AC81" i="4"/>
  <c r="AE81" i="4"/>
  <c r="F81" i="4"/>
  <c r="H81" i="4"/>
  <c r="L81" i="4"/>
  <c r="N81" i="4"/>
  <c r="P81" i="4"/>
  <c r="R81" i="4"/>
  <c r="T81" i="4"/>
  <c r="V81" i="4"/>
  <c r="X81" i="4"/>
  <c r="Z81" i="4"/>
  <c r="AB81" i="4"/>
  <c r="AD81" i="4"/>
  <c r="AF81" i="4"/>
  <c r="CH81" i="4"/>
  <c r="BR81" i="4"/>
  <c r="BS81" i="4"/>
  <c r="BX81" i="4"/>
  <c r="BH81" i="4"/>
  <c r="BW81" i="4"/>
  <c r="BK81" i="4"/>
  <c r="CC81" i="4"/>
  <c r="BT81" i="4"/>
  <c r="CB81" i="4"/>
  <c r="CJ81" i="4"/>
  <c r="CA81" i="4"/>
  <c r="CE81" i="4"/>
  <c r="BI81" i="4"/>
  <c r="BU81" i="4"/>
  <c r="BJ81" i="4"/>
  <c r="BY81" i="4"/>
  <c r="CD81" i="4"/>
  <c r="BQ81" i="4"/>
  <c r="BP81" i="4"/>
  <c r="CK81" i="4"/>
  <c r="BO81" i="4"/>
  <c r="BM81" i="4"/>
  <c r="CF81" i="4"/>
  <c r="BG81" i="4"/>
  <c r="BL81" i="4"/>
  <c r="CI81" i="4"/>
  <c r="BZ81" i="4"/>
  <c r="BN81" i="4"/>
  <c r="CG81" i="4"/>
  <c r="A84" i="4" l="1"/>
  <c r="E83" i="4"/>
  <c r="J82" i="4"/>
  <c r="AH82" i="4"/>
  <c r="C82" i="4"/>
  <c r="G82" i="4"/>
  <c r="I82" i="4"/>
  <c r="K82" i="4"/>
  <c r="M82" i="4"/>
  <c r="O82" i="4"/>
  <c r="Q82" i="4"/>
  <c r="S82" i="4"/>
  <c r="U82" i="4"/>
  <c r="W82" i="4"/>
  <c r="Y82" i="4"/>
  <c r="AA82" i="4"/>
  <c r="AC82" i="4"/>
  <c r="AE82" i="4"/>
  <c r="F82" i="4"/>
  <c r="H82" i="4"/>
  <c r="L82" i="4"/>
  <c r="N82" i="4"/>
  <c r="P82" i="4"/>
  <c r="R82" i="4"/>
  <c r="T82" i="4"/>
  <c r="V82" i="4"/>
  <c r="X82" i="4"/>
  <c r="Z82" i="4"/>
  <c r="AB82" i="4"/>
  <c r="AD82" i="4"/>
  <c r="AF82" i="4"/>
  <c r="CD82" i="4"/>
  <c r="BH82" i="4"/>
  <c r="BX82" i="4"/>
  <c r="CA82" i="4"/>
  <c r="BT82" i="4"/>
  <c r="CF82" i="4"/>
  <c r="BZ82" i="4"/>
  <c r="CI82" i="4"/>
  <c r="BP82" i="4"/>
  <c r="CE82" i="4"/>
  <c r="BM82" i="4"/>
  <c r="BI82" i="4"/>
  <c r="BY82" i="4"/>
  <c r="BG82" i="4"/>
  <c r="CH82" i="4"/>
  <c r="BU82" i="4"/>
  <c r="BO82" i="4"/>
  <c r="CB82" i="4"/>
  <c r="BK82" i="4"/>
  <c r="CG82" i="4"/>
  <c r="CJ82" i="4"/>
  <c r="CK82" i="4"/>
  <c r="CC82" i="4"/>
  <c r="BW82" i="4"/>
  <c r="BQ82" i="4"/>
  <c r="BJ82" i="4"/>
  <c r="BL82" i="4"/>
  <c r="BN82" i="4"/>
  <c r="BS82" i="4"/>
  <c r="BR82" i="4"/>
  <c r="A85" i="4" l="1"/>
  <c r="E84" i="4"/>
  <c r="J83" i="4"/>
  <c r="AH83" i="4"/>
  <c r="C83" i="4"/>
  <c r="G83" i="4"/>
  <c r="I83" i="4"/>
  <c r="K83" i="4"/>
  <c r="M83" i="4"/>
  <c r="O83" i="4"/>
  <c r="Q83" i="4"/>
  <c r="S83" i="4"/>
  <c r="U83" i="4"/>
  <c r="W83" i="4"/>
  <c r="Y83" i="4"/>
  <c r="AA83" i="4"/>
  <c r="AC83" i="4"/>
  <c r="AE83" i="4"/>
  <c r="F83" i="4"/>
  <c r="H83" i="4"/>
  <c r="L83" i="4"/>
  <c r="N83" i="4"/>
  <c r="P83" i="4"/>
  <c r="R83" i="4"/>
  <c r="T83" i="4"/>
  <c r="V83" i="4"/>
  <c r="X83" i="4"/>
  <c r="Z83" i="4"/>
  <c r="AB83" i="4"/>
  <c r="AD83" i="4"/>
  <c r="AF83" i="4"/>
  <c r="BO83" i="4"/>
  <c r="BT83" i="4"/>
  <c r="BU83" i="4"/>
  <c r="BQ83" i="4"/>
  <c r="BX83" i="4"/>
  <c r="BG83" i="4"/>
  <c r="CJ83" i="4"/>
  <c r="BW83" i="4"/>
  <c r="CI83" i="4"/>
  <c r="BK83" i="4"/>
  <c r="CE83" i="4"/>
  <c r="CC83" i="4"/>
  <c r="CH83" i="4"/>
  <c r="BY83" i="4"/>
  <c r="BP83" i="4"/>
  <c r="BI83" i="4"/>
  <c r="CF83" i="4"/>
  <c r="BH83" i="4"/>
  <c r="BM83" i="4"/>
  <c r="CG83" i="4"/>
  <c r="CA83" i="4"/>
  <c r="BZ83" i="4"/>
  <c r="CK83" i="4"/>
  <c r="BN83" i="4"/>
  <c r="BR83" i="4"/>
  <c r="CD83" i="4"/>
  <c r="BL83" i="4"/>
  <c r="BS83" i="4"/>
  <c r="BJ83" i="4"/>
  <c r="CB83" i="4"/>
  <c r="A86" i="4" l="1"/>
  <c r="E85" i="4"/>
  <c r="J84" i="4"/>
  <c r="AH84" i="4"/>
  <c r="C84" i="4"/>
  <c r="G84" i="4"/>
  <c r="I84" i="4"/>
  <c r="K84" i="4"/>
  <c r="M84" i="4"/>
  <c r="O84" i="4"/>
  <c r="Q84" i="4"/>
  <c r="S84" i="4"/>
  <c r="U84" i="4"/>
  <c r="W84" i="4"/>
  <c r="Y84" i="4"/>
  <c r="AA84" i="4"/>
  <c r="AC84" i="4"/>
  <c r="AE84" i="4"/>
  <c r="F84" i="4"/>
  <c r="H84" i="4"/>
  <c r="L84" i="4"/>
  <c r="N84" i="4"/>
  <c r="P84" i="4"/>
  <c r="R84" i="4"/>
  <c r="T84" i="4"/>
  <c r="V84" i="4"/>
  <c r="X84" i="4"/>
  <c r="Z84" i="4"/>
  <c r="AB84" i="4"/>
  <c r="AD84" i="4"/>
  <c r="AF84" i="4"/>
  <c r="BR84" i="4"/>
  <c r="BH84" i="4"/>
  <c r="CI84" i="4"/>
  <c r="BY84" i="4"/>
  <c r="BN84" i="4"/>
  <c r="CJ84" i="4"/>
  <c r="BI84" i="4"/>
  <c r="BU84" i="4"/>
  <c r="BJ84" i="4"/>
  <c r="CK84" i="4"/>
  <c r="CG84" i="4"/>
  <c r="BK84" i="4"/>
  <c r="BP84" i="4"/>
  <c r="BO84" i="4"/>
  <c r="BX84" i="4"/>
  <c r="CC84" i="4"/>
  <c r="CH84" i="4"/>
  <c r="CB84" i="4"/>
  <c r="BG84" i="4"/>
  <c r="CA84" i="4"/>
  <c r="BQ84" i="4"/>
  <c r="CE84" i="4"/>
  <c r="BM84" i="4"/>
  <c r="BZ84" i="4"/>
  <c r="BT84" i="4"/>
  <c r="BL84" i="4"/>
  <c r="CD84" i="4"/>
  <c r="BS84" i="4"/>
  <c r="CF84" i="4"/>
  <c r="BW84" i="4"/>
  <c r="A87" i="4" l="1"/>
  <c r="E86" i="4"/>
  <c r="J85" i="4"/>
  <c r="AH85" i="4"/>
  <c r="C85" i="4"/>
  <c r="G85" i="4"/>
  <c r="I85" i="4"/>
  <c r="K85" i="4"/>
  <c r="M85" i="4"/>
  <c r="O85" i="4"/>
  <c r="Q85" i="4"/>
  <c r="S85" i="4"/>
  <c r="U85" i="4"/>
  <c r="W85" i="4"/>
  <c r="Y85" i="4"/>
  <c r="AA85" i="4"/>
  <c r="AC85" i="4"/>
  <c r="AE85" i="4"/>
  <c r="F85" i="4"/>
  <c r="H85" i="4"/>
  <c r="L85" i="4"/>
  <c r="N85" i="4"/>
  <c r="P85" i="4"/>
  <c r="R85" i="4"/>
  <c r="T85" i="4"/>
  <c r="V85" i="4"/>
  <c r="X85" i="4"/>
  <c r="Z85" i="4"/>
  <c r="AB85" i="4"/>
  <c r="AD85" i="4"/>
  <c r="AF85" i="4"/>
  <c r="BY85" i="4"/>
  <c r="BQ85" i="4"/>
  <c r="BI85" i="4"/>
  <c r="CI85" i="4"/>
  <c r="BG85" i="4"/>
  <c r="BJ85" i="4"/>
  <c r="BL85" i="4"/>
  <c r="BK85" i="4"/>
  <c r="BS85" i="4"/>
  <c r="BN85" i="4"/>
  <c r="BT85" i="4"/>
  <c r="BH85" i="4"/>
  <c r="BU85" i="4"/>
  <c r="BP85" i="4"/>
  <c r="BR85" i="4"/>
  <c r="CB85" i="4"/>
  <c r="CC85" i="4"/>
  <c r="BX85" i="4"/>
  <c r="CD85" i="4"/>
  <c r="BM85" i="4"/>
  <c r="CK85" i="4"/>
  <c r="CE85" i="4"/>
  <c r="CF85" i="4"/>
  <c r="CH85" i="4"/>
  <c r="BW85" i="4"/>
  <c r="CA85" i="4"/>
  <c r="BO85" i="4"/>
  <c r="BZ85" i="4"/>
  <c r="CG85" i="4"/>
  <c r="CJ85" i="4"/>
  <c r="A88" i="4" l="1"/>
  <c r="E87" i="4"/>
  <c r="J86" i="4"/>
  <c r="AH86" i="4"/>
  <c r="C86" i="4"/>
  <c r="G86" i="4"/>
  <c r="I86" i="4"/>
  <c r="K86" i="4"/>
  <c r="M86" i="4"/>
  <c r="O86" i="4"/>
  <c r="Q86" i="4"/>
  <c r="S86" i="4"/>
  <c r="U86" i="4"/>
  <c r="W86" i="4"/>
  <c r="Y86" i="4"/>
  <c r="AA86" i="4"/>
  <c r="AC86" i="4"/>
  <c r="AE86" i="4"/>
  <c r="F86" i="4"/>
  <c r="H86" i="4"/>
  <c r="L86" i="4"/>
  <c r="N86" i="4"/>
  <c r="P86" i="4"/>
  <c r="R86" i="4"/>
  <c r="T86" i="4"/>
  <c r="V86" i="4"/>
  <c r="X86" i="4"/>
  <c r="Z86" i="4"/>
  <c r="AB86" i="4"/>
  <c r="AD86" i="4"/>
  <c r="AF86" i="4"/>
  <c r="CK86" i="4"/>
  <c r="CD86" i="4"/>
  <c r="BO86" i="4"/>
  <c r="BG86" i="4"/>
  <c r="BW86" i="4"/>
  <c r="BX86" i="4"/>
  <c r="CB86" i="4"/>
  <c r="CG86" i="4"/>
  <c r="BZ86" i="4"/>
  <c r="CH86" i="4"/>
  <c r="BL86" i="4"/>
  <c r="BI86" i="4"/>
  <c r="BU86" i="4"/>
  <c r="BM86" i="4"/>
  <c r="CC86" i="4"/>
  <c r="CA86" i="4"/>
  <c r="BR86" i="4"/>
  <c r="BK86" i="4"/>
  <c r="BH86" i="4"/>
  <c r="BN86" i="4"/>
  <c r="BJ86" i="4"/>
  <c r="CI86" i="4"/>
  <c r="CF86" i="4"/>
  <c r="CE86" i="4"/>
  <c r="BS86" i="4"/>
  <c r="BQ86" i="4"/>
  <c r="BP86" i="4"/>
  <c r="BT86" i="4"/>
  <c r="BY86" i="4"/>
  <c r="CJ86" i="4"/>
  <c r="A89" i="4" l="1"/>
  <c r="E88" i="4"/>
  <c r="J87" i="4"/>
  <c r="AH87" i="4"/>
  <c r="C87" i="4"/>
  <c r="G87" i="4"/>
  <c r="I87" i="4"/>
  <c r="K87" i="4"/>
  <c r="M87" i="4"/>
  <c r="O87" i="4"/>
  <c r="Q87" i="4"/>
  <c r="S87" i="4"/>
  <c r="U87" i="4"/>
  <c r="W87" i="4"/>
  <c r="Y87" i="4"/>
  <c r="AA87" i="4"/>
  <c r="AC87" i="4"/>
  <c r="AE87" i="4"/>
  <c r="F87" i="4"/>
  <c r="H87" i="4"/>
  <c r="L87" i="4"/>
  <c r="N87" i="4"/>
  <c r="P87" i="4"/>
  <c r="R87" i="4"/>
  <c r="T87" i="4"/>
  <c r="V87" i="4"/>
  <c r="X87" i="4"/>
  <c r="Z87" i="4"/>
  <c r="AB87" i="4"/>
  <c r="AD87" i="4"/>
  <c r="AF87" i="4"/>
  <c r="CD87" i="4"/>
  <c r="BJ87" i="4"/>
  <c r="BH87" i="4"/>
  <c r="BX87" i="4"/>
  <c r="BU87" i="4"/>
  <c r="BI87" i="4"/>
  <c r="CC87" i="4"/>
  <c r="CF87" i="4"/>
  <c r="CB87" i="4"/>
  <c r="BN87" i="4"/>
  <c r="CI87" i="4"/>
  <c r="CE87" i="4"/>
  <c r="BG87" i="4"/>
  <c r="BW87" i="4"/>
  <c r="CG87" i="4"/>
  <c r="CK87" i="4"/>
  <c r="BY87" i="4"/>
  <c r="BT87" i="4"/>
  <c r="CJ87" i="4"/>
  <c r="BO87" i="4"/>
  <c r="BR87" i="4"/>
  <c r="BK87" i="4"/>
  <c r="BZ87" i="4"/>
  <c r="CH87" i="4"/>
  <c r="CA87" i="4"/>
  <c r="BL87" i="4"/>
  <c r="BP87" i="4"/>
  <c r="BQ87" i="4"/>
  <c r="BM87" i="4"/>
  <c r="BS87" i="4"/>
  <c r="A90" i="4" l="1"/>
  <c r="E89" i="4"/>
  <c r="J88" i="4"/>
  <c r="AH88" i="4"/>
  <c r="C88" i="4"/>
  <c r="G88" i="4"/>
  <c r="I88" i="4"/>
  <c r="K88" i="4"/>
  <c r="K5" i="4" s="1"/>
  <c r="M88" i="4"/>
  <c r="M5" i="4" s="1"/>
  <c r="O88" i="4"/>
  <c r="O5" i="4" s="1"/>
  <c r="Q88" i="4"/>
  <c r="Q5" i="4" s="1"/>
  <c r="S88" i="4"/>
  <c r="S5" i="4" s="1"/>
  <c r="U88" i="4"/>
  <c r="U5" i="4" s="1"/>
  <c r="W88" i="4"/>
  <c r="W5" i="4" s="1"/>
  <c r="Y88" i="4"/>
  <c r="Y5" i="4" s="1"/>
  <c r="AA88" i="4"/>
  <c r="AA5" i="4" s="1"/>
  <c r="AC88" i="4"/>
  <c r="AC5" i="4" s="1"/>
  <c r="AE88" i="4"/>
  <c r="AE5" i="4" s="1"/>
  <c r="F88" i="4"/>
  <c r="H88" i="4"/>
  <c r="L88" i="4"/>
  <c r="L5" i="4" s="1"/>
  <c r="N88" i="4"/>
  <c r="N5" i="4" s="1"/>
  <c r="P88" i="4"/>
  <c r="P5" i="4" s="1"/>
  <c r="R88" i="4"/>
  <c r="R5" i="4" s="1"/>
  <c r="T88" i="4"/>
  <c r="T5" i="4" s="1"/>
  <c r="V88" i="4"/>
  <c r="V5" i="4" s="1"/>
  <c r="X88" i="4"/>
  <c r="X5" i="4" s="1"/>
  <c r="Z88" i="4"/>
  <c r="Z5" i="4" s="1"/>
  <c r="AB88" i="4"/>
  <c r="AB5" i="4" s="1"/>
  <c r="AD88" i="4"/>
  <c r="AD5" i="4" s="1"/>
  <c r="AF88" i="4"/>
  <c r="AF5" i="4" s="1"/>
  <c r="BI88" i="4"/>
  <c r="BQ88" i="4"/>
  <c r="BG88" i="4"/>
  <c r="CA88" i="4"/>
  <c r="BU88" i="4"/>
  <c r="BT88" i="4"/>
  <c r="CG88" i="4"/>
  <c r="BP88" i="4"/>
  <c r="CH88" i="4"/>
  <c r="CE88" i="4"/>
  <c r="CC88" i="4"/>
  <c r="BK88" i="4"/>
  <c r="CF88" i="4"/>
  <c r="BN88" i="4"/>
  <c r="BJ88" i="4"/>
  <c r="BR88" i="4"/>
  <c r="CB88" i="4"/>
  <c r="BO88" i="4"/>
  <c r="CK88" i="4"/>
  <c r="CJ88" i="4"/>
  <c r="BZ88" i="4"/>
  <c r="BH88" i="4"/>
  <c r="BY88" i="4"/>
  <c r="CI88" i="4"/>
  <c r="BW88" i="4"/>
  <c r="BS88" i="4"/>
  <c r="BL88" i="4"/>
  <c r="CD88" i="4"/>
  <c r="BX88" i="4"/>
  <c r="BM88" i="4"/>
  <c r="A91" i="4" l="1"/>
  <c r="E90" i="4"/>
  <c r="J89" i="4"/>
  <c r="AH89" i="4"/>
  <c r="C89" i="4"/>
  <c r="G89" i="4"/>
  <c r="I89" i="4"/>
  <c r="K89" i="4"/>
  <c r="M89" i="4"/>
  <c r="O89" i="4"/>
  <c r="Q89" i="4"/>
  <c r="S89" i="4"/>
  <c r="U89" i="4"/>
  <c r="W89" i="4"/>
  <c r="Y89" i="4"/>
  <c r="AA89" i="4"/>
  <c r="AC89" i="4"/>
  <c r="AE89" i="4"/>
  <c r="F89" i="4"/>
  <c r="H89" i="4"/>
  <c r="L89" i="4"/>
  <c r="N89" i="4"/>
  <c r="P89" i="4"/>
  <c r="R89" i="4"/>
  <c r="T89" i="4"/>
  <c r="V89" i="4"/>
  <c r="X89" i="4"/>
  <c r="Z89" i="4"/>
  <c r="AB89" i="4"/>
  <c r="AD89" i="4"/>
  <c r="AF89" i="4"/>
  <c r="BM89" i="4"/>
  <c r="CH89" i="4"/>
  <c r="CC89" i="4"/>
  <c r="BR89" i="4"/>
  <c r="BU89" i="4"/>
  <c r="BO89" i="4"/>
  <c r="BZ89" i="4"/>
  <c r="CE89" i="4"/>
  <c r="BG89" i="4"/>
  <c r="BJ89" i="4"/>
  <c r="CB89" i="4"/>
  <c r="CF89" i="4"/>
  <c r="CA89" i="4"/>
  <c r="BW89" i="4"/>
  <c r="BK89" i="4"/>
  <c r="CI89" i="4"/>
  <c r="CJ89" i="4"/>
  <c r="BX89" i="4"/>
  <c r="BH89" i="4"/>
  <c r="BL89" i="4"/>
  <c r="BT89" i="4"/>
  <c r="BS89" i="4"/>
  <c r="BI89" i="4"/>
  <c r="CD89" i="4"/>
  <c r="BP89" i="4"/>
  <c r="BY89" i="4"/>
  <c r="BQ89" i="4"/>
  <c r="CG89" i="4"/>
  <c r="CK89" i="4"/>
  <c r="BN89" i="4"/>
  <c r="A92" i="4" l="1"/>
  <c r="E91" i="4"/>
  <c r="J90" i="4"/>
  <c r="AH90" i="4"/>
  <c r="C90" i="4"/>
  <c r="G90" i="4"/>
  <c r="I90" i="4"/>
  <c r="K90" i="4"/>
  <c r="M90" i="4"/>
  <c r="O90" i="4"/>
  <c r="Q90" i="4"/>
  <c r="S90" i="4"/>
  <c r="U90" i="4"/>
  <c r="W90" i="4"/>
  <c r="Y90" i="4"/>
  <c r="AA90" i="4"/>
  <c r="AC90" i="4"/>
  <c r="AE90" i="4"/>
  <c r="F90" i="4"/>
  <c r="H90" i="4"/>
  <c r="L90" i="4"/>
  <c r="N90" i="4"/>
  <c r="P90" i="4"/>
  <c r="R90" i="4"/>
  <c r="T90" i="4"/>
  <c r="V90" i="4"/>
  <c r="X90" i="4"/>
  <c r="Z90" i="4"/>
  <c r="AB90" i="4"/>
  <c r="AD90" i="4"/>
  <c r="AF90" i="4"/>
  <c r="BM90" i="4"/>
  <c r="CI90" i="4"/>
  <c r="BN90" i="4"/>
  <c r="CD90" i="4"/>
  <c r="BT90" i="4"/>
  <c r="CJ90" i="4"/>
  <c r="BU90" i="4"/>
  <c r="BW90" i="4"/>
  <c r="BS90" i="4"/>
  <c r="CB90" i="4"/>
  <c r="BO90" i="4"/>
  <c r="BX90" i="4"/>
  <c r="CA90" i="4"/>
  <c r="CG90" i="4"/>
  <c r="CK90" i="4"/>
  <c r="BK90" i="4"/>
  <c r="BL90" i="4"/>
  <c r="BR90" i="4"/>
  <c r="CH90" i="4"/>
  <c r="BZ90" i="4"/>
  <c r="BG90" i="4"/>
  <c r="BH90" i="4"/>
  <c r="BP90" i="4"/>
  <c r="CC90" i="4"/>
  <c r="BQ90" i="4"/>
  <c r="BY90" i="4"/>
  <c r="BI90" i="4"/>
  <c r="CF90" i="4"/>
  <c r="CE90" i="4"/>
  <c r="BJ90" i="4"/>
  <c r="A93" i="4" l="1"/>
  <c r="E92" i="4"/>
  <c r="J91" i="4"/>
  <c r="AH91" i="4"/>
  <c r="C91" i="4"/>
  <c r="G91" i="4"/>
  <c r="I91" i="4"/>
  <c r="K91" i="4"/>
  <c r="M91" i="4"/>
  <c r="O91" i="4"/>
  <c r="Q91" i="4"/>
  <c r="S91" i="4"/>
  <c r="U91" i="4"/>
  <c r="W91" i="4"/>
  <c r="Y91" i="4"/>
  <c r="AA91" i="4"/>
  <c r="AC91" i="4"/>
  <c r="AE91" i="4"/>
  <c r="F91" i="4"/>
  <c r="H91" i="4"/>
  <c r="L91" i="4"/>
  <c r="N91" i="4"/>
  <c r="P91" i="4"/>
  <c r="R91" i="4"/>
  <c r="T91" i="4"/>
  <c r="V91" i="4"/>
  <c r="X91" i="4"/>
  <c r="Z91" i="4"/>
  <c r="AB91" i="4"/>
  <c r="AD91" i="4"/>
  <c r="AF91" i="4"/>
  <c r="CK91" i="4"/>
  <c r="BW91" i="4"/>
  <c r="BN91" i="4"/>
  <c r="CA91" i="4"/>
  <c r="BQ91" i="4"/>
  <c r="CD91" i="4"/>
  <c r="BH91" i="4"/>
  <c r="CF91" i="4"/>
  <c r="BL91" i="4"/>
  <c r="BM91" i="4"/>
  <c r="CJ91" i="4"/>
  <c r="CE91" i="4"/>
  <c r="CH91" i="4"/>
  <c r="CG91" i="4"/>
  <c r="BP91" i="4"/>
  <c r="BT91" i="4"/>
  <c r="BR91" i="4"/>
  <c r="BZ91" i="4"/>
  <c r="BG91" i="4"/>
  <c r="BO91" i="4"/>
  <c r="BJ91" i="4"/>
  <c r="BU91" i="4"/>
  <c r="BY91" i="4"/>
  <c r="BK91" i="4"/>
  <c r="BS91" i="4"/>
  <c r="BX91" i="4"/>
  <c r="CB91" i="4"/>
  <c r="CC91" i="4"/>
  <c r="BI91" i="4"/>
  <c r="CI91" i="4"/>
  <c r="A94" i="4" l="1"/>
  <c r="E93" i="4"/>
  <c r="J92" i="4"/>
  <c r="AH92" i="4"/>
  <c r="C92" i="4"/>
  <c r="G92" i="4"/>
  <c r="I92" i="4"/>
  <c r="K92" i="4"/>
  <c r="M92" i="4"/>
  <c r="O92" i="4"/>
  <c r="Q92" i="4"/>
  <c r="S92" i="4"/>
  <c r="U92" i="4"/>
  <c r="W92" i="4"/>
  <c r="Y92" i="4"/>
  <c r="AA92" i="4"/>
  <c r="AC92" i="4"/>
  <c r="AE92" i="4"/>
  <c r="F92" i="4"/>
  <c r="H92" i="4"/>
  <c r="L92" i="4"/>
  <c r="N92" i="4"/>
  <c r="P92" i="4"/>
  <c r="R92" i="4"/>
  <c r="T92" i="4"/>
  <c r="V92" i="4"/>
  <c r="X92" i="4"/>
  <c r="Z92" i="4"/>
  <c r="AB92" i="4"/>
  <c r="AD92" i="4"/>
  <c r="AF92" i="4"/>
  <c r="CG92" i="4"/>
  <c r="BK92" i="4"/>
  <c r="BR92" i="4"/>
  <c r="BH92" i="4"/>
  <c r="BT92" i="4"/>
  <c r="CE92" i="4"/>
  <c r="BZ92" i="4"/>
  <c r="BG92" i="4"/>
  <c r="BS92" i="4"/>
  <c r="BO92" i="4"/>
  <c r="BI92" i="4"/>
  <c r="BM92" i="4"/>
  <c r="BP92" i="4"/>
  <c r="CI92" i="4"/>
  <c r="BQ92" i="4"/>
  <c r="BU92" i="4"/>
  <c r="BJ92" i="4"/>
  <c r="CD92" i="4"/>
  <c r="BW92" i="4"/>
  <c r="CB92" i="4"/>
  <c r="CH92" i="4"/>
  <c r="BX92" i="4"/>
  <c r="CC92" i="4"/>
  <c r="BY92" i="4"/>
  <c r="CJ92" i="4"/>
  <c r="CF92" i="4"/>
  <c r="CA92" i="4"/>
  <c r="CK92" i="4"/>
  <c r="BL92" i="4"/>
  <c r="BN92" i="4"/>
  <c r="A95" i="4" l="1"/>
  <c r="E94" i="4"/>
  <c r="J93" i="4"/>
  <c r="AH93" i="4"/>
  <c r="C93" i="4"/>
  <c r="G93" i="4"/>
  <c r="I93" i="4"/>
  <c r="K93" i="4"/>
  <c r="M93" i="4"/>
  <c r="O93" i="4"/>
  <c r="Q93" i="4"/>
  <c r="S93" i="4"/>
  <c r="U93" i="4"/>
  <c r="W93" i="4"/>
  <c r="Y93" i="4"/>
  <c r="AA93" i="4"/>
  <c r="AC93" i="4"/>
  <c r="AE93" i="4"/>
  <c r="F93" i="4"/>
  <c r="H93" i="4"/>
  <c r="L93" i="4"/>
  <c r="N93" i="4"/>
  <c r="P93" i="4"/>
  <c r="R93" i="4"/>
  <c r="T93" i="4"/>
  <c r="V93" i="4"/>
  <c r="X93" i="4"/>
  <c r="Z93" i="4"/>
  <c r="AB93" i="4"/>
  <c r="AD93" i="4"/>
  <c r="AF93" i="4"/>
  <c r="BK93" i="4"/>
  <c r="BN93" i="4"/>
  <c r="BJ93" i="4"/>
  <c r="CH93" i="4"/>
  <c r="BL93" i="4"/>
  <c r="BT93" i="4"/>
  <c r="BY93" i="4"/>
  <c r="BS93" i="4"/>
  <c r="CJ93" i="4"/>
  <c r="BP93" i="4"/>
  <c r="BQ93" i="4"/>
  <c r="BR93" i="4"/>
  <c r="CE93" i="4"/>
  <c r="CD93" i="4"/>
  <c r="BM93" i="4"/>
  <c r="CC93" i="4"/>
  <c r="BX93" i="4"/>
  <c r="BW93" i="4"/>
  <c r="BH93" i="4"/>
  <c r="CK93" i="4"/>
  <c r="CI93" i="4"/>
  <c r="BZ93" i="4"/>
  <c r="BU93" i="4"/>
  <c r="BO93" i="4"/>
  <c r="BI93" i="4"/>
  <c r="CB93" i="4"/>
  <c r="CF93" i="4"/>
  <c r="CG93" i="4"/>
  <c r="CA93" i="4"/>
  <c r="BG93" i="4"/>
  <c r="A96" i="4" l="1"/>
  <c r="E95" i="4"/>
  <c r="J94" i="4"/>
  <c r="AH94" i="4"/>
  <c r="C94" i="4"/>
  <c r="G94" i="4"/>
  <c r="I94" i="4"/>
  <c r="K94" i="4"/>
  <c r="M94" i="4"/>
  <c r="O94" i="4"/>
  <c r="Q94" i="4"/>
  <c r="F94" i="4"/>
  <c r="H94" i="4"/>
  <c r="L94" i="4"/>
  <c r="N94" i="4"/>
  <c r="P94" i="4"/>
  <c r="R94" i="4"/>
  <c r="T94" i="4"/>
  <c r="V94" i="4"/>
  <c r="X94" i="4"/>
  <c r="Z94" i="4"/>
  <c r="AB94" i="4"/>
  <c r="AD94" i="4"/>
  <c r="AF94" i="4"/>
  <c r="S94" i="4"/>
  <c r="U94" i="4"/>
  <c r="W94" i="4"/>
  <c r="Y94" i="4"/>
  <c r="AA94" i="4"/>
  <c r="AC94" i="4"/>
  <c r="AE94" i="4"/>
  <c r="BU94" i="4"/>
  <c r="BM94" i="4"/>
  <c r="BQ94" i="4"/>
  <c r="BP94" i="4"/>
  <c r="BX94" i="4"/>
  <c r="CI94" i="4"/>
  <c r="BW94" i="4"/>
  <c r="BG94" i="4"/>
  <c r="BY94" i="4"/>
  <c r="BZ94" i="4"/>
  <c r="BT94" i="4"/>
  <c r="BR94" i="4"/>
  <c r="BH94" i="4"/>
  <c r="BI94" i="4"/>
  <c r="CC94" i="4"/>
  <c r="BL94" i="4"/>
  <c r="CK94" i="4"/>
  <c r="BS94" i="4"/>
  <c r="BJ94" i="4"/>
  <c r="CJ94" i="4"/>
  <c r="CD94" i="4"/>
  <c r="CE94" i="4"/>
  <c r="BN94" i="4"/>
  <c r="BK94" i="4"/>
  <c r="CG94" i="4"/>
  <c r="CA94" i="4"/>
  <c r="CF94" i="4"/>
  <c r="BO94" i="4"/>
  <c r="CB94" i="4"/>
  <c r="CH94" i="4"/>
  <c r="A97" i="4" l="1"/>
  <c r="E96" i="4"/>
  <c r="J95" i="4"/>
  <c r="AH95" i="4"/>
  <c r="F95" i="4"/>
  <c r="H95" i="4"/>
  <c r="L95" i="4"/>
  <c r="N95" i="4"/>
  <c r="P95" i="4"/>
  <c r="R95" i="4"/>
  <c r="T95" i="4"/>
  <c r="V95" i="4"/>
  <c r="X95" i="4"/>
  <c r="Z95" i="4"/>
  <c r="AB95" i="4"/>
  <c r="AD95" i="4"/>
  <c r="AF95" i="4"/>
  <c r="C95" i="4"/>
  <c r="G95" i="4"/>
  <c r="I95" i="4"/>
  <c r="K95" i="4"/>
  <c r="M95" i="4"/>
  <c r="O95" i="4"/>
  <c r="Q95" i="4"/>
  <c r="S95" i="4"/>
  <c r="U95" i="4"/>
  <c r="W95" i="4"/>
  <c r="Y95" i="4"/>
  <c r="AA95" i="4"/>
  <c r="AC95" i="4"/>
  <c r="AE95" i="4"/>
  <c r="BX95" i="4"/>
  <c r="BL95" i="4"/>
  <c r="BR95" i="4"/>
  <c r="BN95" i="4"/>
  <c r="BM95" i="4"/>
  <c r="CH95" i="4"/>
  <c r="CG95" i="4"/>
  <c r="BG95" i="4"/>
  <c r="CB95" i="4"/>
  <c r="BW95" i="4"/>
  <c r="CF95" i="4"/>
  <c r="BU95" i="4"/>
  <c r="BZ95" i="4"/>
  <c r="BS95" i="4"/>
  <c r="BJ95" i="4"/>
  <c r="CD95" i="4"/>
  <c r="CK95" i="4"/>
  <c r="CC95" i="4"/>
  <c r="CE95" i="4"/>
  <c r="BY95" i="4"/>
  <c r="BQ95" i="4"/>
  <c r="BO95" i="4"/>
  <c r="CA95" i="4"/>
  <c r="BI95" i="4"/>
  <c r="BK95" i="4"/>
  <c r="BP95" i="4"/>
  <c r="CI95" i="4"/>
  <c r="BH95" i="4"/>
  <c r="BT95" i="4"/>
  <c r="CJ95" i="4"/>
  <c r="A98" i="4" l="1"/>
  <c r="E97" i="4"/>
  <c r="J96" i="4"/>
  <c r="AH96" i="4"/>
  <c r="F96" i="4"/>
  <c r="H96" i="4"/>
  <c r="L96" i="4"/>
  <c r="N96" i="4"/>
  <c r="P96" i="4"/>
  <c r="R96" i="4"/>
  <c r="T96" i="4"/>
  <c r="V96" i="4"/>
  <c r="X96" i="4"/>
  <c r="Z96" i="4"/>
  <c r="AB96" i="4"/>
  <c r="AD96" i="4"/>
  <c r="AF96" i="4"/>
  <c r="C96" i="4"/>
  <c r="G96" i="4"/>
  <c r="I96" i="4"/>
  <c r="K96" i="4"/>
  <c r="M96" i="4"/>
  <c r="O96" i="4"/>
  <c r="Q96" i="4"/>
  <c r="S96" i="4"/>
  <c r="U96" i="4"/>
  <c r="W96" i="4"/>
  <c r="Y96" i="4"/>
  <c r="AA96" i="4"/>
  <c r="AC96" i="4"/>
  <c r="AE96" i="4"/>
  <c r="BI96" i="4"/>
  <c r="CE96" i="4"/>
  <c r="CI96" i="4"/>
  <c r="BP96" i="4"/>
  <c r="BT96" i="4"/>
  <c r="BY96" i="4"/>
  <c r="BK96" i="4"/>
  <c r="CJ96" i="4"/>
  <c r="BJ96" i="4"/>
  <c r="BQ96" i="4"/>
  <c r="BM96" i="4"/>
  <c r="BU96" i="4"/>
  <c r="CG96" i="4"/>
  <c r="CA96" i="4"/>
  <c r="BZ96" i="4"/>
  <c r="BG96" i="4"/>
  <c r="CB96" i="4"/>
  <c r="BN96" i="4"/>
  <c r="CK96" i="4"/>
  <c r="CC96" i="4"/>
  <c r="BL96" i="4"/>
  <c r="CH96" i="4"/>
  <c r="CF96" i="4"/>
  <c r="BW96" i="4"/>
  <c r="BH96" i="4"/>
  <c r="CD96" i="4"/>
  <c r="BS96" i="4"/>
  <c r="BX96" i="4"/>
  <c r="BR96" i="4"/>
  <c r="BO96" i="4"/>
  <c r="A99" i="4" l="1"/>
  <c r="E98" i="4"/>
  <c r="J97" i="4"/>
  <c r="AH97" i="4"/>
  <c r="F97" i="4"/>
  <c r="H97" i="4"/>
  <c r="L97" i="4"/>
  <c r="N97" i="4"/>
  <c r="P97" i="4"/>
  <c r="R97" i="4"/>
  <c r="T97" i="4"/>
  <c r="V97" i="4"/>
  <c r="X97" i="4"/>
  <c r="Z97" i="4"/>
  <c r="AB97" i="4"/>
  <c r="AD97" i="4"/>
  <c r="AF97" i="4"/>
  <c r="C97" i="4"/>
  <c r="G97" i="4"/>
  <c r="I97" i="4"/>
  <c r="K97" i="4"/>
  <c r="M97" i="4"/>
  <c r="O97" i="4"/>
  <c r="Q97" i="4"/>
  <c r="S97" i="4"/>
  <c r="U97" i="4"/>
  <c r="W97" i="4"/>
  <c r="Y97" i="4"/>
  <c r="AA97" i="4"/>
  <c r="AC97" i="4"/>
  <c r="AE97" i="4"/>
  <c r="CG97" i="4"/>
  <c r="BW97" i="4"/>
  <c r="BI97" i="4"/>
  <c r="BZ97" i="4"/>
  <c r="BY97" i="4"/>
  <c r="CI97" i="4"/>
  <c r="BR97" i="4"/>
  <c r="BO97" i="4"/>
  <c r="BQ97" i="4"/>
  <c r="BN97" i="4"/>
  <c r="BL97" i="4"/>
  <c r="BH97" i="4"/>
  <c r="CF97" i="4"/>
  <c r="CJ97" i="4"/>
  <c r="BS97" i="4"/>
  <c r="CB97" i="4"/>
  <c r="CH97" i="4"/>
  <c r="CE97" i="4"/>
  <c r="BJ97" i="4"/>
  <c r="BK97" i="4"/>
  <c r="BP97" i="4"/>
  <c r="CA97" i="4"/>
  <c r="BT97" i="4"/>
  <c r="BU97" i="4"/>
  <c r="CC97" i="4"/>
  <c r="BX97" i="4"/>
  <c r="BM97" i="4"/>
  <c r="CK97" i="4"/>
  <c r="CD97" i="4"/>
  <c r="BG97" i="4"/>
  <c r="A100" i="4" l="1"/>
  <c r="E99" i="4"/>
  <c r="J98" i="4"/>
  <c r="AH98" i="4"/>
  <c r="F98" i="4"/>
  <c r="H98" i="4"/>
  <c r="L98" i="4"/>
  <c r="N98" i="4"/>
  <c r="P98" i="4"/>
  <c r="R98" i="4"/>
  <c r="T98" i="4"/>
  <c r="V98" i="4"/>
  <c r="X98" i="4"/>
  <c r="Z98" i="4"/>
  <c r="AB98" i="4"/>
  <c r="AD98" i="4"/>
  <c r="AF98" i="4"/>
  <c r="C98" i="4"/>
  <c r="G98" i="4"/>
  <c r="I98" i="4"/>
  <c r="K98" i="4"/>
  <c r="M98" i="4"/>
  <c r="O98" i="4"/>
  <c r="Q98" i="4"/>
  <c r="S98" i="4"/>
  <c r="U98" i="4"/>
  <c r="W98" i="4"/>
  <c r="Y98" i="4"/>
  <c r="AA98" i="4"/>
  <c r="AC98" i="4"/>
  <c r="AE98" i="4"/>
  <c r="BK98" i="4"/>
  <c r="BY98" i="4"/>
  <c r="BP98" i="4"/>
  <c r="BT98" i="4"/>
  <c r="CG98" i="4"/>
  <c r="BG98" i="4"/>
  <c r="CA98" i="4"/>
  <c r="BQ98" i="4"/>
  <c r="BH98" i="4"/>
  <c r="CH98" i="4"/>
  <c r="BZ98" i="4"/>
  <c r="BS98" i="4"/>
  <c r="CC98" i="4"/>
  <c r="CE98" i="4"/>
  <c r="CF98" i="4"/>
  <c r="CB98" i="4"/>
  <c r="CD98" i="4"/>
  <c r="BL98" i="4"/>
  <c r="BX98" i="4"/>
  <c r="CJ98" i="4"/>
  <c r="CI98" i="4"/>
  <c r="BO98" i="4"/>
  <c r="BI98" i="4"/>
  <c r="BN98" i="4"/>
  <c r="BJ98" i="4"/>
  <c r="CK98" i="4"/>
  <c r="BW98" i="4"/>
  <c r="BM98" i="4"/>
  <c r="BU98" i="4"/>
  <c r="BR98" i="4"/>
  <c r="A101" i="4" l="1"/>
  <c r="E100" i="4"/>
  <c r="J99" i="4"/>
  <c r="AH99" i="4"/>
  <c r="F99" i="4"/>
  <c r="H99" i="4"/>
  <c r="L99" i="4"/>
  <c r="N99" i="4"/>
  <c r="P99" i="4"/>
  <c r="R99" i="4"/>
  <c r="T99" i="4"/>
  <c r="V99" i="4"/>
  <c r="X99" i="4"/>
  <c r="Z99" i="4"/>
  <c r="AB99" i="4"/>
  <c r="AD99" i="4"/>
  <c r="AF99" i="4"/>
  <c r="C99" i="4"/>
  <c r="G99" i="4"/>
  <c r="I99" i="4"/>
  <c r="K99" i="4"/>
  <c r="M99" i="4"/>
  <c r="O99" i="4"/>
  <c r="Q99" i="4"/>
  <c r="S99" i="4"/>
  <c r="U99" i="4"/>
  <c r="W99" i="4"/>
  <c r="Y99" i="4"/>
  <c r="AA99" i="4"/>
  <c r="AC99" i="4"/>
  <c r="AE99" i="4"/>
  <c r="BL99" i="4"/>
  <c r="BY99" i="4"/>
  <c r="BN99" i="4"/>
  <c r="BP99" i="4"/>
  <c r="CI99" i="4"/>
  <c r="CB99" i="4"/>
  <c r="BX99" i="4"/>
  <c r="CF99" i="4"/>
  <c r="BH99" i="4"/>
  <c r="BM99" i="4"/>
  <c r="CC99" i="4"/>
  <c r="CE99" i="4"/>
  <c r="BS99" i="4"/>
  <c r="CG99" i="4"/>
  <c r="BQ99" i="4"/>
  <c r="BJ99" i="4"/>
  <c r="CJ99" i="4"/>
  <c r="BK99" i="4"/>
  <c r="BU99" i="4"/>
  <c r="BO99" i="4"/>
  <c r="CA99" i="4"/>
  <c r="BG99" i="4"/>
  <c r="BW99" i="4"/>
  <c r="BR99" i="4"/>
  <c r="CK99" i="4"/>
  <c r="CH99" i="4"/>
  <c r="BI99" i="4"/>
  <c r="BZ99" i="4"/>
  <c r="BT99" i="4"/>
  <c r="CD99" i="4"/>
  <c r="A102" i="4" l="1"/>
  <c r="E101" i="4"/>
  <c r="J100" i="4"/>
  <c r="AH100" i="4"/>
  <c r="F100" i="4"/>
  <c r="H100" i="4"/>
  <c r="L100" i="4"/>
  <c r="N100" i="4"/>
  <c r="P100" i="4"/>
  <c r="R100" i="4"/>
  <c r="T100" i="4"/>
  <c r="V100" i="4"/>
  <c r="X100" i="4"/>
  <c r="Z100" i="4"/>
  <c r="AB100" i="4"/>
  <c r="AD100" i="4"/>
  <c r="AF100" i="4"/>
  <c r="C100" i="4"/>
  <c r="G100" i="4"/>
  <c r="I100" i="4"/>
  <c r="K100" i="4"/>
  <c r="M100" i="4"/>
  <c r="O100" i="4"/>
  <c r="Q100" i="4"/>
  <c r="S100" i="4"/>
  <c r="U100" i="4"/>
  <c r="W100" i="4"/>
  <c r="Y100" i="4"/>
  <c r="AA100" i="4"/>
  <c r="AC100" i="4"/>
  <c r="AE100" i="4"/>
  <c r="BK100" i="4"/>
  <c r="BI100" i="4"/>
  <c r="CA100" i="4"/>
  <c r="CB100" i="4"/>
  <c r="BZ100" i="4"/>
  <c r="BT100" i="4"/>
  <c r="CD100" i="4"/>
  <c r="BU100" i="4"/>
  <c r="CH100" i="4"/>
  <c r="CJ100" i="4"/>
  <c r="BG100" i="4"/>
  <c r="CF100" i="4"/>
  <c r="CK100" i="4"/>
  <c r="CC100" i="4"/>
  <c r="BY100" i="4"/>
  <c r="CI100" i="4"/>
  <c r="BJ100" i="4"/>
  <c r="BM100" i="4"/>
  <c r="BN100" i="4"/>
  <c r="BS100" i="4"/>
  <c r="CE100" i="4"/>
  <c r="BH100" i="4"/>
  <c r="CG100" i="4"/>
  <c r="BQ100" i="4"/>
  <c r="BR100" i="4"/>
  <c r="BO100" i="4"/>
  <c r="BP100" i="4"/>
  <c r="BW100" i="4"/>
  <c r="BL100" i="4"/>
  <c r="BX100" i="4"/>
  <c r="A103" i="4" l="1"/>
  <c r="E102" i="4"/>
  <c r="J101" i="4"/>
  <c r="AH101" i="4"/>
  <c r="C101" i="4"/>
  <c r="G101" i="4"/>
  <c r="I101" i="4"/>
  <c r="K101" i="4"/>
  <c r="M101" i="4"/>
  <c r="O101" i="4"/>
  <c r="Q101" i="4"/>
  <c r="S101" i="4"/>
  <c r="U101" i="4"/>
  <c r="W101" i="4"/>
  <c r="Y101" i="4"/>
  <c r="AA101" i="4"/>
  <c r="AC101" i="4"/>
  <c r="AE101" i="4"/>
  <c r="H101" i="4"/>
  <c r="L101" i="4"/>
  <c r="P101" i="4"/>
  <c r="T101" i="4"/>
  <c r="X101" i="4"/>
  <c r="AB101" i="4"/>
  <c r="AF101" i="4"/>
  <c r="F101" i="4"/>
  <c r="N101" i="4"/>
  <c r="R101" i="4"/>
  <c r="V101" i="4"/>
  <c r="Z101" i="4"/>
  <c r="AD101" i="4"/>
  <c r="BN101" i="4"/>
  <c r="BM101" i="4"/>
  <c r="CE101" i="4"/>
  <c r="BG101" i="4"/>
  <c r="BJ101" i="4"/>
  <c r="CD101" i="4"/>
  <c r="BT101" i="4"/>
  <c r="CJ101" i="4"/>
  <c r="CK101" i="4"/>
  <c r="CB101" i="4"/>
  <c r="BK101" i="4"/>
  <c r="BZ101" i="4"/>
  <c r="BR101" i="4"/>
  <c r="CG101" i="4"/>
  <c r="BS101" i="4"/>
  <c r="BW101" i="4"/>
  <c r="BL101" i="4"/>
  <c r="BY101" i="4"/>
  <c r="BQ101" i="4"/>
  <c r="CA101" i="4"/>
  <c r="CF101" i="4"/>
  <c r="BU101" i="4"/>
  <c r="BO101" i="4"/>
  <c r="CC101" i="4"/>
  <c r="BX101" i="4"/>
  <c r="CH101" i="4"/>
  <c r="BI101" i="4"/>
  <c r="BP101" i="4"/>
  <c r="BH101" i="4"/>
  <c r="CI101" i="4"/>
  <c r="A104" i="4" l="1"/>
  <c r="E103" i="4"/>
  <c r="J102" i="4"/>
  <c r="AH102" i="4"/>
  <c r="C102" i="4"/>
  <c r="G102" i="4"/>
  <c r="I102" i="4"/>
  <c r="K102" i="4"/>
  <c r="M102" i="4"/>
  <c r="O102" i="4"/>
  <c r="Q102" i="4"/>
  <c r="S102" i="4"/>
  <c r="U102" i="4"/>
  <c r="W102" i="4"/>
  <c r="Y102" i="4"/>
  <c r="AA102" i="4"/>
  <c r="AC102" i="4"/>
  <c r="AE102" i="4"/>
  <c r="H102" i="4"/>
  <c r="L102" i="4"/>
  <c r="P102" i="4"/>
  <c r="T102" i="4"/>
  <c r="X102" i="4"/>
  <c r="AB102" i="4"/>
  <c r="AF102" i="4"/>
  <c r="F102" i="4"/>
  <c r="N102" i="4"/>
  <c r="R102" i="4"/>
  <c r="V102" i="4"/>
  <c r="Z102" i="4"/>
  <c r="AD102" i="4"/>
  <c r="BW102" i="4"/>
  <c r="BG102" i="4"/>
  <c r="BP102" i="4"/>
  <c r="BH102" i="4"/>
  <c r="CJ102" i="4"/>
  <c r="BS102" i="4"/>
  <c r="CC102" i="4"/>
  <c r="CK102" i="4"/>
  <c r="BK102" i="4"/>
  <c r="BU102" i="4"/>
  <c r="BZ102" i="4"/>
  <c r="BY102" i="4"/>
  <c r="CE102" i="4"/>
  <c r="BL102" i="4"/>
  <c r="CH102" i="4"/>
  <c r="BI102" i="4"/>
  <c r="CI102" i="4"/>
  <c r="CB102" i="4"/>
  <c r="CD102" i="4"/>
  <c r="BJ102" i="4"/>
  <c r="BN102" i="4"/>
  <c r="BT102" i="4"/>
  <c r="CA102" i="4"/>
  <c r="BQ102" i="4"/>
  <c r="CF102" i="4"/>
  <c r="BR102" i="4"/>
  <c r="CG102" i="4"/>
  <c r="BM102" i="4"/>
  <c r="BO102" i="4"/>
  <c r="BX102" i="4"/>
  <c r="A105" i="4" l="1"/>
  <c r="E104" i="4"/>
  <c r="J103" i="4"/>
  <c r="AH103" i="4"/>
  <c r="C103" i="4"/>
  <c r="G103" i="4"/>
  <c r="I103" i="4"/>
  <c r="K103" i="4"/>
  <c r="M103" i="4"/>
  <c r="O103" i="4"/>
  <c r="Q103" i="4"/>
  <c r="S103" i="4"/>
  <c r="U103" i="4"/>
  <c r="W103" i="4"/>
  <c r="Y103" i="4"/>
  <c r="AA103" i="4"/>
  <c r="AC103" i="4"/>
  <c r="AE103" i="4"/>
  <c r="H103" i="4"/>
  <c r="L103" i="4"/>
  <c r="P103" i="4"/>
  <c r="T103" i="4"/>
  <c r="X103" i="4"/>
  <c r="AB103" i="4"/>
  <c r="AF103" i="4"/>
  <c r="F103" i="4"/>
  <c r="N103" i="4"/>
  <c r="R103" i="4"/>
  <c r="V103" i="4"/>
  <c r="Z103" i="4"/>
  <c r="AD103" i="4"/>
  <c r="BM103" i="4"/>
  <c r="CG103" i="4"/>
  <c r="BU103" i="4"/>
  <c r="CK103" i="4"/>
  <c r="BZ103" i="4"/>
  <c r="CJ103" i="4"/>
  <c r="BX103" i="4"/>
  <c r="BW103" i="4"/>
  <c r="CC103" i="4"/>
  <c r="CI103" i="4"/>
  <c r="CF103" i="4"/>
  <c r="BS103" i="4"/>
  <c r="BN103" i="4"/>
  <c r="BG103" i="4"/>
  <c r="BH103" i="4"/>
  <c r="BJ103" i="4"/>
  <c r="BR103" i="4"/>
  <c r="CB103" i="4"/>
  <c r="BO103" i="4"/>
  <c r="CH103" i="4"/>
  <c r="BQ103" i="4"/>
  <c r="CD103" i="4"/>
  <c r="BT103" i="4"/>
  <c r="BI103" i="4"/>
  <c r="BL103" i="4"/>
  <c r="CA103" i="4"/>
  <c r="BK103" i="4"/>
  <c r="CE103" i="4"/>
  <c r="BP103" i="4"/>
  <c r="BY103" i="4"/>
  <c r="A106" i="4" l="1"/>
  <c r="E105" i="4"/>
  <c r="J104" i="4"/>
  <c r="AH104" i="4"/>
  <c r="C104" i="4"/>
  <c r="G104" i="4"/>
  <c r="I104" i="4"/>
  <c r="K104" i="4"/>
  <c r="M104" i="4"/>
  <c r="O104" i="4"/>
  <c r="Q104" i="4"/>
  <c r="S104" i="4"/>
  <c r="U104" i="4"/>
  <c r="W104" i="4"/>
  <c r="Y104" i="4"/>
  <c r="AA104" i="4"/>
  <c r="AC104" i="4"/>
  <c r="AE104" i="4"/>
  <c r="F104" i="4"/>
  <c r="H104" i="4"/>
  <c r="L104" i="4"/>
  <c r="N104" i="4"/>
  <c r="P104" i="4"/>
  <c r="R104" i="4"/>
  <c r="T104" i="4"/>
  <c r="V104" i="4"/>
  <c r="X104" i="4"/>
  <c r="Z104" i="4"/>
  <c r="AB104" i="4"/>
  <c r="AD104" i="4"/>
  <c r="AF104" i="4"/>
  <c r="BH104" i="4"/>
  <c r="BZ104" i="4"/>
  <c r="BQ104" i="4"/>
  <c r="CH104" i="4"/>
  <c r="CG104" i="4"/>
  <c r="BJ104" i="4"/>
  <c r="BY104" i="4"/>
  <c r="CK104" i="4"/>
  <c r="BI104" i="4"/>
  <c r="CD104" i="4"/>
  <c r="BL104" i="4"/>
  <c r="BT104" i="4"/>
  <c r="BS104" i="4"/>
  <c r="BM104" i="4"/>
  <c r="BO104" i="4"/>
  <c r="CA104" i="4"/>
  <c r="CB104" i="4"/>
  <c r="CC104" i="4"/>
  <c r="CE104" i="4"/>
  <c r="BW104" i="4"/>
  <c r="CI104" i="4"/>
  <c r="BP104" i="4"/>
  <c r="BN104" i="4"/>
  <c r="BG104" i="4"/>
  <c r="BX104" i="4"/>
  <c r="BR104" i="4"/>
  <c r="CF104" i="4"/>
  <c r="BU104" i="4"/>
  <c r="BK104" i="4"/>
  <c r="CJ104" i="4"/>
  <c r="A107" i="4" l="1"/>
  <c r="E106" i="4"/>
  <c r="J105" i="4"/>
  <c r="AH105" i="4"/>
  <c r="C105" i="4"/>
  <c r="G105" i="4"/>
  <c r="I105" i="4"/>
  <c r="K105" i="4"/>
  <c r="M105" i="4"/>
  <c r="O105" i="4"/>
  <c r="Q105" i="4"/>
  <c r="S105" i="4"/>
  <c r="U105" i="4"/>
  <c r="W105" i="4"/>
  <c r="Y105" i="4"/>
  <c r="AA105" i="4"/>
  <c r="AC105" i="4"/>
  <c r="AE105" i="4"/>
  <c r="H105" i="4"/>
  <c r="L105" i="4"/>
  <c r="P105" i="4"/>
  <c r="T105" i="4"/>
  <c r="X105" i="4"/>
  <c r="AB105" i="4"/>
  <c r="AF105" i="4"/>
  <c r="F105" i="4"/>
  <c r="N105" i="4"/>
  <c r="V105" i="4"/>
  <c r="AD105" i="4"/>
  <c r="R105" i="4"/>
  <c r="Z105" i="4"/>
  <c r="BM105" i="4"/>
  <c r="BJ105" i="4"/>
  <c r="BX105" i="4"/>
  <c r="BY105" i="4"/>
  <c r="BW105" i="4"/>
  <c r="BL105" i="4"/>
  <c r="BT105" i="4"/>
  <c r="BS105" i="4"/>
  <c r="CE105" i="4"/>
  <c r="BN105" i="4"/>
  <c r="CB105" i="4"/>
  <c r="BP105" i="4"/>
  <c r="BU105" i="4"/>
  <c r="CH105" i="4"/>
  <c r="CF105" i="4"/>
  <c r="BK105" i="4"/>
  <c r="BO105" i="4"/>
  <c r="BH105" i="4"/>
  <c r="BR105" i="4"/>
  <c r="BI105" i="4"/>
  <c r="CG105" i="4"/>
  <c r="CK105" i="4"/>
  <c r="BG105" i="4"/>
  <c r="CC105" i="4"/>
  <c r="CA105" i="4"/>
  <c r="CJ105" i="4"/>
  <c r="BQ105" i="4"/>
  <c r="CD105" i="4"/>
  <c r="BZ105" i="4"/>
  <c r="CI105" i="4"/>
  <c r="A108" i="4" l="1"/>
  <c r="E107" i="4"/>
  <c r="J106" i="4"/>
  <c r="AH106" i="4"/>
  <c r="F106" i="4"/>
  <c r="H106" i="4"/>
  <c r="L106" i="4"/>
  <c r="N106" i="4"/>
  <c r="P106" i="4"/>
  <c r="R106" i="4"/>
  <c r="T106" i="4"/>
  <c r="V106" i="4"/>
  <c r="X106" i="4"/>
  <c r="Z106" i="4"/>
  <c r="AB106" i="4"/>
  <c r="AD106" i="4"/>
  <c r="AF106" i="4"/>
  <c r="C106" i="4"/>
  <c r="G106" i="4"/>
  <c r="K106" i="4"/>
  <c r="O106" i="4"/>
  <c r="S106" i="4"/>
  <c r="W106" i="4"/>
  <c r="AA106" i="4"/>
  <c r="AE106" i="4"/>
  <c r="I106" i="4"/>
  <c r="M106" i="4"/>
  <c r="Q106" i="4"/>
  <c r="U106" i="4"/>
  <c r="Y106" i="4"/>
  <c r="AC106" i="4"/>
  <c r="BG106" i="4"/>
  <c r="CA106" i="4"/>
  <c r="BX106" i="4"/>
  <c r="CC106" i="4"/>
  <c r="CF106" i="4"/>
  <c r="BH106" i="4"/>
  <c r="BK106" i="4"/>
  <c r="BO106" i="4"/>
  <c r="CB106" i="4"/>
  <c r="BN106" i="4"/>
  <c r="BS106" i="4"/>
  <c r="BT106" i="4"/>
  <c r="BL106" i="4"/>
  <c r="BP106" i="4"/>
  <c r="BM106" i="4"/>
  <c r="BR106" i="4"/>
  <c r="CG106" i="4"/>
  <c r="CE106" i="4"/>
  <c r="CD106" i="4"/>
  <c r="BQ106" i="4"/>
  <c r="CH106" i="4"/>
  <c r="BU106" i="4"/>
  <c r="CI106" i="4"/>
  <c r="CJ106" i="4"/>
  <c r="BY106" i="4"/>
  <c r="BW106" i="4"/>
  <c r="BI106" i="4"/>
  <c r="BJ106" i="4"/>
  <c r="BZ106" i="4"/>
  <c r="CK106" i="4"/>
  <c r="A109" i="4" l="1"/>
  <c r="E108" i="4"/>
  <c r="J107" i="4"/>
  <c r="AH107" i="4"/>
  <c r="F107" i="4"/>
  <c r="H107" i="4"/>
  <c r="L107" i="4"/>
  <c r="N107" i="4"/>
  <c r="P107" i="4"/>
  <c r="R107" i="4"/>
  <c r="T107" i="4"/>
  <c r="V107" i="4"/>
  <c r="X107" i="4"/>
  <c r="Z107" i="4"/>
  <c r="AB107" i="4"/>
  <c r="AD107" i="4"/>
  <c r="AF107" i="4"/>
  <c r="C107" i="4"/>
  <c r="G107" i="4"/>
  <c r="K107" i="4"/>
  <c r="O107" i="4"/>
  <c r="S107" i="4"/>
  <c r="W107" i="4"/>
  <c r="AA107" i="4"/>
  <c r="AE107" i="4"/>
  <c r="I107" i="4"/>
  <c r="M107" i="4"/>
  <c r="Q107" i="4"/>
  <c r="U107" i="4"/>
  <c r="Y107" i="4"/>
  <c r="AC107" i="4"/>
  <c r="BS107" i="4"/>
  <c r="BX107" i="4"/>
  <c r="BZ107" i="4"/>
  <c r="CJ107" i="4"/>
  <c r="CA107" i="4"/>
  <c r="CH107" i="4"/>
  <c r="CF107" i="4"/>
  <c r="BP107" i="4"/>
  <c r="BH107" i="4"/>
  <c r="BL107" i="4"/>
  <c r="BN107" i="4"/>
  <c r="BK107" i="4"/>
  <c r="BM107" i="4"/>
  <c r="CB107" i="4"/>
  <c r="CD107" i="4"/>
  <c r="BU107" i="4"/>
  <c r="BJ107" i="4"/>
  <c r="CG107" i="4"/>
  <c r="CK107" i="4"/>
  <c r="BI107" i="4"/>
  <c r="BG107" i="4"/>
  <c r="BW107" i="4"/>
  <c r="CE107" i="4"/>
  <c r="BT107" i="4"/>
  <c r="CC107" i="4"/>
  <c r="CI107" i="4"/>
  <c r="BY107" i="4"/>
  <c r="BR107" i="4"/>
  <c r="BO107" i="4"/>
  <c r="BQ107" i="4"/>
  <c r="A110" i="4" l="1"/>
  <c r="E109" i="4"/>
  <c r="J108" i="4"/>
  <c r="AH108" i="4"/>
  <c r="F108" i="4"/>
  <c r="H108" i="4"/>
  <c r="L108" i="4"/>
  <c r="N108" i="4"/>
  <c r="P108" i="4"/>
  <c r="R108" i="4"/>
  <c r="T108" i="4"/>
  <c r="V108" i="4"/>
  <c r="X108" i="4"/>
  <c r="Z108" i="4"/>
  <c r="AB108" i="4"/>
  <c r="AD108" i="4"/>
  <c r="AF108" i="4"/>
  <c r="C108" i="4"/>
  <c r="G108" i="4"/>
  <c r="K108" i="4"/>
  <c r="O108" i="4"/>
  <c r="S108" i="4"/>
  <c r="W108" i="4"/>
  <c r="AA108" i="4"/>
  <c r="AE108" i="4"/>
  <c r="I108" i="4"/>
  <c r="M108" i="4"/>
  <c r="Q108" i="4"/>
  <c r="U108" i="4"/>
  <c r="Y108" i="4"/>
  <c r="AC108" i="4"/>
  <c r="BO108" i="4"/>
  <c r="CJ108" i="4"/>
  <c r="BI108" i="4"/>
  <c r="CH108" i="4"/>
  <c r="BR108" i="4"/>
  <c r="BJ108" i="4"/>
  <c r="BS108" i="4"/>
  <c r="CF108" i="4"/>
  <c r="CK108" i="4"/>
  <c r="BG108" i="4"/>
  <c r="BU108" i="4"/>
  <c r="BT108" i="4"/>
  <c r="CB108" i="4"/>
  <c r="CG108" i="4"/>
  <c r="CD108" i="4"/>
  <c r="BK108" i="4"/>
  <c r="BN108" i="4"/>
  <c r="CA108" i="4"/>
  <c r="BY108" i="4"/>
  <c r="BQ108" i="4"/>
  <c r="CC108" i="4"/>
  <c r="BL108" i="4"/>
  <c r="BW108" i="4"/>
  <c r="BM108" i="4"/>
  <c r="CI108" i="4"/>
  <c r="BX108" i="4"/>
  <c r="BZ108" i="4"/>
  <c r="CE108" i="4"/>
  <c r="BP108" i="4"/>
  <c r="BH108" i="4"/>
  <c r="A111" i="4" l="1"/>
  <c r="E110" i="4"/>
  <c r="J109" i="4"/>
  <c r="AH109" i="4"/>
  <c r="F109" i="4"/>
  <c r="H109" i="4"/>
  <c r="L109" i="4"/>
  <c r="N109" i="4"/>
  <c r="P109" i="4"/>
  <c r="R109" i="4"/>
  <c r="T109" i="4"/>
  <c r="V109" i="4"/>
  <c r="X109" i="4"/>
  <c r="Z109" i="4"/>
  <c r="AB109" i="4"/>
  <c r="AD109" i="4"/>
  <c r="AF109" i="4"/>
  <c r="C109" i="4"/>
  <c r="G109" i="4"/>
  <c r="K109" i="4"/>
  <c r="O109" i="4"/>
  <c r="S109" i="4"/>
  <c r="W109" i="4"/>
  <c r="AA109" i="4"/>
  <c r="AE109" i="4"/>
  <c r="I109" i="4"/>
  <c r="M109" i="4"/>
  <c r="Q109" i="4"/>
  <c r="U109" i="4"/>
  <c r="Y109" i="4"/>
  <c r="AC109" i="4"/>
  <c r="BR109" i="4"/>
  <c r="CJ109" i="4"/>
  <c r="CG109" i="4"/>
  <c r="CK109" i="4"/>
  <c r="CD109" i="4"/>
  <c r="BH109" i="4"/>
  <c r="BY109" i="4"/>
  <c r="BN109" i="4"/>
  <c r="BZ109" i="4"/>
  <c r="BX109" i="4"/>
  <c r="CB109" i="4"/>
  <c r="BI109" i="4"/>
  <c r="BM109" i="4"/>
  <c r="CE109" i="4"/>
  <c r="BO109" i="4"/>
  <c r="BL109" i="4"/>
  <c r="BQ109" i="4"/>
  <c r="CC109" i="4"/>
  <c r="BS109" i="4"/>
  <c r="CF109" i="4"/>
  <c r="CA109" i="4"/>
  <c r="BG109" i="4"/>
  <c r="BT109" i="4"/>
  <c r="BW109" i="4"/>
  <c r="CI109" i="4"/>
  <c r="CH109" i="4"/>
  <c r="BP109" i="4"/>
  <c r="BK109" i="4"/>
  <c r="BJ109" i="4"/>
  <c r="BU109" i="4"/>
  <c r="A112" i="4" l="1"/>
  <c r="E111" i="4"/>
  <c r="J110" i="4"/>
  <c r="AH110" i="4"/>
  <c r="F110" i="4"/>
  <c r="H110" i="4"/>
  <c r="L110" i="4"/>
  <c r="N110" i="4"/>
  <c r="P110" i="4"/>
  <c r="R110" i="4"/>
  <c r="T110" i="4"/>
  <c r="V110" i="4"/>
  <c r="X110" i="4"/>
  <c r="Z110" i="4"/>
  <c r="AB110" i="4"/>
  <c r="AD110" i="4"/>
  <c r="AF110" i="4"/>
  <c r="C110" i="4"/>
  <c r="G110" i="4"/>
  <c r="K110" i="4"/>
  <c r="O110" i="4"/>
  <c r="S110" i="4"/>
  <c r="W110" i="4"/>
  <c r="AA110" i="4"/>
  <c r="AE110" i="4"/>
  <c r="I110" i="4"/>
  <c r="M110" i="4"/>
  <c r="Q110" i="4"/>
  <c r="U110" i="4"/>
  <c r="Y110" i="4"/>
  <c r="AC110" i="4"/>
  <c r="BG110" i="4"/>
  <c r="BS110" i="4"/>
  <c r="BL110" i="4"/>
  <c r="CJ110" i="4"/>
  <c r="BN110" i="4"/>
  <c r="BI110" i="4"/>
  <c r="CA110" i="4"/>
  <c r="BP110" i="4"/>
  <c r="BU110" i="4"/>
  <c r="CB110" i="4"/>
  <c r="BY110" i="4"/>
  <c r="CF110" i="4"/>
  <c r="BM110" i="4"/>
  <c r="CE110" i="4"/>
  <c r="BJ110" i="4"/>
  <c r="CH110" i="4"/>
  <c r="BO110" i="4"/>
  <c r="BW110" i="4"/>
  <c r="BH110" i="4"/>
  <c r="CI110" i="4"/>
  <c r="BK110" i="4"/>
  <c r="CK110" i="4"/>
  <c r="CD110" i="4"/>
  <c r="CC110" i="4"/>
  <c r="BT110" i="4"/>
  <c r="BR110" i="4"/>
  <c r="CG110" i="4"/>
  <c r="BZ110" i="4"/>
  <c r="BX110" i="4"/>
  <c r="BQ110" i="4"/>
  <c r="A113" i="4" l="1"/>
  <c r="E112" i="4"/>
  <c r="J111" i="4"/>
  <c r="AH111" i="4"/>
  <c r="F111" i="4"/>
  <c r="H111" i="4"/>
  <c r="L111" i="4"/>
  <c r="N111" i="4"/>
  <c r="P111" i="4"/>
  <c r="R111" i="4"/>
  <c r="T111" i="4"/>
  <c r="V111" i="4"/>
  <c r="X111" i="4"/>
  <c r="Z111" i="4"/>
  <c r="AB111" i="4"/>
  <c r="AD111" i="4"/>
  <c r="AF111" i="4"/>
  <c r="C111" i="4"/>
  <c r="G111" i="4"/>
  <c r="I111" i="4"/>
  <c r="K111" i="4"/>
  <c r="M111" i="4"/>
  <c r="O111" i="4"/>
  <c r="Q111" i="4"/>
  <c r="S111" i="4"/>
  <c r="U111" i="4"/>
  <c r="W111" i="4"/>
  <c r="Y111" i="4"/>
  <c r="AA111" i="4"/>
  <c r="AC111" i="4"/>
  <c r="AE111" i="4"/>
  <c r="CK111" i="4"/>
  <c r="CE111" i="4"/>
  <c r="BL111" i="4"/>
  <c r="CI111" i="4"/>
  <c r="BT111" i="4"/>
  <c r="CB111" i="4"/>
  <c r="BG111" i="4"/>
  <c r="BS111" i="4"/>
  <c r="CJ111" i="4"/>
  <c r="BP111" i="4"/>
  <c r="BH111" i="4"/>
  <c r="CF111" i="4"/>
  <c r="BM111" i="4"/>
  <c r="BZ111" i="4"/>
  <c r="BI111" i="4"/>
  <c r="CG111" i="4"/>
  <c r="BX111" i="4"/>
  <c r="CC111" i="4"/>
  <c r="CH111" i="4"/>
  <c r="CA111" i="4"/>
  <c r="BW111" i="4"/>
  <c r="BJ111" i="4"/>
  <c r="BY111" i="4"/>
  <c r="CD111" i="4"/>
  <c r="BU111" i="4"/>
  <c r="BQ111" i="4"/>
  <c r="BR111" i="4"/>
  <c r="BK111" i="4"/>
  <c r="BO111" i="4"/>
  <c r="BN111" i="4"/>
  <c r="A114" i="4" l="1"/>
  <c r="E113" i="4"/>
  <c r="J112" i="4"/>
  <c r="AH112" i="4"/>
  <c r="F112" i="4"/>
  <c r="H112" i="4"/>
  <c r="L112" i="4"/>
  <c r="N112" i="4"/>
  <c r="P112" i="4"/>
  <c r="R112" i="4"/>
  <c r="T112" i="4"/>
  <c r="V112" i="4"/>
  <c r="X112" i="4"/>
  <c r="Z112" i="4"/>
  <c r="AB112" i="4"/>
  <c r="AD112" i="4"/>
  <c r="AF112" i="4"/>
  <c r="C112" i="4"/>
  <c r="G112" i="4"/>
  <c r="I112" i="4"/>
  <c r="K112" i="4"/>
  <c r="M112" i="4"/>
  <c r="O112" i="4"/>
  <c r="S112" i="4"/>
  <c r="W112" i="4"/>
  <c r="AA112" i="4"/>
  <c r="AE112" i="4"/>
  <c r="Q112" i="4"/>
  <c r="U112" i="4"/>
  <c r="Y112" i="4"/>
  <c r="AC112" i="4"/>
  <c r="BK112" i="4"/>
  <c r="BH112" i="4"/>
  <c r="CD112" i="4"/>
  <c r="BI112" i="4"/>
  <c r="BG112" i="4"/>
  <c r="BW112" i="4"/>
  <c r="BO112" i="4"/>
  <c r="CA112" i="4"/>
  <c r="CF112" i="4"/>
  <c r="CK112" i="4"/>
  <c r="BP112" i="4"/>
  <c r="BU112" i="4"/>
  <c r="BL112" i="4"/>
  <c r="BZ112" i="4"/>
  <c r="CC112" i="4"/>
  <c r="BX112" i="4"/>
  <c r="CI112" i="4"/>
  <c r="CG112" i="4"/>
  <c r="CB112" i="4"/>
  <c r="BR112" i="4"/>
  <c r="BJ112" i="4"/>
  <c r="CJ112" i="4"/>
  <c r="BM112" i="4"/>
  <c r="CE112" i="4"/>
  <c r="BS112" i="4"/>
  <c r="CH112" i="4"/>
  <c r="BQ112" i="4"/>
  <c r="BN112" i="4"/>
  <c r="BT112" i="4"/>
  <c r="BY112" i="4"/>
  <c r="A115" i="4" l="1"/>
  <c r="E114" i="4"/>
  <c r="J113" i="4"/>
  <c r="AH113" i="4"/>
  <c r="F113" i="4"/>
  <c r="H113" i="4"/>
  <c r="L113" i="4"/>
  <c r="N113" i="4"/>
  <c r="P113" i="4"/>
  <c r="R113" i="4"/>
  <c r="T113" i="4"/>
  <c r="V113" i="4"/>
  <c r="C113" i="4"/>
  <c r="G113" i="4"/>
  <c r="K113" i="4"/>
  <c r="O113" i="4"/>
  <c r="S113" i="4"/>
  <c r="W113" i="4"/>
  <c r="Y113" i="4"/>
  <c r="AA113" i="4"/>
  <c r="AC113" i="4"/>
  <c r="AE113" i="4"/>
  <c r="I113" i="4"/>
  <c r="M113" i="4"/>
  <c r="Q113" i="4"/>
  <c r="U113" i="4"/>
  <c r="X113" i="4"/>
  <c r="Z113" i="4"/>
  <c r="AB113" i="4"/>
  <c r="AD113" i="4"/>
  <c r="AF113" i="4"/>
  <c r="BO113" i="4"/>
  <c r="BP113" i="4"/>
  <c r="BW113" i="4"/>
  <c r="CC113" i="4"/>
  <c r="BU113" i="4"/>
  <c r="CJ113" i="4"/>
  <c r="BR113" i="4"/>
  <c r="BX113" i="4"/>
  <c r="CH113" i="4"/>
  <c r="CI113" i="4"/>
  <c r="BQ113" i="4"/>
  <c r="BI113" i="4"/>
  <c r="CD113" i="4"/>
  <c r="CF113" i="4"/>
  <c r="BH113" i="4"/>
  <c r="CK113" i="4"/>
  <c r="CB113" i="4"/>
  <c r="BK113" i="4"/>
  <c r="BG113" i="4"/>
  <c r="CG113" i="4"/>
  <c r="BM113" i="4"/>
  <c r="CA113" i="4"/>
  <c r="BY113" i="4"/>
  <c r="BS113" i="4"/>
  <c r="BN113" i="4"/>
  <c r="CE113" i="4"/>
  <c r="BT113" i="4"/>
  <c r="BL113" i="4"/>
  <c r="BJ113" i="4"/>
  <c r="BZ113" i="4"/>
  <c r="A116" i="4" l="1"/>
  <c r="E115" i="4"/>
  <c r="J114" i="4"/>
  <c r="AH114" i="4"/>
  <c r="C114" i="4"/>
  <c r="G114" i="4"/>
  <c r="I114" i="4"/>
  <c r="K114" i="4"/>
  <c r="M114" i="4"/>
  <c r="O114" i="4"/>
  <c r="Q114" i="4"/>
  <c r="S114" i="4"/>
  <c r="U114" i="4"/>
  <c r="W114" i="4"/>
  <c r="Y114" i="4"/>
  <c r="AA114" i="4"/>
  <c r="AC114" i="4"/>
  <c r="AE114" i="4"/>
  <c r="F114" i="4"/>
  <c r="H114" i="4"/>
  <c r="L114" i="4"/>
  <c r="N114" i="4"/>
  <c r="P114" i="4"/>
  <c r="R114" i="4"/>
  <c r="T114" i="4"/>
  <c r="V114" i="4"/>
  <c r="X114" i="4"/>
  <c r="Z114" i="4"/>
  <c r="AB114" i="4"/>
  <c r="AD114" i="4"/>
  <c r="AF114" i="4"/>
  <c r="BO114" i="4"/>
  <c r="CJ114" i="4"/>
  <c r="BS114" i="4"/>
  <c r="BM114" i="4"/>
  <c r="BI114" i="4"/>
  <c r="CD114" i="4"/>
  <c r="BZ114" i="4"/>
  <c r="CC114" i="4"/>
  <c r="CI114" i="4"/>
  <c r="BG114" i="4"/>
  <c r="CF114" i="4"/>
  <c r="CH114" i="4"/>
  <c r="BH114" i="4"/>
  <c r="BK114" i="4"/>
  <c r="CB114" i="4"/>
  <c r="BY114" i="4"/>
  <c r="CA114" i="4"/>
  <c r="BN114" i="4"/>
  <c r="CK114" i="4"/>
  <c r="BP114" i="4"/>
  <c r="BX114" i="4"/>
  <c r="BT114" i="4"/>
  <c r="BU114" i="4"/>
  <c r="BR114" i="4"/>
  <c r="BW114" i="4"/>
  <c r="CE114" i="4"/>
  <c r="BQ114" i="4"/>
  <c r="CG114" i="4"/>
  <c r="BL114" i="4"/>
  <c r="BJ114" i="4"/>
  <c r="A117" i="4" l="1"/>
  <c r="E116" i="4"/>
  <c r="J115" i="4"/>
  <c r="AH115" i="4"/>
  <c r="C115" i="4"/>
  <c r="G115" i="4"/>
  <c r="I115" i="4"/>
  <c r="K115" i="4"/>
  <c r="M115" i="4"/>
  <c r="O115" i="4"/>
  <c r="Q115" i="4"/>
  <c r="S115" i="4"/>
  <c r="U115" i="4"/>
  <c r="W115" i="4"/>
  <c r="Y115" i="4"/>
  <c r="AA115" i="4"/>
  <c r="AC115" i="4"/>
  <c r="AE115" i="4"/>
  <c r="F115" i="4"/>
  <c r="H115" i="4"/>
  <c r="L115" i="4"/>
  <c r="N115" i="4"/>
  <c r="P115" i="4"/>
  <c r="R115" i="4"/>
  <c r="T115" i="4"/>
  <c r="V115" i="4"/>
  <c r="X115" i="4"/>
  <c r="Z115" i="4"/>
  <c r="AB115" i="4"/>
  <c r="AD115" i="4"/>
  <c r="AF115" i="4"/>
  <c r="CA115" i="4"/>
  <c r="CH115" i="4"/>
  <c r="BM115" i="4"/>
  <c r="CI115" i="4"/>
  <c r="BL115" i="4"/>
  <c r="BT115" i="4"/>
  <c r="BU115" i="4"/>
  <c r="BY115" i="4"/>
  <c r="CJ115" i="4"/>
  <c r="BI115" i="4"/>
  <c r="CC115" i="4"/>
  <c r="CB115" i="4"/>
  <c r="BS115" i="4"/>
  <c r="BX115" i="4"/>
  <c r="BK115" i="4"/>
  <c r="BZ115" i="4"/>
  <c r="CK115" i="4"/>
  <c r="BH115" i="4"/>
  <c r="BR115" i="4"/>
  <c r="CE115" i="4"/>
  <c r="BO115" i="4"/>
  <c r="BJ115" i="4"/>
  <c r="BW115" i="4"/>
  <c r="BN115" i="4"/>
  <c r="CD115" i="4"/>
  <c r="BQ115" i="4"/>
  <c r="BG115" i="4"/>
  <c r="BP115" i="4"/>
  <c r="CG115" i="4"/>
  <c r="CF115" i="4"/>
  <c r="A118" i="4" l="1"/>
  <c r="E117" i="4"/>
  <c r="J116" i="4"/>
  <c r="AH116" i="4"/>
  <c r="C116" i="4"/>
  <c r="G116" i="4"/>
  <c r="I116" i="4"/>
  <c r="K116" i="4"/>
  <c r="M116" i="4"/>
  <c r="O116" i="4"/>
  <c r="Q116" i="4"/>
  <c r="S116" i="4"/>
  <c r="U116" i="4"/>
  <c r="W116" i="4"/>
  <c r="Y116" i="4"/>
  <c r="AA116" i="4"/>
  <c r="AC116" i="4"/>
  <c r="AE116" i="4"/>
  <c r="F116" i="4"/>
  <c r="H116" i="4"/>
  <c r="L116" i="4"/>
  <c r="N116" i="4"/>
  <c r="P116" i="4"/>
  <c r="R116" i="4"/>
  <c r="T116" i="4"/>
  <c r="V116" i="4"/>
  <c r="X116" i="4"/>
  <c r="Z116" i="4"/>
  <c r="AB116" i="4"/>
  <c r="AD116" i="4"/>
  <c r="AF116" i="4"/>
  <c r="CD116" i="4"/>
  <c r="BO116" i="4"/>
  <c r="CE116" i="4"/>
  <c r="CB116" i="4"/>
  <c r="CJ116" i="4"/>
  <c r="BJ116" i="4"/>
  <c r="CG116" i="4"/>
  <c r="BZ116" i="4"/>
  <c r="CI116" i="4"/>
  <c r="BX116" i="4"/>
  <c r="BR116" i="4"/>
  <c r="BG116" i="4"/>
  <c r="CF116" i="4"/>
  <c r="BH116" i="4"/>
  <c r="BL116" i="4"/>
  <c r="BI116" i="4"/>
  <c r="BY116" i="4"/>
  <c r="BK116" i="4"/>
  <c r="BQ116" i="4"/>
  <c r="BS116" i="4"/>
  <c r="CA116" i="4"/>
  <c r="BM116" i="4"/>
  <c r="CC116" i="4"/>
  <c r="BW116" i="4"/>
  <c r="BT116" i="4"/>
  <c r="BN116" i="4"/>
  <c r="CK116" i="4"/>
  <c r="CH116" i="4"/>
  <c r="BU116" i="4"/>
  <c r="BP116" i="4"/>
  <c r="A119" i="4" l="1"/>
  <c r="E118" i="4"/>
  <c r="J117" i="4"/>
  <c r="AH117" i="4"/>
  <c r="C117" i="4"/>
  <c r="G117" i="4"/>
  <c r="I117" i="4"/>
  <c r="K117" i="4"/>
  <c r="M117" i="4"/>
  <c r="O117" i="4"/>
  <c r="Q117" i="4"/>
  <c r="S117" i="4"/>
  <c r="U117" i="4"/>
  <c r="W117" i="4"/>
  <c r="Y117" i="4"/>
  <c r="AA117" i="4"/>
  <c r="AC117" i="4"/>
  <c r="AE117" i="4"/>
  <c r="F117" i="4"/>
  <c r="H117" i="4"/>
  <c r="L117" i="4"/>
  <c r="N117" i="4"/>
  <c r="P117" i="4"/>
  <c r="R117" i="4"/>
  <c r="T117" i="4"/>
  <c r="V117" i="4"/>
  <c r="X117" i="4"/>
  <c r="Z117" i="4"/>
  <c r="AB117" i="4"/>
  <c r="AD117" i="4"/>
  <c r="AF117" i="4"/>
  <c r="BH117" i="4"/>
  <c r="CE117" i="4"/>
  <c r="BN117" i="4"/>
  <c r="BJ117" i="4"/>
  <c r="CG117" i="4"/>
  <c r="BQ117" i="4"/>
  <c r="BK117" i="4"/>
  <c r="CJ117" i="4"/>
  <c r="CB117" i="4"/>
  <c r="BR117" i="4"/>
  <c r="CH117" i="4"/>
  <c r="CA117" i="4"/>
  <c r="BI117" i="4"/>
  <c r="BW117" i="4"/>
  <c r="BT117" i="4"/>
  <c r="BZ117" i="4"/>
  <c r="BG117" i="4"/>
  <c r="BX117" i="4"/>
  <c r="BP117" i="4"/>
  <c r="BS117" i="4"/>
  <c r="BM117" i="4"/>
  <c r="CK117" i="4"/>
  <c r="BL117" i="4"/>
  <c r="BU117" i="4"/>
  <c r="CI117" i="4"/>
  <c r="CF117" i="4"/>
  <c r="CC117" i="4"/>
  <c r="BY117" i="4"/>
  <c r="BO117" i="4"/>
  <c r="CD117" i="4"/>
  <c r="A120" i="4" l="1"/>
  <c r="E119" i="4"/>
  <c r="J118" i="4"/>
  <c r="AH118" i="4"/>
  <c r="C118" i="4"/>
  <c r="G118" i="4"/>
  <c r="I118" i="4"/>
  <c r="K118" i="4"/>
  <c r="M118" i="4"/>
  <c r="O118" i="4"/>
  <c r="Q118" i="4"/>
  <c r="S118" i="4"/>
  <c r="U118" i="4"/>
  <c r="W118" i="4"/>
  <c r="Y118" i="4"/>
  <c r="AA118" i="4"/>
  <c r="AC118" i="4"/>
  <c r="AE118" i="4"/>
  <c r="F118" i="4"/>
  <c r="H118" i="4"/>
  <c r="L118" i="4"/>
  <c r="N118" i="4"/>
  <c r="P118" i="4"/>
  <c r="R118" i="4"/>
  <c r="T118" i="4"/>
  <c r="V118" i="4"/>
  <c r="X118" i="4"/>
  <c r="Z118" i="4"/>
  <c r="AB118" i="4"/>
  <c r="AD118" i="4"/>
  <c r="AF118" i="4"/>
  <c r="BI118" i="4"/>
  <c r="BU118" i="4"/>
  <c r="BO118" i="4"/>
  <c r="BK118" i="4"/>
  <c r="CB118" i="4"/>
  <c r="CK118" i="4"/>
  <c r="CG118" i="4"/>
  <c r="CC118" i="4"/>
  <c r="BX118" i="4"/>
  <c r="BW118" i="4"/>
  <c r="BP118" i="4"/>
  <c r="CA118" i="4"/>
  <c r="CH118" i="4"/>
  <c r="CI118" i="4"/>
  <c r="CE118" i="4"/>
  <c r="BS118" i="4"/>
  <c r="BT118" i="4"/>
  <c r="CJ118" i="4"/>
  <c r="BG118" i="4"/>
  <c r="CF118" i="4"/>
  <c r="BJ118" i="4"/>
  <c r="BR118" i="4"/>
  <c r="CD118" i="4"/>
  <c r="BQ118" i="4"/>
  <c r="BY118" i="4"/>
  <c r="BH118" i="4"/>
  <c r="BM118" i="4"/>
  <c r="BZ118" i="4"/>
  <c r="BL118" i="4"/>
  <c r="BN118" i="4"/>
  <c r="A121" i="4" l="1"/>
  <c r="E120" i="4"/>
  <c r="J119" i="4"/>
  <c r="AH119" i="4"/>
  <c r="C119" i="4"/>
  <c r="G119" i="4"/>
  <c r="I119" i="4"/>
  <c r="K119" i="4"/>
  <c r="M119" i="4"/>
  <c r="O119" i="4"/>
  <c r="Q119" i="4"/>
  <c r="S119" i="4"/>
  <c r="U119" i="4"/>
  <c r="W119" i="4"/>
  <c r="Y119" i="4"/>
  <c r="AA119" i="4"/>
  <c r="AC119" i="4"/>
  <c r="AE119" i="4"/>
  <c r="F119" i="4"/>
  <c r="H119" i="4"/>
  <c r="L119" i="4"/>
  <c r="N119" i="4"/>
  <c r="P119" i="4"/>
  <c r="R119" i="4"/>
  <c r="T119" i="4"/>
  <c r="V119" i="4"/>
  <c r="X119" i="4"/>
  <c r="Z119" i="4"/>
  <c r="AB119" i="4"/>
  <c r="AD119" i="4"/>
  <c r="AF119" i="4"/>
  <c r="BT119" i="4"/>
  <c r="BO119" i="4"/>
  <c r="CD119" i="4"/>
  <c r="BS119" i="4"/>
  <c r="BK119" i="4"/>
  <c r="BU119" i="4"/>
  <c r="CE119" i="4"/>
  <c r="BM119" i="4"/>
  <c r="BQ119" i="4"/>
  <c r="BR119" i="4"/>
  <c r="BL119" i="4"/>
  <c r="BZ119" i="4"/>
  <c r="BH119" i="4"/>
  <c r="CH119" i="4"/>
  <c r="BP119" i="4"/>
  <c r="CJ119" i="4"/>
  <c r="BW119" i="4"/>
  <c r="CG119" i="4"/>
  <c r="BG119" i="4"/>
  <c r="CF119" i="4"/>
  <c r="BN119" i="4"/>
  <c r="BJ119" i="4"/>
  <c r="BI119" i="4"/>
  <c r="BX119" i="4"/>
  <c r="CK119" i="4"/>
  <c r="CI119" i="4"/>
  <c r="BY119" i="4"/>
  <c r="CB119" i="4"/>
  <c r="CC119" i="4"/>
  <c r="CA119" i="4"/>
  <c r="A122" i="4" l="1"/>
  <c r="E121" i="4"/>
  <c r="J120" i="4"/>
  <c r="AH120" i="4"/>
  <c r="C120" i="4"/>
  <c r="G120" i="4"/>
  <c r="I120" i="4"/>
  <c r="K120" i="4"/>
  <c r="M120" i="4"/>
  <c r="O120" i="4"/>
  <c r="Q120" i="4"/>
  <c r="S120" i="4"/>
  <c r="U120" i="4"/>
  <c r="W120" i="4"/>
  <c r="Y120" i="4"/>
  <c r="AA120" i="4"/>
  <c r="AC120" i="4"/>
  <c r="AE120" i="4"/>
  <c r="F120" i="4"/>
  <c r="H120" i="4"/>
  <c r="L120" i="4"/>
  <c r="N120" i="4"/>
  <c r="P120" i="4"/>
  <c r="R120" i="4"/>
  <c r="T120" i="4"/>
  <c r="V120" i="4"/>
  <c r="X120" i="4"/>
  <c r="Z120" i="4"/>
  <c r="AB120" i="4"/>
  <c r="AD120" i="4"/>
  <c r="AF120" i="4"/>
  <c r="CD120" i="4"/>
  <c r="CK120" i="4"/>
  <c r="BR120" i="4"/>
  <c r="BK120" i="4"/>
  <c r="CI120" i="4"/>
  <c r="CC120" i="4"/>
  <c r="BG120" i="4"/>
  <c r="BN120" i="4"/>
  <c r="BI120" i="4"/>
  <c r="BQ120" i="4"/>
  <c r="BJ120" i="4"/>
  <c r="CE120" i="4"/>
  <c r="CH120" i="4"/>
  <c r="CA120" i="4"/>
  <c r="CB120" i="4"/>
  <c r="CF120" i="4"/>
  <c r="BH120" i="4"/>
  <c r="BS120" i="4"/>
  <c r="BT120" i="4"/>
  <c r="BL120" i="4"/>
  <c r="CG120" i="4"/>
  <c r="CJ120" i="4"/>
  <c r="BU120" i="4"/>
  <c r="BM120" i="4"/>
  <c r="BO120" i="4"/>
  <c r="BZ120" i="4"/>
  <c r="BW120" i="4"/>
  <c r="BP120" i="4"/>
  <c r="BX120" i="4"/>
  <c r="BY120" i="4"/>
  <c r="A123" i="4" l="1"/>
  <c r="E122" i="4"/>
  <c r="J121" i="4"/>
  <c r="AH121" i="4"/>
  <c r="C121" i="4"/>
  <c r="G121" i="4"/>
  <c r="I121" i="4"/>
  <c r="K121" i="4"/>
  <c r="M121" i="4"/>
  <c r="O121" i="4"/>
  <c r="Q121" i="4"/>
  <c r="S121" i="4"/>
  <c r="U121" i="4"/>
  <c r="W121" i="4"/>
  <c r="Y121" i="4"/>
  <c r="AA121" i="4"/>
  <c r="AC121" i="4"/>
  <c r="AE121" i="4"/>
  <c r="F121" i="4"/>
  <c r="H121" i="4"/>
  <c r="L121" i="4"/>
  <c r="N121" i="4"/>
  <c r="P121" i="4"/>
  <c r="R121" i="4"/>
  <c r="T121" i="4"/>
  <c r="V121" i="4"/>
  <c r="X121" i="4"/>
  <c r="Z121" i="4"/>
  <c r="AB121" i="4"/>
  <c r="AD121" i="4"/>
  <c r="AF121" i="4"/>
  <c r="BY121" i="4"/>
  <c r="CH121" i="4"/>
  <c r="BN121" i="4"/>
  <c r="BR121" i="4"/>
  <c r="BS121" i="4"/>
  <c r="BU121" i="4"/>
  <c r="CK121" i="4"/>
  <c r="CB121" i="4"/>
  <c r="CG121" i="4"/>
  <c r="BK121" i="4"/>
  <c r="BW121" i="4"/>
  <c r="CA121" i="4"/>
  <c r="CE121" i="4"/>
  <c r="BI121" i="4"/>
  <c r="BO121" i="4"/>
  <c r="CF121" i="4"/>
  <c r="BZ121" i="4"/>
  <c r="CI121" i="4"/>
  <c r="BL121" i="4"/>
  <c r="BJ121" i="4"/>
  <c r="BX121" i="4"/>
  <c r="CJ121" i="4"/>
  <c r="CD121" i="4"/>
  <c r="BP121" i="4"/>
  <c r="CC121" i="4"/>
  <c r="BQ121" i="4"/>
  <c r="BG121" i="4"/>
  <c r="BH121" i="4"/>
  <c r="BM121" i="4"/>
  <c r="BT121" i="4"/>
  <c r="A124" i="4" l="1"/>
  <c r="E123" i="4"/>
  <c r="J122" i="4"/>
  <c r="AH122" i="4"/>
  <c r="C122" i="4"/>
  <c r="G122" i="4"/>
  <c r="I122" i="4"/>
  <c r="K122" i="4"/>
  <c r="M122" i="4"/>
  <c r="O122" i="4"/>
  <c r="Q122" i="4"/>
  <c r="S122" i="4"/>
  <c r="U122" i="4"/>
  <c r="W122" i="4"/>
  <c r="Y122" i="4"/>
  <c r="AA122" i="4"/>
  <c r="AC122" i="4"/>
  <c r="AE122" i="4"/>
  <c r="F122" i="4"/>
  <c r="H122" i="4"/>
  <c r="L122" i="4"/>
  <c r="N122" i="4"/>
  <c r="P122" i="4"/>
  <c r="R122" i="4"/>
  <c r="T122" i="4"/>
  <c r="V122" i="4"/>
  <c r="X122" i="4"/>
  <c r="Z122" i="4"/>
  <c r="AB122" i="4"/>
  <c r="AD122" i="4"/>
  <c r="AF122" i="4"/>
  <c r="BP122" i="4"/>
  <c r="BJ122" i="4"/>
  <c r="BQ122" i="4"/>
  <c r="BG122" i="4"/>
  <c r="CC122" i="4"/>
  <c r="BU122" i="4"/>
  <c r="BS122" i="4"/>
  <c r="CF122" i="4"/>
  <c r="BX122" i="4"/>
  <c r="CD122" i="4"/>
  <c r="BI122" i="4"/>
  <c r="CI122" i="4"/>
  <c r="BO122" i="4"/>
  <c r="CK122" i="4"/>
  <c r="CH122" i="4"/>
  <c r="CG122" i="4"/>
  <c r="CA122" i="4"/>
  <c r="BY122" i="4"/>
  <c r="BW122" i="4"/>
  <c r="BM122" i="4"/>
  <c r="BH122" i="4"/>
  <c r="BL122" i="4"/>
  <c r="BK122" i="4"/>
  <c r="CJ122" i="4"/>
  <c r="CE122" i="4"/>
  <c r="CB122" i="4"/>
  <c r="BT122" i="4"/>
  <c r="BR122" i="4"/>
  <c r="BN122" i="4"/>
  <c r="BZ122" i="4"/>
  <c r="A125" i="4" l="1"/>
  <c r="E124" i="4"/>
  <c r="J123" i="4"/>
  <c r="AH123" i="4"/>
  <c r="C123" i="4"/>
  <c r="G123" i="4"/>
  <c r="I123" i="4"/>
  <c r="K123" i="4"/>
  <c r="M123" i="4"/>
  <c r="O123" i="4"/>
  <c r="Q123" i="4"/>
  <c r="S123" i="4"/>
  <c r="U123" i="4"/>
  <c r="W123" i="4"/>
  <c r="Y123" i="4"/>
  <c r="AA123" i="4"/>
  <c r="F123" i="4"/>
  <c r="H123" i="4"/>
  <c r="L123" i="4"/>
  <c r="N123" i="4"/>
  <c r="P123" i="4"/>
  <c r="R123" i="4"/>
  <c r="T123" i="4"/>
  <c r="V123" i="4"/>
  <c r="X123" i="4"/>
  <c r="AB123" i="4"/>
  <c r="AD123" i="4"/>
  <c r="AF123" i="4"/>
  <c r="Z123" i="4"/>
  <c r="AE123" i="4"/>
  <c r="AC123" i="4"/>
  <c r="CD123" i="4"/>
  <c r="CB123" i="4"/>
  <c r="CE123" i="4"/>
  <c r="BP123" i="4"/>
  <c r="CF123" i="4"/>
  <c r="CA123" i="4"/>
  <c r="BW123" i="4"/>
  <c r="BK123" i="4"/>
  <c r="BO123" i="4"/>
  <c r="CK123" i="4"/>
  <c r="CI123" i="4"/>
  <c r="BS123" i="4"/>
  <c r="BM123" i="4"/>
  <c r="BZ123" i="4"/>
  <c r="BN123" i="4"/>
  <c r="BG123" i="4"/>
  <c r="CJ123" i="4"/>
  <c r="BX123" i="4"/>
  <c r="BI123" i="4"/>
  <c r="BT123" i="4"/>
  <c r="BU123" i="4"/>
  <c r="BQ123" i="4"/>
  <c r="BY123" i="4"/>
  <c r="BJ123" i="4"/>
  <c r="BL123" i="4"/>
  <c r="BR123" i="4"/>
  <c r="CC123" i="4"/>
  <c r="CG123" i="4"/>
  <c r="CH123" i="4"/>
  <c r="BH123" i="4"/>
  <c r="A126" i="4" l="1"/>
  <c r="E125" i="4"/>
  <c r="J124" i="4"/>
  <c r="AH124" i="4"/>
  <c r="F124" i="4"/>
  <c r="H124" i="4"/>
  <c r="L124" i="4"/>
  <c r="N124" i="4"/>
  <c r="P124" i="4"/>
  <c r="R124" i="4"/>
  <c r="T124" i="4"/>
  <c r="V124" i="4"/>
  <c r="X124" i="4"/>
  <c r="Z124" i="4"/>
  <c r="AB124" i="4"/>
  <c r="AD124" i="4"/>
  <c r="AF124" i="4"/>
  <c r="C124" i="4"/>
  <c r="G124" i="4"/>
  <c r="K124" i="4"/>
  <c r="O124" i="4"/>
  <c r="S124" i="4"/>
  <c r="W124" i="4"/>
  <c r="AA124" i="4"/>
  <c r="AE124" i="4"/>
  <c r="I124" i="4"/>
  <c r="M124" i="4"/>
  <c r="Q124" i="4"/>
  <c r="U124" i="4"/>
  <c r="Y124" i="4"/>
  <c r="AC124" i="4"/>
  <c r="BZ124" i="4"/>
  <c r="CH124" i="4"/>
  <c r="CI124" i="4"/>
  <c r="BH124" i="4"/>
  <c r="BT124" i="4"/>
  <c r="BY124" i="4"/>
  <c r="BP124" i="4"/>
  <c r="CK124" i="4"/>
  <c r="BR124" i="4"/>
  <c r="BJ124" i="4"/>
  <c r="BL124" i="4"/>
  <c r="CD124" i="4"/>
  <c r="BQ124" i="4"/>
  <c r="BN124" i="4"/>
  <c r="BU124" i="4"/>
  <c r="BS124" i="4"/>
  <c r="CA124" i="4"/>
  <c r="CE124" i="4"/>
  <c r="BO124" i="4"/>
  <c r="BX124" i="4"/>
  <c r="CF124" i="4"/>
  <c r="CB124" i="4"/>
  <c r="CC124" i="4"/>
  <c r="CG124" i="4"/>
  <c r="CJ124" i="4"/>
  <c r="BK124" i="4"/>
  <c r="BG124" i="4"/>
  <c r="BM124" i="4"/>
  <c r="BI124" i="4"/>
  <c r="BW124" i="4"/>
  <c r="A127" i="4" l="1"/>
  <c r="E126" i="4"/>
  <c r="J125" i="4"/>
  <c r="AH125" i="4"/>
  <c r="F125" i="4"/>
  <c r="H125" i="4"/>
  <c r="L125" i="4"/>
  <c r="N125" i="4"/>
  <c r="P125" i="4"/>
  <c r="R125" i="4"/>
  <c r="T125" i="4"/>
  <c r="V125" i="4"/>
  <c r="X125" i="4"/>
  <c r="Z125" i="4"/>
  <c r="AB125" i="4"/>
  <c r="AD125" i="4"/>
  <c r="AF125" i="4"/>
  <c r="C125" i="4"/>
  <c r="G125" i="4"/>
  <c r="K125" i="4"/>
  <c r="O125" i="4"/>
  <c r="S125" i="4"/>
  <c r="W125" i="4"/>
  <c r="AA125" i="4"/>
  <c r="AE125" i="4"/>
  <c r="I125" i="4"/>
  <c r="M125" i="4"/>
  <c r="Q125" i="4"/>
  <c r="U125" i="4"/>
  <c r="Y125" i="4"/>
  <c r="AC125" i="4"/>
  <c r="CH125" i="4"/>
  <c r="CF125" i="4"/>
  <c r="CK125" i="4"/>
  <c r="BZ125" i="4"/>
  <c r="BH125" i="4"/>
  <c r="BI125" i="4"/>
  <c r="CB125" i="4"/>
  <c r="CD125" i="4"/>
  <c r="CA125" i="4"/>
  <c r="BX125" i="4"/>
  <c r="BK125" i="4"/>
  <c r="CJ125" i="4"/>
  <c r="BQ125" i="4"/>
  <c r="BR125" i="4"/>
  <c r="BN125" i="4"/>
  <c r="BS125" i="4"/>
  <c r="BW125" i="4"/>
  <c r="CI125" i="4"/>
  <c r="CC125" i="4"/>
  <c r="BM125" i="4"/>
  <c r="BL125" i="4"/>
  <c r="CE125" i="4"/>
  <c r="BJ125" i="4"/>
  <c r="BY125" i="4"/>
  <c r="BG125" i="4"/>
  <c r="CG125" i="4"/>
  <c r="BT125" i="4"/>
  <c r="BP125" i="4"/>
  <c r="BO125" i="4"/>
  <c r="BU125" i="4"/>
  <c r="A128" i="4" l="1"/>
  <c r="E127" i="4"/>
  <c r="J126" i="4"/>
  <c r="AH126" i="4"/>
  <c r="F126" i="4"/>
  <c r="H126" i="4"/>
  <c r="L126" i="4"/>
  <c r="N126" i="4"/>
  <c r="P126" i="4"/>
  <c r="R126" i="4"/>
  <c r="T126" i="4"/>
  <c r="V126" i="4"/>
  <c r="X126" i="4"/>
  <c r="Z126" i="4"/>
  <c r="AB126" i="4"/>
  <c r="AD126" i="4"/>
  <c r="AF126" i="4"/>
  <c r="C126" i="4"/>
  <c r="G126" i="4"/>
  <c r="K126" i="4"/>
  <c r="O126" i="4"/>
  <c r="S126" i="4"/>
  <c r="W126" i="4"/>
  <c r="AA126" i="4"/>
  <c r="AE126" i="4"/>
  <c r="I126" i="4"/>
  <c r="M126" i="4"/>
  <c r="Q126" i="4"/>
  <c r="U126" i="4"/>
  <c r="Y126" i="4"/>
  <c r="AC126" i="4"/>
  <c r="BL126" i="4"/>
  <c r="CF126" i="4"/>
  <c r="CA126" i="4"/>
  <c r="BZ126" i="4"/>
  <c r="CB126" i="4"/>
  <c r="BM126" i="4"/>
  <c r="BO126" i="4"/>
  <c r="BU126" i="4"/>
  <c r="CH126" i="4"/>
  <c r="BR126" i="4"/>
  <c r="CE126" i="4"/>
  <c r="BT126" i="4"/>
  <c r="CJ126" i="4"/>
  <c r="BJ126" i="4"/>
  <c r="BH126" i="4"/>
  <c r="BW126" i="4"/>
  <c r="BK126" i="4"/>
  <c r="BS126" i="4"/>
  <c r="BI126" i="4"/>
  <c r="CK126" i="4"/>
  <c r="BQ126" i="4"/>
  <c r="BG126" i="4"/>
  <c r="BX126" i="4"/>
  <c r="CG126" i="4"/>
  <c r="CD126" i="4"/>
  <c r="CC126" i="4"/>
  <c r="BN126" i="4"/>
  <c r="BP126" i="4"/>
  <c r="BY126" i="4"/>
  <c r="CI126" i="4"/>
  <c r="A129" i="4" l="1"/>
  <c r="E128" i="4"/>
  <c r="J127" i="4"/>
  <c r="AH127" i="4"/>
  <c r="F127" i="4"/>
  <c r="H127" i="4"/>
  <c r="L127" i="4"/>
  <c r="N127" i="4"/>
  <c r="P127" i="4"/>
  <c r="R127" i="4"/>
  <c r="T127" i="4"/>
  <c r="V127" i="4"/>
  <c r="X127" i="4"/>
  <c r="Z127" i="4"/>
  <c r="AB127" i="4"/>
  <c r="AD127" i="4"/>
  <c r="AF127" i="4"/>
  <c r="C127" i="4"/>
  <c r="G127" i="4"/>
  <c r="K127" i="4"/>
  <c r="O127" i="4"/>
  <c r="S127" i="4"/>
  <c r="W127" i="4"/>
  <c r="AA127" i="4"/>
  <c r="AE127" i="4"/>
  <c r="I127" i="4"/>
  <c r="M127" i="4"/>
  <c r="Q127" i="4"/>
  <c r="U127" i="4"/>
  <c r="Y127" i="4"/>
  <c r="AC127" i="4"/>
  <c r="BU127" i="4"/>
  <c r="CG127" i="4"/>
  <c r="BJ127" i="4"/>
  <c r="BG127" i="4"/>
  <c r="BI127" i="4"/>
  <c r="BW127" i="4"/>
  <c r="CF127" i="4"/>
  <c r="BT127" i="4"/>
  <c r="BL127" i="4"/>
  <c r="CA127" i="4"/>
  <c r="BS127" i="4"/>
  <c r="CJ127" i="4"/>
  <c r="CH127" i="4"/>
  <c r="BQ127" i="4"/>
  <c r="CB127" i="4"/>
  <c r="CI127" i="4"/>
  <c r="BN127" i="4"/>
  <c r="BM127" i="4"/>
  <c r="BZ127" i="4"/>
  <c r="CE127" i="4"/>
  <c r="CD127" i="4"/>
  <c r="BO127" i="4"/>
  <c r="BK127" i="4"/>
  <c r="BX127" i="4"/>
  <c r="BR127" i="4"/>
  <c r="BH127" i="4"/>
  <c r="BY127" i="4"/>
  <c r="CC127" i="4"/>
  <c r="BP127" i="4"/>
  <c r="CK127" i="4"/>
  <c r="A130" i="4" l="1"/>
  <c r="E129" i="4"/>
  <c r="J128" i="4"/>
  <c r="AH128" i="4"/>
  <c r="F128" i="4"/>
  <c r="H128" i="4"/>
  <c r="L128" i="4"/>
  <c r="N128" i="4"/>
  <c r="P128" i="4"/>
  <c r="R128" i="4"/>
  <c r="T128" i="4"/>
  <c r="V128" i="4"/>
  <c r="X128" i="4"/>
  <c r="Z128" i="4"/>
  <c r="AB128" i="4"/>
  <c r="AD128" i="4"/>
  <c r="AF128" i="4"/>
  <c r="C128" i="4"/>
  <c r="G128" i="4"/>
  <c r="K128" i="4"/>
  <c r="O128" i="4"/>
  <c r="S128" i="4"/>
  <c r="W128" i="4"/>
  <c r="AA128" i="4"/>
  <c r="AE128" i="4"/>
  <c r="I128" i="4"/>
  <c r="M128" i="4"/>
  <c r="Q128" i="4"/>
  <c r="U128" i="4"/>
  <c r="Y128" i="4"/>
  <c r="AC128" i="4"/>
  <c r="CB128" i="4"/>
  <c r="BH128" i="4"/>
  <c r="BK128" i="4"/>
  <c r="BM128" i="4"/>
  <c r="CC128" i="4"/>
  <c r="CK128" i="4"/>
  <c r="BR128" i="4"/>
  <c r="BU128" i="4"/>
  <c r="CE128" i="4"/>
  <c r="BW128" i="4"/>
  <c r="CH128" i="4"/>
  <c r="CA128" i="4"/>
  <c r="CF128" i="4"/>
  <c r="CD128" i="4"/>
  <c r="CG128" i="4"/>
  <c r="BT128" i="4"/>
  <c r="BZ128" i="4"/>
  <c r="BN128" i="4"/>
  <c r="BJ128" i="4"/>
  <c r="BX128" i="4"/>
  <c r="BS128" i="4"/>
  <c r="BI128" i="4"/>
  <c r="BQ128" i="4"/>
  <c r="CI128" i="4"/>
  <c r="BO128" i="4"/>
  <c r="BL128" i="4"/>
  <c r="BY128" i="4"/>
  <c r="BG128" i="4"/>
  <c r="CJ128" i="4"/>
  <c r="BP128" i="4"/>
  <c r="A131" i="4" l="1"/>
  <c r="E130" i="4"/>
  <c r="J129" i="4"/>
  <c r="AH129" i="4"/>
  <c r="F129" i="4"/>
  <c r="H129" i="4"/>
  <c r="L129" i="4"/>
  <c r="N129" i="4"/>
  <c r="P129" i="4"/>
  <c r="R129" i="4"/>
  <c r="T129" i="4"/>
  <c r="V129" i="4"/>
  <c r="X129" i="4"/>
  <c r="Z129" i="4"/>
  <c r="AB129" i="4"/>
  <c r="AD129" i="4"/>
  <c r="AF129" i="4"/>
  <c r="C129" i="4"/>
  <c r="G129" i="4"/>
  <c r="K129" i="4"/>
  <c r="O129" i="4"/>
  <c r="S129" i="4"/>
  <c r="W129" i="4"/>
  <c r="AA129" i="4"/>
  <c r="AE129" i="4"/>
  <c r="I129" i="4"/>
  <c r="M129" i="4"/>
  <c r="Q129" i="4"/>
  <c r="U129" i="4"/>
  <c r="Y129" i="4"/>
  <c r="AC129" i="4"/>
  <c r="CC129" i="4"/>
  <c r="BU129" i="4"/>
  <c r="BJ129" i="4"/>
  <c r="BM129" i="4"/>
  <c r="CK129" i="4"/>
  <c r="CH129" i="4"/>
  <c r="BQ129" i="4"/>
  <c r="BO129" i="4"/>
  <c r="CF129" i="4"/>
  <c r="CB129" i="4"/>
  <c r="BH129" i="4"/>
  <c r="BT129" i="4"/>
  <c r="CG129" i="4"/>
  <c r="CJ129" i="4"/>
  <c r="BG129" i="4"/>
  <c r="BK129" i="4"/>
  <c r="BX129" i="4"/>
  <c r="BW129" i="4"/>
  <c r="CI129" i="4"/>
  <c r="CE129" i="4"/>
  <c r="BS129" i="4"/>
  <c r="BZ129" i="4"/>
  <c r="CD129" i="4"/>
  <c r="BI129" i="4"/>
  <c r="CA129" i="4"/>
  <c r="BN129" i="4"/>
  <c r="BL129" i="4"/>
  <c r="BR129" i="4"/>
  <c r="BY129" i="4"/>
  <c r="BP129" i="4"/>
  <c r="A132" i="4" l="1"/>
  <c r="E131" i="4"/>
  <c r="J130" i="4"/>
  <c r="AH130" i="4"/>
  <c r="F130" i="4"/>
  <c r="H130" i="4"/>
  <c r="L130" i="4"/>
  <c r="N130" i="4"/>
  <c r="P130" i="4"/>
  <c r="R130" i="4"/>
  <c r="T130" i="4"/>
  <c r="V130" i="4"/>
  <c r="X130" i="4"/>
  <c r="Z130" i="4"/>
  <c r="AB130" i="4"/>
  <c r="AD130" i="4"/>
  <c r="AF130" i="4"/>
  <c r="C130" i="4"/>
  <c r="G130" i="4"/>
  <c r="K130" i="4"/>
  <c r="O130" i="4"/>
  <c r="S130" i="4"/>
  <c r="W130" i="4"/>
  <c r="AA130" i="4"/>
  <c r="AE130" i="4"/>
  <c r="I130" i="4"/>
  <c r="M130" i="4"/>
  <c r="Q130" i="4"/>
  <c r="U130" i="4"/>
  <c r="Y130" i="4"/>
  <c r="AC130" i="4"/>
  <c r="CA130" i="4"/>
  <c r="BL130" i="4"/>
  <c r="BG130" i="4"/>
  <c r="BO130" i="4"/>
  <c r="CK130" i="4"/>
  <c r="CD130" i="4"/>
  <c r="CJ130" i="4"/>
  <c r="BU130" i="4"/>
  <c r="BY130" i="4"/>
  <c r="BM130" i="4"/>
  <c r="BR130" i="4"/>
  <c r="CI130" i="4"/>
  <c r="CG130" i="4"/>
  <c r="BW130" i="4"/>
  <c r="BT130" i="4"/>
  <c r="CE130" i="4"/>
  <c r="BJ130" i="4"/>
  <c r="CC130" i="4"/>
  <c r="BN130" i="4"/>
  <c r="CF130" i="4"/>
  <c r="BQ130" i="4"/>
  <c r="CH130" i="4"/>
  <c r="CB130" i="4"/>
  <c r="BZ130" i="4"/>
  <c r="BH130" i="4"/>
  <c r="BX130" i="4"/>
  <c r="BI130" i="4"/>
  <c r="BK130" i="4"/>
  <c r="BS130" i="4"/>
  <c r="BP130" i="4"/>
  <c r="A133" i="4" l="1"/>
  <c r="E132" i="4"/>
  <c r="J131" i="4"/>
  <c r="AH131" i="4"/>
  <c r="F131" i="4"/>
  <c r="H131" i="4"/>
  <c r="L131" i="4"/>
  <c r="N131" i="4"/>
  <c r="P131" i="4"/>
  <c r="R131" i="4"/>
  <c r="T131" i="4"/>
  <c r="V131" i="4"/>
  <c r="X131" i="4"/>
  <c r="Z131" i="4"/>
  <c r="AB131" i="4"/>
  <c r="AD131" i="4"/>
  <c r="AF131" i="4"/>
  <c r="C131" i="4"/>
  <c r="G131" i="4"/>
  <c r="K131" i="4"/>
  <c r="O131" i="4"/>
  <c r="S131" i="4"/>
  <c r="W131" i="4"/>
  <c r="AA131" i="4"/>
  <c r="AE131" i="4"/>
  <c r="I131" i="4"/>
  <c r="M131" i="4"/>
  <c r="Q131" i="4"/>
  <c r="U131" i="4"/>
  <c r="Y131" i="4"/>
  <c r="AC131" i="4"/>
  <c r="BP131" i="4"/>
  <c r="CK131" i="4"/>
  <c r="BS131" i="4"/>
  <c r="CA131" i="4"/>
  <c r="BN131" i="4"/>
  <c r="BL131" i="4"/>
  <c r="CJ131" i="4"/>
  <c r="BK131" i="4"/>
  <c r="BZ131" i="4"/>
  <c r="CG131" i="4"/>
  <c r="BH131" i="4"/>
  <c r="BO131" i="4"/>
  <c r="CC131" i="4"/>
  <c r="BU131" i="4"/>
  <c r="BW131" i="4"/>
  <c r="BG131" i="4"/>
  <c r="CB131" i="4"/>
  <c r="CE131" i="4"/>
  <c r="BM131" i="4"/>
  <c r="BY131" i="4"/>
  <c r="CF131" i="4"/>
  <c r="CH131" i="4"/>
  <c r="BI131" i="4"/>
  <c r="CI131" i="4"/>
  <c r="BQ131" i="4"/>
  <c r="BJ131" i="4"/>
  <c r="BT131" i="4"/>
  <c r="BR131" i="4"/>
  <c r="CD131" i="4"/>
  <c r="BX131" i="4"/>
  <c r="A134" i="4" l="1"/>
  <c r="E133" i="4"/>
  <c r="J132" i="4"/>
  <c r="AH132" i="4"/>
  <c r="F132" i="4"/>
  <c r="H132" i="4"/>
  <c r="L132" i="4"/>
  <c r="N132" i="4"/>
  <c r="P132" i="4"/>
  <c r="R132" i="4"/>
  <c r="T132" i="4"/>
  <c r="V132" i="4"/>
  <c r="X132" i="4"/>
  <c r="Z132" i="4"/>
  <c r="AB132" i="4"/>
  <c r="AD132" i="4"/>
  <c r="AF132" i="4"/>
  <c r="C132" i="4"/>
  <c r="G132" i="4"/>
  <c r="K132" i="4"/>
  <c r="O132" i="4"/>
  <c r="S132" i="4"/>
  <c r="W132" i="4"/>
  <c r="AA132" i="4"/>
  <c r="AE132" i="4"/>
  <c r="I132" i="4"/>
  <c r="M132" i="4"/>
  <c r="Q132" i="4"/>
  <c r="U132" i="4"/>
  <c r="Y132" i="4"/>
  <c r="AC132" i="4"/>
  <c r="BZ132" i="4"/>
  <c r="CB132" i="4"/>
  <c r="CK132" i="4"/>
  <c r="BX132" i="4"/>
  <c r="BO132" i="4"/>
  <c r="BW132" i="4"/>
  <c r="BU132" i="4"/>
  <c r="BK132" i="4"/>
  <c r="BT132" i="4"/>
  <c r="BP132" i="4"/>
  <c r="BY132" i="4"/>
  <c r="CD132" i="4"/>
  <c r="BS132" i="4"/>
  <c r="CF132" i="4"/>
  <c r="BM132" i="4"/>
  <c r="CE132" i="4"/>
  <c r="BI132" i="4"/>
  <c r="CC132" i="4"/>
  <c r="BN132" i="4"/>
  <c r="CH132" i="4"/>
  <c r="CI132" i="4"/>
  <c r="CJ132" i="4"/>
  <c r="CG132" i="4"/>
  <c r="BL132" i="4"/>
  <c r="BH132" i="4"/>
  <c r="BJ132" i="4"/>
  <c r="BG132" i="4"/>
  <c r="CA132" i="4"/>
  <c r="BQ132" i="4"/>
  <c r="BR132" i="4"/>
  <c r="A135" i="4" l="1"/>
  <c r="E134" i="4"/>
  <c r="J133" i="4"/>
  <c r="AH133" i="4"/>
  <c r="F133" i="4"/>
  <c r="H133" i="4"/>
  <c r="L133" i="4"/>
  <c r="N133" i="4"/>
  <c r="P133" i="4"/>
  <c r="R133" i="4"/>
  <c r="T133" i="4"/>
  <c r="V133" i="4"/>
  <c r="X133" i="4"/>
  <c r="Z133" i="4"/>
  <c r="AB133" i="4"/>
  <c r="AD133" i="4"/>
  <c r="AF133" i="4"/>
  <c r="C133" i="4"/>
  <c r="G133" i="4"/>
  <c r="K133" i="4"/>
  <c r="O133" i="4"/>
  <c r="S133" i="4"/>
  <c r="W133" i="4"/>
  <c r="AA133" i="4"/>
  <c r="AE133" i="4"/>
  <c r="I133" i="4"/>
  <c r="M133" i="4"/>
  <c r="Q133" i="4"/>
  <c r="U133" i="4"/>
  <c r="Y133" i="4"/>
  <c r="AC133" i="4"/>
  <c r="BS133" i="4"/>
  <c r="BP133" i="4"/>
  <c r="BI133" i="4"/>
  <c r="BL133" i="4"/>
  <c r="CE133" i="4"/>
  <c r="BT133" i="4"/>
  <c r="BR133" i="4"/>
  <c r="CC133" i="4"/>
  <c r="BZ133" i="4"/>
  <c r="CB133" i="4"/>
  <c r="BY133" i="4"/>
  <c r="BK133" i="4"/>
  <c r="CH133" i="4"/>
  <c r="CK133" i="4"/>
  <c r="BH133" i="4"/>
  <c r="CJ133" i="4"/>
  <c r="BW133" i="4"/>
  <c r="BN133" i="4"/>
  <c r="BO133" i="4"/>
  <c r="BX133" i="4"/>
  <c r="CI133" i="4"/>
  <c r="CG133" i="4"/>
  <c r="CF133" i="4"/>
  <c r="CA133" i="4"/>
  <c r="BG133" i="4"/>
  <c r="CD133" i="4"/>
  <c r="BQ133" i="4"/>
  <c r="BJ133" i="4"/>
  <c r="BU133" i="4"/>
  <c r="BM133" i="4"/>
  <c r="A136" i="4" l="1"/>
  <c r="E135" i="4"/>
  <c r="J134" i="4"/>
  <c r="AH134" i="4"/>
  <c r="C134" i="4"/>
  <c r="G134" i="4"/>
  <c r="I134" i="4"/>
  <c r="K134" i="4"/>
  <c r="M134" i="4"/>
  <c r="O134" i="4"/>
  <c r="Q134" i="4"/>
  <c r="S134" i="4"/>
  <c r="U134" i="4"/>
  <c r="W134" i="4"/>
  <c r="Y134" i="4"/>
  <c r="AA134" i="4"/>
  <c r="AC134" i="4"/>
  <c r="AE134" i="4"/>
  <c r="F134" i="4"/>
  <c r="H134" i="4"/>
  <c r="L134" i="4"/>
  <c r="N134" i="4"/>
  <c r="P134" i="4"/>
  <c r="R134" i="4"/>
  <c r="T134" i="4"/>
  <c r="V134" i="4"/>
  <c r="X134" i="4"/>
  <c r="Z134" i="4"/>
  <c r="AB134" i="4"/>
  <c r="AD134" i="4"/>
  <c r="AF134" i="4"/>
  <c r="BY134" i="4"/>
  <c r="BU134" i="4"/>
  <c r="BP134" i="4"/>
  <c r="CH134" i="4"/>
  <c r="BK134" i="4"/>
  <c r="CI134" i="4"/>
  <c r="BT134" i="4"/>
  <c r="CE134" i="4"/>
  <c r="BJ134" i="4"/>
  <c r="BR134" i="4"/>
  <c r="CC134" i="4"/>
  <c r="CG134" i="4"/>
  <c r="CK134" i="4"/>
  <c r="BX134" i="4"/>
  <c r="CJ134" i="4"/>
  <c r="BZ134" i="4"/>
  <c r="CA134" i="4"/>
  <c r="BO134" i="4"/>
  <c r="BL134" i="4"/>
  <c r="BG134" i="4"/>
  <c r="BS134" i="4"/>
  <c r="BW134" i="4"/>
  <c r="CF134" i="4"/>
  <c r="BN134" i="4"/>
  <c r="BI134" i="4"/>
  <c r="CD134" i="4"/>
  <c r="BQ134" i="4"/>
  <c r="BM134" i="4"/>
  <c r="CB134" i="4"/>
  <c r="BH134" i="4"/>
  <c r="A137" i="4" l="1"/>
  <c r="E136" i="4"/>
  <c r="J135" i="4"/>
  <c r="AH135" i="4"/>
  <c r="C135" i="4"/>
  <c r="G135" i="4"/>
  <c r="I135" i="4"/>
  <c r="K135" i="4"/>
  <c r="M135" i="4"/>
  <c r="O135" i="4"/>
  <c r="Q135" i="4"/>
  <c r="S135" i="4"/>
  <c r="U135" i="4"/>
  <c r="W135" i="4"/>
  <c r="Y135" i="4"/>
  <c r="AA135" i="4"/>
  <c r="AC135" i="4"/>
  <c r="AE135" i="4"/>
  <c r="F135" i="4"/>
  <c r="H135" i="4"/>
  <c r="L135" i="4"/>
  <c r="N135" i="4"/>
  <c r="P135" i="4"/>
  <c r="R135" i="4"/>
  <c r="T135" i="4"/>
  <c r="V135" i="4"/>
  <c r="X135" i="4"/>
  <c r="Z135" i="4"/>
  <c r="AB135" i="4"/>
  <c r="AD135" i="4"/>
  <c r="AF135" i="4"/>
  <c r="BP135" i="4"/>
  <c r="BX135" i="4"/>
  <c r="BW135" i="4"/>
  <c r="BJ135" i="4"/>
  <c r="CG135" i="4"/>
  <c r="CI135" i="4"/>
  <c r="BR135" i="4"/>
  <c r="BN135" i="4"/>
  <c r="BI135" i="4"/>
  <c r="BU135" i="4"/>
  <c r="CB135" i="4"/>
  <c r="BS135" i="4"/>
  <c r="CE135" i="4"/>
  <c r="BO135" i="4"/>
  <c r="CJ135" i="4"/>
  <c r="BH135" i="4"/>
  <c r="BK135" i="4"/>
  <c r="CH135" i="4"/>
  <c r="BT135" i="4"/>
  <c r="CA135" i="4"/>
  <c r="CF135" i="4"/>
  <c r="CD135" i="4"/>
  <c r="CK135" i="4"/>
  <c r="CC135" i="4"/>
  <c r="BG135" i="4"/>
  <c r="BM135" i="4"/>
  <c r="BY135" i="4"/>
  <c r="BL135" i="4"/>
  <c r="BQ135" i="4"/>
  <c r="BZ135" i="4"/>
  <c r="A138" i="4" l="1"/>
  <c r="E137" i="4"/>
  <c r="J136" i="4"/>
  <c r="AH136" i="4"/>
  <c r="C136" i="4"/>
  <c r="G136" i="4"/>
  <c r="I136" i="4"/>
  <c r="K136" i="4"/>
  <c r="M136" i="4"/>
  <c r="O136" i="4"/>
  <c r="Q136" i="4"/>
  <c r="S136" i="4"/>
  <c r="U136" i="4"/>
  <c r="W136" i="4"/>
  <c r="Y136" i="4"/>
  <c r="AA136" i="4"/>
  <c r="AC136" i="4"/>
  <c r="AE136" i="4"/>
  <c r="F136" i="4"/>
  <c r="H136" i="4"/>
  <c r="L136" i="4"/>
  <c r="N136" i="4"/>
  <c r="P136" i="4"/>
  <c r="R136" i="4"/>
  <c r="T136" i="4"/>
  <c r="V136" i="4"/>
  <c r="X136" i="4"/>
  <c r="Z136" i="4"/>
  <c r="AB136" i="4"/>
  <c r="AD136" i="4"/>
  <c r="AF136" i="4"/>
  <c r="BU136" i="4"/>
  <c r="CF136" i="4"/>
  <c r="BZ136" i="4"/>
  <c r="BN136" i="4"/>
  <c r="BP136" i="4"/>
  <c r="CA136" i="4"/>
  <c r="BR136" i="4"/>
  <c r="CJ136" i="4"/>
  <c r="BS136" i="4"/>
  <c r="BO136" i="4"/>
  <c r="CH136" i="4"/>
  <c r="BH136" i="4"/>
  <c r="BK136" i="4"/>
  <c r="CB136" i="4"/>
  <c r="BI136" i="4"/>
  <c r="CD136" i="4"/>
  <c r="CI136" i="4"/>
  <c r="BX136" i="4"/>
  <c r="BY136" i="4"/>
  <c r="CE136" i="4"/>
  <c r="CC136" i="4"/>
  <c r="BM136" i="4"/>
  <c r="BG136" i="4"/>
  <c r="BW136" i="4"/>
  <c r="BL136" i="4"/>
  <c r="BT136" i="4"/>
  <c r="CG136" i="4"/>
  <c r="BQ136" i="4"/>
  <c r="BJ136" i="4"/>
  <c r="CK136" i="4"/>
  <c r="A139" i="4" l="1"/>
  <c r="E138" i="4"/>
  <c r="J137" i="4"/>
  <c r="AH137" i="4"/>
  <c r="C137" i="4"/>
  <c r="G137" i="4"/>
  <c r="I137" i="4"/>
  <c r="K137" i="4"/>
  <c r="M137" i="4"/>
  <c r="O137" i="4"/>
  <c r="Q137" i="4"/>
  <c r="S137" i="4"/>
  <c r="U137" i="4"/>
  <c r="W137" i="4"/>
  <c r="Y137" i="4"/>
  <c r="AA137" i="4"/>
  <c r="AC137" i="4"/>
  <c r="AE137" i="4"/>
  <c r="F137" i="4"/>
  <c r="H137" i="4"/>
  <c r="L137" i="4"/>
  <c r="N137" i="4"/>
  <c r="P137" i="4"/>
  <c r="R137" i="4"/>
  <c r="T137" i="4"/>
  <c r="V137" i="4"/>
  <c r="X137" i="4"/>
  <c r="Z137" i="4"/>
  <c r="AB137" i="4"/>
  <c r="AD137" i="4"/>
  <c r="AF137" i="4"/>
  <c r="CF137" i="4"/>
  <c r="CD137" i="4"/>
  <c r="CK137" i="4"/>
  <c r="BU137" i="4"/>
  <c r="BG137" i="4"/>
  <c r="BY137" i="4"/>
  <c r="BX137" i="4"/>
  <c r="CI137" i="4"/>
  <c r="BS137" i="4"/>
  <c r="BN137" i="4"/>
  <c r="BK137" i="4"/>
  <c r="BW137" i="4"/>
  <c r="BI137" i="4"/>
  <c r="BP137" i="4"/>
  <c r="BR137" i="4"/>
  <c r="BH137" i="4"/>
  <c r="BM137" i="4"/>
  <c r="CH137" i="4"/>
  <c r="BT137" i="4"/>
  <c r="CG137" i="4"/>
  <c r="BL137" i="4"/>
  <c r="CB137" i="4"/>
  <c r="BJ137" i="4"/>
  <c r="CC137" i="4"/>
  <c r="CE137" i="4"/>
  <c r="CJ137" i="4"/>
  <c r="CA137" i="4"/>
  <c r="BQ137" i="4"/>
  <c r="BO137" i="4"/>
  <c r="BZ137" i="4"/>
  <c r="A140" i="4" l="1"/>
  <c r="E139" i="4"/>
  <c r="J138" i="4"/>
  <c r="AH138" i="4"/>
  <c r="C138" i="4"/>
  <c r="G138" i="4"/>
  <c r="I138" i="4"/>
  <c r="K138" i="4"/>
  <c r="M138" i="4"/>
  <c r="O138" i="4"/>
  <c r="Q138" i="4"/>
  <c r="S138" i="4"/>
  <c r="U138" i="4"/>
  <c r="W138" i="4"/>
  <c r="Y138" i="4"/>
  <c r="AA138" i="4"/>
  <c r="AC138" i="4"/>
  <c r="AE138" i="4"/>
  <c r="F138" i="4"/>
  <c r="H138" i="4"/>
  <c r="L138" i="4"/>
  <c r="N138" i="4"/>
  <c r="P138" i="4"/>
  <c r="R138" i="4"/>
  <c r="T138" i="4"/>
  <c r="V138" i="4"/>
  <c r="X138" i="4"/>
  <c r="Z138" i="4"/>
  <c r="AB138" i="4"/>
  <c r="AD138" i="4"/>
  <c r="AF138" i="4"/>
  <c r="CJ138" i="4"/>
  <c r="BM138" i="4"/>
  <c r="BT138" i="4"/>
  <c r="BH138" i="4"/>
  <c r="CE138" i="4"/>
  <c r="BZ138" i="4"/>
  <c r="CC138" i="4"/>
  <c r="BK138" i="4"/>
  <c r="BS138" i="4"/>
  <c r="CK138" i="4"/>
  <c r="BY138" i="4"/>
  <c r="CH138" i="4"/>
  <c r="BP138" i="4"/>
  <c r="CA138" i="4"/>
  <c r="BI138" i="4"/>
  <c r="BW138" i="4"/>
  <c r="BJ138" i="4"/>
  <c r="CG138" i="4"/>
  <c r="BG138" i="4"/>
  <c r="CB138" i="4"/>
  <c r="BR138" i="4"/>
  <c r="BX138" i="4"/>
  <c r="BN138" i="4"/>
  <c r="CI138" i="4"/>
  <c r="BQ138" i="4"/>
  <c r="CF138" i="4"/>
  <c r="BU138" i="4"/>
  <c r="BL138" i="4"/>
  <c r="BO138" i="4"/>
  <c r="CD138" i="4"/>
  <c r="A141" i="4" l="1"/>
  <c r="E140" i="4"/>
  <c r="J139" i="4"/>
  <c r="AH139" i="4"/>
  <c r="C139" i="4"/>
  <c r="G139" i="4"/>
  <c r="I139" i="4"/>
  <c r="K139" i="4"/>
  <c r="M139" i="4"/>
  <c r="O139" i="4"/>
  <c r="Q139" i="4"/>
  <c r="S139" i="4"/>
  <c r="U139" i="4"/>
  <c r="W139" i="4"/>
  <c r="Y139" i="4"/>
  <c r="AA139" i="4"/>
  <c r="AC139" i="4"/>
  <c r="AE139" i="4"/>
  <c r="F139" i="4"/>
  <c r="H139" i="4"/>
  <c r="L139" i="4"/>
  <c r="N139" i="4"/>
  <c r="P139" i="4"/>
  <c r="R139" i="4"/>
  <c r="T139" i="4"/>
  <c r="V139" i="4"/>
  <c r="X139" i="4"/>
  <c r="Z139" i="4"/>
  <c r="AB139" i="4"/>
  <c r="AD139" i="4"/>
  <c r="AF139" i="4"/>
  <c r="CJ139" i="4"/>
  <c r="BG139" i="4"/>
  <c r="BM139" i="4"/>
  <c r="CF139" i="4"/>
  <c r="BP139" i="4"/>
  <c r="BK139" i="4"/>
  <c r="BU139" i="4"/>
  <c r="CI139" i="4"/>
  <c r="CH139" i="4"/>
  <c r="CK139" i="4"/>
  <c r="BS139" i="4"/>
  <c r="BT139" i="4"/>
  <c r="BH139" i="4"/>
  <c r="BI139" i="4"/>
  <c r="CE139" i="4"/>
  <c r="CC139" i="4"/>
  <c r="BR139" i="4"/>
  <c r="BY139" i="4"/>
  <c r="BN139" i="4"/>
  <c r="CA139" i="4"/>
  <c r="BQ139" i="4"/>
  <c r="BL139" i="4"/>
  <c r="BX139" i="4"/>
  <c r="CG139" i="4"/>
  <c r="BO139" i="4"/>
  <c r="BW139" i="4"/>
  <c r="BJ139" i="4"/>
  <c r="BZ139" i="4"/>
  <c r="CD139" i="4"/>
  <c r="CB139" i="4"/>
  <c r="A142" i="4" l="1"/>
  <c r="E141" i="4"/>
  <c r="J140" i="4"/>
  <c r="AH140" i="4"/>
  <c r="C140" i="4"/>
  <c r="G140" i="4"/>
  <c r="I140" i="4"/>
  <c r="K140" i="4"/>
  <c r="M140" i="4"/>
  <c r="O140" i="4"/>
  <c r="Q140" i="4"/>
  <c r="S140" i="4"/>
  <c r="U140" i="4"/>
  <c r="W140" i="4"/>
  <c r="Y140" i="4"/>
  <c r="AA140" i="4"/>
  <c r="AC140" i="4"/>
  <c r="AE140" i="4"/>
  <c r="F140" i="4"/>
  <c r="H140" i="4"/>
  <c r="L140" i="4"/>
  <c r="N140" i="4"/>
  <c r="P140" i="4"/>
  <c r="R140" i="4"/>
  <c r="T140" i="4"/>
  <c r="V140" i="4"/>
  <c r="X140" i="4"/>
  <c r="Z140" i="4"/>
  <c r="AB140" i="4"/>
  <c r="AD140" i="4"/>
  <c r="AF140" i="4"/>
  <c r="BW140" i="4"/>
  <c r="BG140" i="4"/>
  <c r="BJ140" i="4"/>
  <c r="CC140" i="4"/>
  <c r="CE140" i="4"/>
  <c r="CA140" i="4"/>
  <c r="CH140" i="4"/>
  <c r="CK140" i="4"/>
  <c r="BQ140" i="4"/>
  <c r="BS140" i="4"/>
  <c r="CJ140" i="4"/>
  <c r="BO140" i="4"/>
  <c r="CD140" i="4"/>
  <c r="CB140" i="4"/>
  <c r="CG140" i="4"/>
  <c r="BH140" i="4"/>
  <c r="CF140" i="4"/>
  <c r="BN140" i="4"/>
  <c r="BK140" i="4"/>
  <c r="BU140" i="4"/>
  <c r="BL140" i="4"/>
  <c r="BM140" i="4"/>
  <c r="CI140" i="4"/>
  <c r="BX140" i="4"/>
  <c r="BZ140" i="4"/>
  <c r="BY140" i="4"/>
  <c r="BT140" i="4"/>
  <c r="BI140" i="4"/>
  <c r="BR140" i="4"/>
  <c r="BP140" i="4"/>
  <c r="A143" i="4" l="1"/>
  <c r="E142" i="4"/>
  <c r="J141" i="4"/>
  <c r="AH141" i="4"/>
  <c r="C141" i="4"/>
  <c r="G141" i="4"/>
  <c r="I141" i="4"/>
  <c r="K141" i="4"/>
  <c r="M141" i="4"/>
  <c r="O141" i="4"/>
  <c r="Q141" i="4"/>
  <c r="S141" i="4"/>
  <c r="U141" i="4"/>
  <c r="W141" i="4"/>
  <c r="Y141" i="4"/>
  <c r="AA141" i="4"/>
  <c r="AC141" i="4"/>
  <c r="AE141" i="4"/>
  <c r="F141" i="4"/>
  <c r="H141" i="4"/>
  <c r="L141" i="4"/>
  <c r="N141" i="4"/>
  <c r="P141" i="4"/>
  <c r="R141" i="4"/>
  <c r="T141" i="4"/>
  <c r="V141" i="4"/>
  <c r="X141" i="4"/>
  <c r="Z141" i="4"/>
  <c r="AB141" i="4"/>
  <c r="AD141" i="4"/>
  <c r="AF141" i="4"/>
  <c r="CD141" i="4"/>
  <c r="BK141" i="4"/>
  <c r="CE141" i="4"/>
  <c r="CF141" i="4"/>
  <c r="BW141" i="4"/>
  <c r="BJ141" i="4"/>
  <c r="BU141" i="4"/>
  <c r="CH141" i="4"/>
  <c r="CI141" i="4"/>
  <c r="BL141" i="4"/>
  <c r="BS141" i="4"/>
  <c r="CC141" i="4"/>
  <c r="BZ141" i="4"/>
  <c r="CB141" i="4"/>
  <c r="CJ141" i="4"/>
  <c r="BP141" i="4"/>
  <c r="BM141" i="4"/>
  <c r="BT141" i="4"/>
  <c r="BR141" i="4"/>
  <c r="BG141" i="4"/>
  <c r="BX141" i="4"/>
  <c r="BH141" i="4"/>
  <c r="BY141" i="4"/>
  <c r="CA141" i="4"/>
  <c r="BQ141" i="4"/>
  <c r="BO141" i="4"/>
  <c r="BI141" i="4"/>
  <c r="BN141" i="4"/>
  <c r="CG141" i="4"/>
  <c r="CK141" i="4"/>
  <c r="A144" i="4" l="1"/>
  <c r="E143" i="4"/>
  <c r="J142" i="4"/>
  <c r="AH142" i="4"/>
  <c r="C142" i="4"/>
  <c r="G142" i="4"/>
  <c r="I142" i="4"/>
  <c r="K142" i="4"/>
  <c r="M142" i="4"/>
  <c r="O142" i="4"/>
  <c r="Q142" i="4"/>
  <c r="S142" i="4"/>
  <c r="U142" i="4"/>
  <c r="W142" i="4"/>
  <c r="Y142" i="4"/>
  <c r="AA142" i="4"/>
  <c r="AC142" i="4"/>
  <c r="AE142" i="4"/>
  <c r="F142" i="4"/>
  <c r="H142" i="4"/>
  <c r="L142" i="4"/>
  <c r="N142" i="4"/>
  <c r="P142" i="4"/>
  <c r="R142" i="4"/>
  <c r="T142" i="4"/>
  <c r="V142" i="4"/>
  <c r="X142" i="4"/>
  <c r="Z142" i="4"/>
  <c r="AB142" i="4"/>
  <c r="AD142" i="4"/>
  <c r="AF142" i="4"/>
  <c r="CK142" i="4"/>
  <c r="CJ142" i="4"/>
  <c r="BS142" i="4"/>
  <c r="BT142" i="4"/>
  <c r="BI142" i="4"/>
  <c r="CF142" i="4"/>
  <c r="BP142" i="4"/>
  <c r="BR142" i="4"/>
  <c r="CD142" i="4"/>
  <c r="CC142" i="4"/>
  <c r="CG142" i="4"/>
  <c r="CA142" i="4"/>
  <c r="BH142" i="4"/>
  <c r="BM142" i="4"/>
  <c r="BY142" i="4"/>
  <c r="BL142" i="4"/>
  <c r="BJ142" i="4"/>
  <c r="CH142" i="4"/>
  <c r="BX142" i="4"/>
  <c r="BK142" i="4"/>
  <c r="BG142" i="4"/>
  <c r="BW142" i="4"/>
  <c r="BQ142" i="4"/>
  <c r="CE142" i="4"/>
  <c r="BO142" i="4"/>
  <c r="BU142" i="4"/>
  <c r="CI142" i="4"/>
  <c r="BN142" i="4"/>
  <c r="BZ142" i="4"/>
  <c r="CB142" i="4"/>
  <c r="A145" i="4" l="1"/>
  <c r="E144" i="4"/>
  <c r="J143" i="4"/>
  <c r="AH143" i="4"/>
  <c r="C143" i="4"/>
  <c r="G143" i="4"/>
  <c r="I143" i="4"/>
  <c r="K143" i="4"/>
  <c r="M143" i="4"/>
  <c r="O143" i="4"/>
  <c r="Q143" i="4"/>
  <c r="S143" i="4"/>
  <c r="U143" i="4"/>
  <c r="W143" i="4"/>
  <c r="Y143" i="4"/>
  <c r="AA143" i="4"/>
  <c r="AC143" i="4"/>
  <c r="AE143" i="4"/>
  <c r="F143" i="4"/>
  <c r="H143" i="4"/>
  <c r="L143" i="4"/>
  <c r="N143" i="4"/>
  <c r="P143" i="4"/>
  <c r="R143" i="4"/>
  <c r="T143" i="4"/>
  <c r="V143" i="4"/>
  <c r="X143" i="4"/>
  <c r="Z143" i="4"/>
  <c r="AB143" i="4"/>
  <c r="AD143" i="4"/>
  <c r="AF143" i="4"/>
  <c r="BU143" i="4"/>
  <c r="BI143" i="4"/>
  <c r="BL143" i="4"/>
  <c r="CB143" i="4"/>
  <c r="CF143" i="4"/>
  <c r="BR143" i="4"/>
  <c r="BW143" i="4"/>
  <c r="BP143" i="4"/>
  <c r="CJ143" i="4"/>
  <c r="BG143" i="4"/>
  <c r="CG143" i="4"/>
  <c r="CD143" i="4"/>
  <c r="BM143" i="4"/>
  <c r="BJ143" i="4"/>
  <c r="CE143" i="4"/>
  <c r="BZ143" i="4"/>
  <c r="BK143" i="4"/>
  <c r="CI143" i="4"/>
  <c r="CH143" i="4"/>
  <c r="CA143" i="4"/>
  <c r="BS143" i="4"/>
  <c r="BY143" i="4"/>
  <c r="BH143" i="4"/>
  <c r="BT143" i="4"/>
  <c r="CK143" i="4"/>
  <c r="BN143" i="4"/>
  <c r="BX143" i="4"/>
  <c r="CC143" i="4"/>
  <c r="BQ143" i="4"/>
  <c r="BO143" i="4"/>
  <c r="A146" i="4" l="1"/>
  <c r="E145" i="4"/>
  <c r="J144" i="4"/>
  <c r="AH144" i="4"/>
  <c r="C144" i="4"/>
  <c r="G144" i="4"/>
  <c r="I144" i="4"/>
  <c r="K144" i="4"/>
  <c r="M144" i="4"/>
  <c r="O144" i="4"/>
  <c r="Q144" i="4"/>
  <c r="S144" i="4"/>
  <c r="U144" i="4"/>
  <c r="W144" i="4"/>
  <c r="Y144" i="4"/>
  <c r="AA144" i="4"/>
  <c r="AC144" i="4"/>
  <c r="AE144" i="4"/>
  <c r="F144" i="4"/>
  <c r="H144" i="4"/>
  <c r="L144" i="4"/>
  <c r="N144" i="4"/>
  <c r="P144" i="4"/>
  <c r="R144" i="4"/>
  <c r="T144" i="4"/>
  <c r="V144" i="4"/>
  <c r="X144" i="4"/>
  <c r="Z144" i="4"/>
  <c r="AB144" i="4"/>
  <c r="AD144" i="4"/>
  <c r="AF144" i="4"/>
  <c r="BH144" i="4"/>
  <c r="BP144" i="4"/>
  <c r="BY144" i="4"/>
  <c r="BN144" i="4"/>
  <c r="CA144" i="4"/>
  <c r="BJ144" i="4"/>
  <c r="CC144" i="4"/>
  <c r="CE144" i="4"/>
  <c r="BO144" i="4"/>
  <c r="CH144" i="4"/>
  <c r="BI144" i="4"/>
  <c r="BT144" i="4"/>
  <c r="BR144" i="4"/>
  <c r="CK144" i="4"/>
  <c r="CI144" i="4"/>
  <c r="BW144" i="4"/>
  <c r="BM144" i="4"/>
  <c r="BX144" i="4"/>
  <c r="CF144" i="4"/>
  <c r="BK144" i="4"/>
  <c r="BZ144" i="4"/>
  <c r="BQ144" i="4"/>
  <c r="BU144" i="4"/>
  <c r="BS144" i="4"/>
  <c r="CB144" i="4"/>
  <c r="CG144" i="4"/>
  <c r="BG144" i="4"/>
  <c r="BL144" i="4"/>
  <c r="CD144" i="4"/>
  <c r="CJ144" i="4"/>
  <c r="A147" i="4" l="1"/>
  <c r="E146" i="4"/>
  <c r="J145" i="4"/>
  <c r="AH145" i="4"/>
  <c r="C145" i="4"/>
  <c r="G145" i="4"/>
  <c r="I145" i="4"/>
  <c r="K145" i="4"/>
  <c r="M145" i="4"/>
  <c r="O145" i="4"/>
  <c r="Q145" i="4"/>
  <c r="S145" i="4"/>
  <c r="U145" i="4"/>
  <c r="W145" i="4"/>
  <c r="Y145" i="4"/>
  <c r="AA145" i="4"/>
  <c r="AC145" i="4"/>
  <c r="AE145" i="4"/>
  <c r="F145" i="4"/>
  <c r="H145" i="4"/>
  <c r="L145" i="4"/>
  <c r="N145" i="4"/>
  <c r="P145" i="4"/>
  <c r="R145" i="4"/>
  <c r="T145" i="4"/>
  <c r="V145" i="4"/>
  <c r="X145" i="4"/>
  <c r="Z145" i="4"/>
  <c r="AB145" i="4"/>
  <c r="AD145" i="4"/>
  <c r="AF145" i="4"/>
  <c r="CK145" i="4"/>
  <c r="BI145" i="4"/>
  <c r="CF145" i="4"/>
  <c r="BH145" i="4"/>
  <c r="BX145" i="4"/>
  <c r="CC145" i="4"/>
  <c r="BO145" i="4"/>
  <c r="BK145" i="4"/>
  <c r="BN145" i="4"/>
  <c r="BS145" i="4"/>
  <c r="BT145" i="4"/>
  <c r="BP145" i="4"/>
  <c r="BL145" i="4"/>
  <c r="BY145" i="4"/>
  <c r="CI145" i="4"/>
  <c r="CG145" i="4"/>
  <c r="BG145" i="4"/>
  <c r="BQ145" i="4"/>
  <c r="CD145" i="4"/>
  <c r="CE145" i="4"/>
  <c r="CA145" i="4"/>
  <c r="CJ145" i="4"/>
  <c r="BU145" i="4"/>
  <c r="BR145" i="4"/>
  <c r="BZ145" i="4"/>
  <c r="BJ145" i="4"/>
  <c r="CH145" i="4"/>
  <c r="BW145" i="4"/>
  <c r="BM145" i="4"/>
  <c r="CB145" i="4"/>
  <c r="A148" i="4" l="1"/>
  <c r="E147" i="4"/>
  <c r="J146" i="4"/>
  <c r="AH146" i="4"/>
  <c r="C146" i="4"/>
  <c r="G146" i="4"/>
  <c r="I146" i="4"/>
  <c r="K146" i="4"/>
  <c r="M146" i="4"/>
  <c r="O146" i="4"/>
  <c r="Q146" i="4"/>
  <c r="S146" i="4"/>
  <c r="U146" i="4"/>
  <c r="W146" i="4"/>
  <c r="Y146" i="4"/>
  <c r="AA146" i="4"/>
  <c r="AC146" i="4"/>
  <c r="AE146" i="4"/>
  <c r="F146" i="4"/>
  <c r="H146" i="4"/>
  <c r="L146" i="4"/>
  <c r="N146" i="4"/>
  <c r="P146" i="4"/>
  <c r="R146" i="4"/>
  <c r="T146" i="4"/>
  <c r="V146" i="4"/>
  <c r="X146" i="4"/>
  <c r="Z146" i="4"/>
  <c r="AB146" i="4"/>
  <c r="AD146" i="4"/>
  <c r="AF146" i="4"/>
  <c r="BT146" i="4"/>
  <c r="CB146" i="4"/>
  <c r="CD146" i="4"/>
  <c r="BJ146" i="4"/>
  <c r="BL146" i="4"/>
  <c r="BX146" i="4"/>
  <c r="CJ146" i="4"/>
  <c r="BI146" i="4"/>
  <c r="BG146" i="4"/>
  <c r="BN146" i="4"/>
  <c r="BS146" i="4"/>
  <c r="BZ146" i="4"/>
  <c r="CI146" i="4"/>
  <c r="BQ146" i="4"/>
  <c r="BO146" i="4"/>
  <c r="BK146" i="4"/>
  <c r="BM146" i="4"/>
  <c r="CE146" i="4"/>
  <c r="CG146" i="4"/>
  <c r="CH146" i="4"/>
  <c r="CF146" i="4"/>
  <c r="CK146" i="4"/>
  <c r="BY146" i="4"/>
  <c r="BP146" i="4"/>
  <c r="BW146" i="4"/>
  <c r="CC146" i="4"/>
  <c r="CA146" i="4"/>
  <c r="BR146" i="4"/>
  <c r="BU146" i="4"/>
  <c r="BH146" i="4"/>
  <c r="A149" i="4" l="1"/>
  <c r="E148" i="4"/>
  <c r="J147" i="4"/>
  <c r="AH147" i="4"/>
  <c r="C147" i="4"/>
  <c r="G147" i="4"/>
  <c r="I147" i="4"/>
  <c r="K147" i="4"/>
  <c r="M147" i="4"/>
  <c r="O147" i="4"/>
  <c r="Q147" i="4"/>
  <c r="S147" i="4"/>
  <c r="U147" i="4"/>
  <c r="W147" i="4"/>
  <c r="Y147" i="4"/>
  <c r="AA147" i="4"/>
  <c r="AC147" i="4"/>
  <c r="AE147" i="4"/>
  <c r="F147" i="4"/>
  <c r="H147" i="4"/>
  <c r="L147" i="4"/>
  <c r="N147" i="4"/>
  <c r="P147" i="4"/>
  <c r="R147" i="4"/>
  <c r="T147" i="4"/>
  <c r="V147" i="4"/>
  <c r="X147" i="4"/>
  <c r="AB147" i="4"/>
  <c r="AF147" i="4"/>
  <c r="Z147" i="4"/>
  <c r="AD147" i="4"/>
  <c r="BG147" i="4"/>
  <c r="BS147" i="4"/>
  <c r="CG147" i="4"/>
  <c r="CH147" i="4"/>
  <c r="BH147" i="4"/>
  <c r="BK147" i="4"/>
  <c r="CI147" i="4"/>
  <c r="BI147" i="4"/>
  <c r="CF147" i="4"/>
  <c r="BT147" i="4"/>
  <c r="BL147" i="4"/>
  <c r="BX147" i="4"/>
  <c r="BN147" i="4"/>
  <c r="CB147" i="4"/>
  <c r="BO147" i="4"/>
  <c r="BR147" i="4"/>
  <c r="BZ147" i="4"/>
  <c r="CJ147" i="4"/>
  <c r="CE147" i="4"/>
  <c r="CD147" i="4"/>
  <c r="CC147" i="4"/>
  <c r="BU147" i="4"/>
  <c r="CK147" i="4"/>
  <c r="BP147" i="4"/>
  <c r="BJ147" i="4"/>
  <c r="BW147" i="4"/>
  <c r="BQ147" i="4"/>
  <c r="BY147" i="4"/>
  <c r="BM147" i="4"/>
  <c r="CA147" i="4"/>
  <c r="A150" i="4" l="1"/>
  <c r="E149" i="4"/>
  <c r="J148" i="4"/>
  <c r="AH148" i="4"/>
  <c r="C148" i="4"/>
  <c r="G148" i="4"/>
  <c r="I148" i="4"/>
  <c r="K148" i="4"/>
  <c r="M148" i="4"/>
  <c r="O148" i="4"/>
  <c r="Q148" i="4"/>
  <c r="S148" i="4"/>
  <c r="U148" i="4"/>
  <c r="W148" i="4"/>
  <c r="Y148" i="4"/>
  <c r="AA148" i="4"/>
  <c r="AC148" i="4"/>
  <c r="AE148" i="4"/>
  <c r="H148" i="4"/>
  <c r="L148" i="4"/>
  <c r="P148" i="4"/>
  <c r="T148" i="4"/>
  <c r="X148" i="4"/>
  <c r="AB148" i="4"/>
  <c r="AF148" i="4"/>
  <c r="F148" i="4"/>
  <c r="N148" i="4"/>
  <c r="R148" i="4"/>
  <c r="V148" i="4"/>
  <c r="Z148" i="4"/>
  <c r="AD148" i="4"/>
  <c r="CC148" i="4"/>
  <c r="BT148" i="4"/>
  <c r="CJ148" i="4"/>
  <c r="BM148" i="4"/>
  <c r="BZ148" i="4"/>
  <c r="BY148" i="4"/>
  <c r="CG148" i="4"/>
  <c r="BQ148" i="4"/>
  <c r="CB148" i="4"/>
  <c r="BX148" i="4"/>
  <c r="CE148" i="4"/>
  <c r="BN148" i="4"/>
  <c r="CK148" i="4"/>
  <c r="CH148" i="4"/>
  <c r="BI148" i="4"/>
  <c r="BU148" i="4"/>
  <c r="BH148" i="4"/>
  <c r="BJ148" i="4"/>
  <c r="BK148" i="4"/>
  <c r="CA148" i="4"/>
  <c r="CF148" i="4"/>
  <c r="BR148" i="4"/>
  <c r="BL148" i="4"/>
  <c r="BG148" i="4"/>
  <c r="BW148" i="4"/>
  <c r="CD148" i="4"/>
  <c r="BS148" i="4"/>
  <c r="BP148" i="4"/>
  <c r="CI148" i="4"/>
  <c r="BO148" i="4"/>
  <c r="A151" i="4" l="1"/>
  <c r="E150" i="4"/>
  <c r="J149" i="4"/>
  <c r="AH149" i="4"/>
  <c r="C149" i="4"/>
  <c r="G149" i="4"/>
  <c r="I149" i="4"/>
  <c r="K149" i="4"/>
  <c r="M149" i="4"/>
  <c r="O149" i="4"/>
  <c r="Q149" i="4"/>
  <c r="S149" i="4"/>
  <c r="U149" i="4"/>
  <c r="W149" i="4"/>
  <c r="Y149" i="4"/>
  <c r="AA149" i="4"/>
  <c r="AC149" i="4"/>
  <c r="AE149" i="4"/>
  <c r="H149" i="4"/>
  <c r="L149" i="4"/>
  <c r="P149" i="4"/>
  <c r="T149" i="4"/>
  <c r="X149" i="4"/>
  <c r="AB149" i="4"/>
  <c r="AF149" i="4"/>
  <c r="F149" i="4"/>
  <c r="N149" i="4"/>
  <c r="R149" i="4"/>
  <c r="V149" i="4"/>
  <c r="Z149" i="4"/>
  <c r="AD149" i="4"/>
  <c r="BN149" i="4"/>
  <c r="BG149" i="4"/>
  <c r="BY149" i="4"/>
  <c r="CE149" i="4"/>
  <c r="CJ149" i="4"/>
  <c r="BU149" i="4"/>
  <c r="BI149" i="4"/>
  <c r="CG149" i="4"/>
  <c r="BT149" i="4"/>
  <c r="CC149" i="4"/>
  <c r="BZ149" i="4"/>
  <c r="CK149" i="4"/>
  <c r="CB149" i="4"/>
  <c r="CI149" i="4"/>
  <c r="BP149" i="4"/>
  <c r="BS149" i="4"/>
  <c r="BK149" i="4"/>
  <c r="BR149" i="4"/>
  <c r="BQ149" i="4"/>
  <c r="CD149" i="4"/>
  <c r="BM149" i="4"/>
  <c r="BL149" i="4"/>
  <c r="BO149" i="4"/>
  <c r="CA149" i="4"/>
  <c r="BX149" i="4"/>
  <c r="CH149" i="4"/>
  <c r="BJ149" i="4"/>
  <c r="BW149" i="4"/>
  <c r="BH149" i="4"/>
  <c r="CF149" i="4"/>
  <c r="A152" i="4" l="1"/>
  <c r="E151" i="4"/>
  <c r="J150" i="4"/>
  <c r="AH150" i="4"/>
  <c r="C150" i="4"/>
  <c r="G150" i="4"/>
  <c r="I150" i="4"/>
  <c r="K150" i="4"/>
  <c r="M150" i="4"/>
  <c r="O150" i="4"/>
  <c r="Q150" i="4"/>
  <c r="S150" i="4"/>
  <c r="U150" i="4"/>
  <c r="W150" i="4"/>
  <c r="Y150" i="4"/>
  <c r="AA150" i="4"/>
  <c r="AC150" i="4"/>
  <c r="AE150" i="4"/>
  <c r="F150" i="4"/>
  <c r="H150" i="4"/>
  <c r="L150" i="4"/>
  <c r="N150" i="4"/>
  <c r="P150" i="4"/>
  <c r="R150" i="4"/>
  <c r="T150" i="4"/>
  <c r="V150" i="4"/>
  <c r="X150" i="4"/>
  <c r="Z150" i="4"/>
  <c r="AB150" i="4"/>
  <c r="AD150" i="4"/>
  <c r="AF150" i="4"/>
  <c r="CG150" i="4"/>
  <c r="CD150" i="4"/>
  <c r="BN150" i="4"/>
  <c r="CA150" i="4"/>
  <c r="BX150" i="4"/>
  <c r="BZ150" i="4"/>
  <c r="BR150" i="4"/>
  <c r="BT150" i="4"/>
  <c r="CI150" i="4"/>
  <c r="CJ150" i="4"/>
  <c r="BO150" i="4"/>
  <c r="BL150" i="4"/>
  <c r="BQ150" i="4"/>
  <c r="BI150" i="4"/>
  <c r="CE150" i="4"/>
  <c r="BP150" i="4"/>
  <c r="CF150" i="4"/>
  <c r="BU150" i="4"/>
  <c r="BM150" i="4"/>
  <c r="BG150" i="4"/>
  <c r="CH150" i="4"/>
  <c r="BS150" i="4"/>
  <c r="CK150" i="4"/>
  <c r="BH150" i="4"/>
  <c r="BJ150" i="4"/>
  <c r="CB150" i="4"/>
  <c r="CC150" i="4"/>
  <c r="BY150" i="4"/>
  <c r="BW150" i="4"/>
  <c r="BK150" i="4"/>
  <c r="A153" i="4" l="1"/>
  <c r="E152" i="4"/>
  <c r="J151" i="4"/>
  <c r="AH151" i="4"/>
  <c r="C151" i="4"/>
  <c r="G151" i="4"/>
  <c r="I151" i="4"/>
  <c r="K151" i="4"/>
  <c r="M151" i="4"/>
  <c r="O151" i="4"/>
  <c r="Q151" i="4"/>
  <c r="S151" i="4"/>
  <c r="U151" i="4"/>
  <c r="W151" i="4"/>
  <c r="Y151" i="4"/>
  <c r="AA151" i="4"/>
  <c r="AC151" i="4"/>
  <c r="AE151" i="4"/>
  <c r="F151" i="4"/>
  <c r="H151" i="4"/>
  <c r="L151" i="4"/>
  <c r="N151" i="4"/>
  <c r="P151" i="4"/>
  <c r="R151" i="4"/>
  <c r="T151" i="4"/>
  <c r="V151" i="4"/>
  <c r="X151" i="4"/>
  <c r="Z151" i="4"/>
  <c r="AB151" i="4"/>
  <c r="AD151" i="4"/>
  <c r="AF151" i="4"/>
  <c r="CE151" i="4"/>
  <c r="CH151" i="4"/>
  <c r="BH151" i="4"/>
  <c r="BY151" i="4"/>
  <c r="CI151" i="4"/>
  <c r="BR151" i="4"/>
  <c r="BO151" i="4"/>
  <c r="BL151" i="4"/>
  <c r="CA151" i="4"/>
  <c r="CB151" i="4"/>
  <c r="BG151" i="4"/>
  <c r="CC151" i="4"/>
  <c r="BS151" i="4"/>
  <c r="CD151" i="4"/>
  <c r="BN151" i="4"/>
  <c r="CF151" i="4"/>
  <c r="BT151" i="4"/>
  <c r="BP151" i="4"/>
  <c r="BK151" i="4"/>
  <c r="BI151" i="4"/>
  <c r="BQ151" i="4"/>
  <c r="BU151" i="4"/>
  <c r="BJ151" i="4"/>
  <c r="CG151" i="4"/>
  <c r="CK151" i="4"/>
  <c r="CJ151" i="4"/>
  <c r="BZ151" i="4"/>
  <c r="BM151" i="4"/>
  <c r="BX151" i="4"/>
  <c r="BW151" i="4"/>
  <c r="A154" i="4" l="1"/>
  <c r="E153" i="4"/>
  <c r="J152" i="4"/>
  <c r="AH152" i="4"/>
  <c r="C152" i="4"/>
  <c r="G152" i="4"/>
  <c r="I152" i="4"/>
  <c r="K152" i="4"/>
  <c r="M152" i="4"/>
  <c r="O152" i="4"/>
  <c r="Q152" i="4"/>
  <c r="S152" i="4"/>
  <c r="U152" i="4"/>
  <c r="W152" i="4"/>
  <c r="Y152" i="4"/>
  <c r="AA152" i="4"/>
  <c r="AC152" i="4"/>
  <c r="AE152" i="4"/>
  <c r="F152" i="4"/>
  <c r="H152" i="4"/>
  <c r="L152" i="4"/>
  <c r="N152" i="4"/>
  <c r="P152" i="4"/>
  <c r="R152" i="4"/>
  <c r="T152" i="4"/>
  <c r="V152" i="4"/>
  <c r="X152" i="4"/>
  <c r="Z152" i="4"/>
  <c r="AB152" i="4"/>
  <c r="AD152" i="4"/>
  <c r="AF152" i="4"/>
  <c r="BP152" i="4"/>
  <c r="BY152" i="4"/>
  <c r="BX152" i="4"/>
  <c r="CF152" i="4"/>
  <c r="BS152" i="4"/>
  <c r="CD152" i="4"/>
  <c r="BR152" i="4"/>
  <c r="BH152" i="4"/>
  <c r="CK152" i="4"/>
  <c r="CC152" i="4"/>
  <c r="CJ152" i="4"/>
  <c r="CG152" i="4"/>
  <c r="BN152" i="4"/>
  <c r="CA152" i="4"/>
  <c r="BO152" i="4"/>
  <c r="BM152" i="4"/>
  <c r="BL152" i="4"/>
  <c r="BK152" i="4"/>
  <c r="BW152" i="4"/>
  <c r="BI152" i="4"/>
  <c r="CH152" i="4"/>
  <c r="BZ152" i="4"/>
  <c r="BU152" i="4"/>
  <c r="CE152" i="4"/>
  <c r="BJ152" i="4"/>
  <c r="CB152" i="4"/>
  <c r="BG152" i="4"/>
  <c r="CI152" i="4"/>
  <c r="BQ152" i="4"/>
  <c r="BT152" i="4"/>
  <c r="A155" i="4" l="1"/>
  <c r="E154" i="4"/>
  <c r="J153" i="4"/>
  <c r="AH153" i="4"/>
  <c r="C153" i="4"/>
  <c r="G153" i="4"/>
  <c r="I153" i="4"/>
  <c r="K153" i="4"/>
  <c r="M153" i="4"/>
  <c r="O153" i="4"/>
  <c r="Q153" i="4"/>
  <c r="S153" i="4"/>
  <c r="U153" i="4"/>
  <c r="W153" i="4"/>
  <c r="Y153" i="4"/>
  <c r="AA153" i="4"/>
  <c r="AC153" i="4"/>
  <c r="AE153" i="4"/>
  <c r="F153" i="4"/>
  <c r="H153" i="4"/>
  <c r="L153" i="4"/>
  <c r="N153" i="4"/>
  <c r="P153" i="4"/>
  <c r="R153" i="4"/>
  <c r="T153" i="4"/>
  <c r="V153" i="4"/>
  <c r="X153" i="4"/>
  <c r="Z153" i="4"/>
  <c r="AB153" i="4"/>
  <c r="AD153" i="4"/>
  <c r="AF153" i="4"/>
  <c r="BH153" i="4"/>
  <c r="BY153" i="4"/>
  <c r="BK153" i="4"/>
  <c r="CG153" i="4"/>
  <c r="CH153" i="4"/>
  <c r="BI153" i="4"/>
  <c r="CA153" i="4"/>
  <c r="CC153" i="4"/>
  <c r="CE153" i="4"/>
  <c r="CF153" i="4"/>
  <c r="BP153" i="4"/>
  <c r="BM153" i="4"/>
  <c r="BX153" i="4"/>
  <c r="BS153" i="4"/>
  <c r="CJ153" i="4"/>
  <c r="BQ153" i="4"/>
  <c r="BL153" i="4"/>
  <c r="BJ153" i="4"/>
  <c r="CK153" i="4"/>
  <c r="CD153" i="4"/>
  <c r="BO153" i="4"/>
  <c r="BZ153" i="4"/>
  <c r="CI153" i="4"/>
  <c r="BT153" i="4"/>
  <c r="BU153" i="4"/>
  <c r="BN153" i="4"/>
  <c r="BR153" i="4"/>
  <c r="CB153" i="4"/>
  <c r="BG153" i="4"/>
  <c r="BW153" i="4"/>
  <c r="A156" i="4" l="1"/>
  <c r="E155" i="4"/>
  <c r="J154" i="4"/>
  <c r="AH154" i="4"/>
  <c r="C154" i="4"/>
  <c r="G154" i="4"/>
  <c r="I154" i="4"/>
  <c r="K154" i="4"/>
  <c r="M154" i="4"/>
  <c r="O154" i="4"/>
  <c r="Q154" i="4"/>
  <c r="S154" i="4"/>
  <c r="U154" i="4"/>
  <c r="W154" i="4"/>
  <c r="Y154" i="4"/>
  <c r="AA154" i="4"/>
  <c r="AC154" i="4"/>
  <c r="AE154" i="4"/>
  <c r="F154" i="4"/>
  <c r="H154" i="4"/>
  <c r="L154" i="4"/>
  <c r="N154" i="4"/>
  <c r="P154" i="4"/>
  <c r="R154" i="4"/>
  <c r="T154" i="4"/>
  <c r="V154" i="4"/>
  <c r="X154" i="4"/>
  <c r="Z154" i="4"/>
  <c r="AB154" i="4"/>
  <c r="AD154" i="4"/>
  <c r="AF154" i="4"/>
  <c r="BJ154" i="4"/>
  <c r="CJ154" i="4"/>
  <c r="CK154" i="4"/>
  <c r="BH154" i="4"/>
  <c r="BP154" i="4"/>
  <c r="CF154" i="4"/>
  <c r="CE154" i="4"/>
  <c r="BI154" i="4"/>
  <c r="BG154" i="4"/>
  <c r="BQ154" i="4"/>
  <c r="CG154" i="4"/>
  <c r="BY154" i="4"/>
  <c r="CD154" i="4"/>
  <c r="BM154" i="4"/>
  <c r="BU154" i="4"/>
  <c r="BS154" i="4"/>
  <c r="BK154" i="4"/>
  <c r="BO154" i="4"/>
  <c r="CH154" i="4"/>
  <c r="BL154" i="4"/>
  <c r="CI154" i="4"/>
  <c r="BR154" i="4"/>
  <c r="BN154" i="4"/>
  <c r="BX154" i="4"/>
  <c r="CA154" i="4"/>
  <c r="BW154" i="4"/>
  <c r="CC154" i="4"/>
  <c r="BT154" i="4"/>
  <c r="BZ154" i="4"/>
  <c r="CB154" i="4"/>
  <c r="A157" i="4" l="1"/>
  <c r="E156" i="4"/>
  <c r="J155" i="4"/>
  <c r="AH155" i="4"/>
  <c r="C155" i="4"/>
  <c r="G155" i="4"/>
  <c r="I155" i="4"/>
  <c r="K155" i="4"/>
  <c r="M155" i="4"/>
  <c r="O155" i="4"/>
  <c r="Q155" i="4"/>
  <c r="S155" i="4"/>
  <c r="U155" i="4"/>
  <c r="W155" i="4"/>
  <c r="Y155" i="4"/>
  <c r="AA155" i="4"/>
  <c r="AC155" i="4"/>
  <c r="AE155" i="4"/>
  <c r="F155" i="4"/>
  <c r="H155" i="4"/>
  <c r="L155" i="4"/>
  <c r="N155" i="4"/>
  <c r="P155" i="4"/>
  <c r="R155" i="4"/>
  <c r="T155" i="4"/>
  <c r="V155" i="4"/>
  <c r="X155" i="4"/>
  <c r="Z155" i="4"/>
  <c r="AB155" i="4"/>
  <c r="AD155" i="4"/>
  <c r="AF155" i="4"/>
  <c r="BW155" i="4"/>
  <c r="CK155" i="4"/>
  <c r="BX155" i="4"/>
  <c r="BP155" i="4"/>
  <c r="CJ155" i="4"/>
  <c r="BR155" i="4"/>
  <c r="BK155" i="4"/>
  <c r="BS155" i="4"/>
  <c r="BL155" i="4"/>
  <c r="CH155" i="4"/>
  <c r="BJ155" i="4"/>
  <c r="BI155" i="4"/>
  <c r="CB155" i="4"/>
  <c r="BG155" i="4"/>
  <c r="CG155" i="4"/>
  <c r="CD155" i="4"/>
  <c r="CF155" i="4"/>
  <c r="BU155" i="4"/>
  <c r="BO155" i="4"/>
  <c r="BQ155" i="4"/>
  <c r="CA155" i="4"/>
  <c r="CE155" i="4"/>
  <c r="BN155" i="4"/>
  <c r="BZ155" i="4"/>
  <c r="BM155" i="4"/>
  <c r="CI155" i="4"/>
  <c r="BH155" i="4"/>
  <c r="BY155" i="4"/>
  <c r="BT155" i="4"/>
  <c r="CC155" i="4"/>
  <c r="A158" i="4" l="1"/>
  <c r="E157" i="4"/>
  <c r="J156" i="4"/>
  <c r="AH156" i="4"/>
  <c r="C156" i="4"/>
  <c r="G156" i="4"/>
  <c r="I156" i="4"/>
  <c r="K156" i="4"/>
  <c r="M156" i="4"/>
  <c r="O156" i="4"/>
  <c r="Q156" i="4"/>
  <c r="S156" i="4"/>
  <c r="U156" i="4"/>
  <c r="W156" i="4"/>
  <c r="Y156" i="4"/>
  <c r="AA156" i="4"/>
  <c r="AC156" i="4"/>
  <c r="AE156" i="4"/>
  <c r="F156" i="4"/>
  <c r="H156" i="4"/>
  <c r="L156" i="4"/>
  <c r="N156" i="4"/>
  <c r="P156" i="4"/>
  <c r="R156" i="4"/>
  <c r="T156" i="4"/>
  <c r="V156" i="4"/>
  <c r="X156" i="4"/>
  <c r="Z156" i="4"/>
  <c r="AB156" i="4"/>
  <c r="AD156" i="4"/>
  <c r="AF156" i="4"/>
  <c r="BS156" i="4"/>
  <c r="BH156" i="4"/>
  <c r="BM156" i="4"/>
  <c r="CB156" i="4"/>
  <c r="BT156" i="4"/>
  <c r="CJ156" i="4"/>
  <c r="BW156" i="4"/>
  <c r="BL156" i="4"/>
  <c r="BG156" i="4"/>
  <c r="BO156" i="4"/>
  <c r="BU156" i="4"/>
  <c r="CC156" i="4"/>
  <c r="CK156" i="4"/>
  <c r="BN156" i="4"/>
  <c r="CF156" i="4"/>
  <c r="CH156" i="4"/>
  <c r="BP156" i="4"/>
  <c r="CD156" i="4"/>
  <c r="BQ156" i="4"/>
  <c r="BR156" i="4"/>
  <c r="BX156" i="4"/>
  <c r="BZ156" i="4"/>
  <c r="BK156" i="4"/>
  <c r="BY156" i="4"/>
  <c r="CI156" i="4"/>
  <c r="CA156" i="4"/>
  <c r="BJ156" i="4"/>
  <c r="CE156" i="4"/>
  <c r="BI156" i="4"/>
  <c r="CG156" i="4"/>
  <c r="A159" i="4" l="1"/>
  <c r="E158" i="4"/>
  <c r="J157" i="4"/>
  <c r="AH157" i="4"/>
  <c r="C157" i="4"/>
  <c r="G157" i="4"/>
  <c r="I157" i="4"/>
  <c r="K157" i="4"/>
  <c r="M157" i="4"/>
  <c r="O157" i="4"/>
  <c r="Q157" i="4"/>
  <c r="S157" i="4"/>
  <c r="U157" i="4"/>
  <c r="W157" i="4"/>
  <c r="Y157" i="4"/>
  <c r="AA157" i="4"/>
  <c r="AC157" i="4"/>
  <c r="AE157" i="4"/>
  <c r="F157" i="4"/>
  <c r="H157" i="4"/>
  <c r="L157" i="4"/>
  <c r="N157" i="4"/>
  <c r="P157" i="4"/>
  <c r="R157" i="4"/>
  <c r="T157" i="4"/>
  <c r="V157" i="4"/>
  <c r="X157" i="4"/>
  <c r="Z157" i="4"/>
  <c r="AB157" i="4"/>
  <c r="AD157" i="4"/>
  <c r="AF157" i="4"/>
  <c r="CK157" i="4"/>
  <c r="BX157" i="4"/>
  <c r="BR157" i="4"/>
  <c r="BT157" i="4"/>
  <c r="CD157" i="4"/>
  <c r="BH157" i="4"/>
  <c r="CB157" i="4"/>
  <c r="CA157" i="4"/>
  <c r="CC157" i="4"/>
  <c r="CG157" i="4"/>
  <c r="BY157" i="4"/>
  <c r="CH157" i="4"/>
  <c r="BO157" i="4"/>
  <c r="BZ157" i="4"/>
  <c r="CJ157" i="4"/>
  <c r="BQ157" i="4"/>
  <c r="BM157" i="4"/>
  <c r="BJ157" i="4"/>
  <c r="BI157" i="4"/>
  <c r="BN157" i="4"/>
  <c r="CF157" i="4"/>
  <c r="BG157" i="4"/>
  <c r="CE157" i="4"/>
  <c r="BW157" i="4"/>
  <c r="BS157" i="4"/>
  <c r="BL157" i="4"/>
  <c r="BU157" i="4"/>
  <c r="CI157" i="4"/>
  <c r="BK157" i="4"/>
  <c r="BP157" i="4"/>
  <c r="A160" i="4" l="1"/>
  <c r="E159" i="4"/>
  <c r="J158" i="4"/>
  <c r="AH158" i="4"/>
  <c r="C158" i="4"/>
  <c r="G158" i="4"/>
  <c r="I158" i="4"/>
  <c r="K158" i="4"/>
  <c r="M158" i="4"/>
  <c r="O158" i="4"/>
  <c r="Q158" i="4"/>
  <c r="S158" i="4"/>
  <c r="U158" i="4"/>
  <c r="W158" i="4"/>
  <c r="Y158" i="4"/>
  <c r="AA158" i="4"/>
  <c r="AC158" i="4"/>
  <c r="AE158" i="4"/>
  <c r="F158" i="4"/>
  <c r="H158" i="4"/>
  <c r="L158" i="4"/>
  <c r="N158" i="4"/>
  <c r="P158" i="4"/>
  <c r="R158" i="4"/>
  <c r="T158" i="4"/>
  <c r="V158" i="4"/>
  <c r="X158" i="4"/>
  <c r="Z158" i="4"/>
  <c r="AB158" i="4"/>
  <c r="AD158" i="4"/>
  <c r="AF158" i="4"/>
  <c r="CB158" i="4"/>
  <c r="BS158" i="4"/>
  <c r="CC158" i="4"/>
  <c r="BP158" i="4"/>
  <c r="CA158" i="4"/>
  <c r="BR158" i="4"/>
  <c r="CE158" i="4"/>
  <c r="CK158" i="4"/>
  <c r="BW158" i="4"/>
  <c r="BU158" i="4"/>
  <c r="CF158" i="4"/>
  <c r="BK158" i="4"/>
  <c r="BJ158" i="4"/>
  <c r="BM158" i="4"/>
  <c r="BI158" i="4"/>
  <c r="BQ158" i="4"/>
  <c r="BY158" i="4"/>
  <c r="BZ158" i="4"/>
  <c r="BT158" i="4"/>
  <c r="CG158" i="4"/>
  <c r="CD158" i="4"/>
  <c r="BX158" i="4"/>
  <c r="CI158" i="4"/>
  <c r="CH158" i="4"/>
  <c r="BL158" i="4"/>
  <c r="BH158" i="4"/>
  <c r="BN158" i="4"/>
  <c r="BG158" i="4"/>
  <c r="BO158" i="4"/>
  <c r="CJ158" i="4"/>
  <c r="A161" i="4" l="1"/>
  <c r="E160" i="4"/>
  <c r="J159" i="4"/>
  <c r="AH159" i="4"/>
  <c r="C159" i="4"/>
  <c r="G159" i="4"/>
  <c r="I159" i="4"/>
  <c r="K159" i="4"/>
  <c r="M159" i="4"/>
  <c r="O159" i="4"/>
  <c r="Q159" i="4"/>
  <c r="S159" i="4"/>
  <c r="U159" i="4"/>
  <c r="W159" i="4"/>
  <c r="Y159" i="4"/>
  <c r="AA159" i="4"/>
  <c r="AC159" i="4"/>
  <c r="AE159" i="4"/>
  <c r="F159" i="4"/>
  <c r="H159" i="4"/>
  <c r="L159" i="4"/>
  <c r="N159" i="4"/>
  <c r="P159" i="4"/>
  <c r="R159" i="4"/>
  <c r="T159" i="4"/>
  <c r="V159" i="4"/>
  <c r="X159" i="4"/>
  <c r="Z159" i="4"/>
  <c r="AB159" i="4"/>
  <c r="AD159" i="4"/>
  <c r="AF159" i="4"/>
  <c r="BT159" i="4"/>
  <c r="BH159" i="4"/>
  <c r="BG159" i="4"/>
  <c r="BN159" i="4"/>
  <c r="BY159" i="4"/>
  <c r="CK159" i="4"/>
  <c r="CI159" i="4"/>
  <c r="CF159" i="4"/>
  <c r="CE159" i="4"/>
  <c r="CJ159" i="4"/>
  <c r="CA159" i="4"/>
  <c r="CC159" i="4"/>
  <c r="BI159" i="4"/>
  <c r="BJ159" i="4"/>
  <c r="CH159" i="4"/>
  <c r="BS159" i="4"/>
  <c r="CB159" i="4"/>
  <c r="BK159" i="4"/>
  <c r="BX159" i="4"/>
  <c r="BO159" i="4"/>
  <c r="BP159" i="4"/>
  <c r="BR159" i="4"/>
  <c r="BW159" i="4"/>
  <c r="BU159" i="4"/>
  <c r="CG159" i="4"/>
  <c r="BL159" i="4"/>
  <c r="BZ159" i="4"/>
  <c r="BM159" i="4"/>
  <c r="CD159" i="4"/>
  <c r="BQ159" i="4"/>
  <c r="A162" i="4" l="1"/>
  <c r="E161" i="4"/>
  <c r="J160" i="4"/>
  <c r="AH160" i="4"/>
  <c r="C160" i="4"/>
  <c r="G160" i="4"/>
  <c r="I160" i="4"/>
  <c r="K160" i="4"/>
  <c r="M160" i="4"/>
  <c r="O160" i="4"/>
  <c r="Q160" i="4"/>
  <c r="S160" i="4"/>
  <c r="U160" i="4"/>
  <c r="W160" i="4"/>
  <c r="Y160" i="4"/>
  <c r="AA160" i="4"/>
  <c r="AC160" i="4"/>
  <c r="AE160" i="4"/>
  <c r="F160" i="4"/>
  <c r="H160" i="4"/>
  <c r="L160" i="4"/>
  <c r="N160" i="4"/>
  <c r="P160" i="4"/>
  <c r="R160" i="4"/>
  <c r="T160" i="4"/>
  <c r="V160" i="4"/>
  <c r="X160" i="4"/>
  <c r="Z160" i="4"/>
  <c r="AB160" i="4"/>
  <c r="AD160" i="4"/>
  <c r="AF160" i="4"/>
  <c r="BP160" i="4"/>
  <c r="CC160" i="4"/>
  <c r="CF160" i="4"/>
  <c r="BN160" i="4"/>
  <c r="CG160" i="4"/>
  <c r="CB160" i="4"/>
  <c r="BT160" i="4"/>
  <c r="CJ160" i="4"/>
  <c r="BL160" i="4"/>
  <c r="CE160" i="4"/>
  <c r="BO160" i="4"/>
  <c r="BY160" i="4"/>
  <c r="BJ160" i="4"/>
  <c r="CI160" i="4"/>
  <c r="BU160" i="4"/>
  <c r="BS160" i="4"/>
  <c r="BM160" i="4"/>
  <c r="CH160" i="4"/>
  <c r="CD160" i="4"/>
  <c r="BW160" i="4"/>
  <c r="BR160" i="4"/>
  <c r="BG160" i="4"/>
  <c r="BH160" i="4"/>
  <c r="CA160" i="4"/>
  <c r="BI160" i="4"/>
  <c r="BZ160" i="4"/>
  <c r="BK160" i="4"/>
  <c r="BX160" i="4"/>
  <c r="BQ160" i="4"/>
  <c r="CK160" i="4"/>
  <c r="A163" i="4" l="1"/>
  <c r="E162" i="4"/>
  <c r="J161" i="4"/>
  <c r="AH161" i="4"/>
  <c r="C161" i="4"/>
  <c r="G161" i="4"/>
  <c r="I161" i="4"/>
  <c r="K161" i="4"/>
  <c r="M161" i="4"/>
  <c r="O161" i="4"/>
  <c r="Q161" i="4"/>
  <c r="S161" i="4"/>
  <c r="U161" i="4"/>
  <c r="W161" i="4"/>
  <c r="Y161" i="4"/>
  <c r="AA161" i="4"/>
  <c r="AC161" i="4"/>
  <c r="AE161" i="4"/>
  <c r="F161" i="4"/>
  <c r="H161" i="4"/>
  <c r="L161" i="4"/>
  <c r="N161" i="4"/>
  <c r="P161" i="4"/>
  <c r="R161" i="4"/>
  <c r="T161" i="4"/>
  <c r="V161" i="4"/>
  <c r="X161" i="4"/>
  <c r="Z161" i="4"/>
  <c r="AB161" i="4"/>
  <c r="AD161" i="4"/>
  <c r="AF161" i="4"/>
  <c r="BJ161" i="4"/>
  <c r="BT161" i="4"/>
  <c r="CB161" i="4"/>
  <c r="BZ161" i="4"/>
  <c r="CJ161" i="4"/>
  <c r="BL161" i="4"/>
  <c r="BI161" i="4"/>
  <c r="BH161" i="4"/>
  <c r="CA161" i="4"/>
  <c r="CD161" i="4"/>
  <c r="BQ161" i="4"/>
  <c r="BK161" i="4"/>
  <c r="BS161" i="4"/>
  <c r="CF161" i="4"/>
  <c r="BY161" i="4"/>
  <c r="CE161" i="4"/>
  <c r="CI161" i="4"/>
  <c r="CK161" i="4"/>
  <c r="CC161" i="4"/>
  <c r="BP161" i="4"/>
  <c r="BR161" i="4"/>
  <c r="CG161" i="4"/>
  <c r="BU161" i="4"/>
  <c r="BX161" i="4"/>
  <c r="BN161" i="4"/>
  <c r="BO161" i="4"/>
  <c r="BM161" i="4"/>
  <c r="CH161" i="4"/>
  <c r="BW161" i="4"/>
  <c r="BG161" i="4"/>
  <c r="A164" i="4" l="1"/>
  <c r="E163" i="4"/>
  <c r="J162" i="4"/>
  <c r="AH162" i="4"/>
  <c r="C162" i="4"/>
  <c r="G162" i="4"/>
  <c r="I162" i="4"/>
  <c r="K162" i="4"/>
  <c r="M162" i="4"/>
  <c r="O162" i="4"/>
  <c r="Q162" i="4"/>
  <c r="S162" i="4"/>
  <c r="U162" i="4"/>
  <c r="W162" i="4"/>
  <c r="Y162" i="4"/>
  <c r="AA162" i="4"/>
  <c r="AC162" i="4"/>
  <c r="AE162" i="4"/>
  <c r="F162" i="4"/>
  <c r="H162" i="4"/>
  <c r="L162" i="4"/>
  <c r="N162" i="4"/>
  <c r="P162" i="4"/>
  <c r="R162" i="4"/>
  <c r="T162" i="4"/>
  <c r="V162" i="4"/>
  <c r="X162" i="4"/>
  <c r="Z162" i="4"/>
  <c r="AB162" i="4"/>
  <c r="AD162" i="4"/>
  <c r="AF162" i="4"/>
  <c r="CJ162" i="4"/>
  <c r="BR162" i="4"/>
  <c r="CD162" i="4"/>
  <c r="BS162" i="4"/>
  <c r="BW162" i="4"/>
  <c r="BU162" i="4"/>
  <c r="CE162" i="4"/>
  <c r="CF162" i="4"/>
  <c r="CC162" i="4"/>
  <c r="BT162" i="4"/>
  <c r="BO162" i="4"/>
  <c r="CK162" i="4"/>
  <c r="CB162" i="4"/>
  <c r="CH162" i="4"/>
  <c r="CI162" i="4"/>
  <c r="BH162" i="4"/>
  <c r="BP162" i="4"/>
  <c r="BZ162" i="4"/>
  <c r="CG162" i="4"/>
  <c r="BJ162" i="4"/>
  <c r="CA162" i="4"/>
  <c r="BK162" i="4"/>
  <c r="BY162" i="4"/>
  <c r="BI162" i="4"/>
  <c r="BL162" i="4"/>
  <c r="BN162" i="4"/>
  <c r="BQ162" i="4"/>
  <c r="BX162" i="4"/>
  <c r="BM162" i="4"/>
  <c r="BG162" i="4"/>
  <c r="A165" i="4" l="1"/>
  <c r="E164" i="4"/>
  <c r="J163" i="4"/>
  <c r="AH163" i="4"/>
  <c r="C163" i="4"/>
  <c r="G163" i="4"/>
  <c r="I163" i="4"/>
  <c r="K163" i="4"/>
  <c r="M163" i="4"/>
  <c r="O163" i="4"/>
  <c r="Q163" i="4"/>
  <c r="S163" i="4"/>
  <c r="U163" i="4"/>
  <c r="W163" i="4"/>
  <c r="Y163" i="4"/>
  <c r="AA163" i="4"/>
  <c r="AC163" i="4"/>
  <c r="AE163" i="4"/>
  <c r="F163" i="4"/>
  <c r="H163" i="4"/>
  <c r="L163" i="4"/>
  <c r="N163" i="4"/>
  <c r="P163" i="4"/>
  <c r="R163" i="4"/>
  <c r="T163" i="4"/>
  <c r="V163" i="4"/>
  <c r="X163" i="4"/>
  <c r="Z163" i="4"/>
  <c r="AB163" i="4"/>
  <c r="AD163" i="4"/>
  <c r="AF163" i="4"/>
  <c r="BL163" i="4"/>
  <c r="BM163" i="4"/>
  <c r="BN163" i="4"/>
  <c r="BZ163" i="4"/>
  <c r="BO163" i="4"/>
  <c r="BJ163" i="4"/>
  <c r="BP163" i="4"/>
  <c r="CI163" i="4"/>
  <c r="BK163" i="4"/>
  <c r="BX163" i="4"/>
  <c r="CF163" i="4"/>
  <c r="BY163" i="4"/>
  <c r="BR163" i="4"/>
  <c r="CG163" i="4"/>
  <c r="BS163" i="4"/>
  <c r="CE163" i="4"/>
  <c r="BT163" i="4"/>
  <c r="CC163" i="4"/>
  <c r="CD163" i="4"/>
  <c r="BH163" i="4"/>
  <c r="CJ163" i="4"/>
  <c r="CH163" i="4"/>
  <c r="CA163" i="4"/>
  <c r="BQ163" i="4"/>
  <c r="BI163" i="4"/>
  <c r="BU163" i="4"/>
  <c r="CB163" i="4"/>
  <c r="BW163" i="4"/>
  <c r="BG163" i="4"/>
  <c r="CK163" i="4"/>
  <c r="A166" i="4" l="1"/>
  <c r="E165" i="4"/>
  <c r="J164" i="4"/>
  <c r="AH164" i="4"/>
  <c r="C164" i="4"/>
  <c r="G164" i="4"/>
  <c r="I164" i="4"/>
  <c r="K164" i="4"/>
  <c r="M164" i="4"/>
  <c r="O164" i="4"/>
  <c r="Q164" i="4"/>
  <c r="S164" i="4"/>
  <c r="U164" i="4"/>
  <c r="W164" i="4"/>
  <c r="Y164" i="4"/>
  <c r="AA164" i="4"/>
  <c r="AC164" i="4"/>
  <c r="AE164" i="4"/>
  <c r="F164" i="4"/>
  <c r="H164" i="4"/>
  <c r="L164" i="4"/>
  <c r="N164" i="4"/>
  <c r="P164" i="4"/>
  <c r="R164" i="4"/>
  <c r="T164" i="4"/>
  <c r="V164" i="4"/>
  <c r="X164" i="4"/>
  <c r="Z164" i="4"/>
  <c r="AB164" i="4"/>
  <c r="AD164" i="4"/>
  <c r="AF164" i="4"/>
  <c r="CG164" i="4"/>
  <c r="BI164" i="4"/>
  <c r="BP164" i="4"/>
  <c r="CE164" i="4"/>
  <c r="BO164" i="4"/>
  <c r="BR164" i="4"/>
  <c r="BG164" i="4"/>
  <c r="BX164" i="4"/>
  <c r="BH164" i="4"/>
  <c r="BS164" i="4"/>
  <c r="CJ164" i="4"/>
  <c r="CC164" i="4"/>
  <c r="BU164" i="4"/>
  <c r="CB164" i="4"/>
  <c r="CF164" i="4"/>
  <c r="BM164" i="4"/>
  <c r="BN164" i="4"/>
  <c r="BJ164" i="4"/>
  <c r="CD164" i="4"/>
  <c r="CK164" i="4"/>
  <c r="BW164" i="4"/>
  <c r="BK164" i="4"/>
  <c r="BL164" i="4"/>
  <c r="CH164" i="4"/>
  <c r="BT164" i="4"/>
  <c r="BY164" i="4"/>
  <c r="BZ164" i="4"/>
  <c r="BQ164" i="4"/>
  <c r="CA164" i="4"/>
  <c r="CI164" i="4"/>
  <c r="A167" i="4" l="1"/>
  <c r="E166" i="4"/>
  <c r="J165" i="4"/>
  <c r="AH165" i="4"/>
  <c r="C165" i="4"/>
  <c r="G165" i="4"/>
  <c r="I165" i="4"/>
  <c r="K165" i="4"/>
  <c r="M165" i="4"/>
  <c r="O165" i="4"/>
  <c r="Q165" i="4"/>
  <c r="S165" i="4"/>
  <c r="U165" i="4"/>
  <c r="W165" i="4"/>
  <c r="Y165" i="4"/>
  <c r="AA165" i="4"/>
  <c r="AC165" i="4"/>
  <c r="AE165" i="4"/>
  <c r="F165" i="4"/>
  <c r="H165" i="4"/>
  <c r="L165" i="4"/>
  <c r="N165" i="4"/>
  <c r="P165" i="4"/>
  <c r="R165" i="4"/>
  <c r="T165" i="4"/>
  <c r="V165" i="4"/>
  <c r="X165" i="4"/>
  <c r="Z165" i="4"/>
  <c r="AB165" i="4"/>
  <c r="AD165" i="4"/>
  <c r="AF165" i="4"/>
  <c r="CD165" i="4"/>
  <c r="BI165" i="4"/>
  <c r="BR165" i="4"/>
  <c r="BG165" i="4"/>
  <c r="BM165" i="4"/>
  <c r="BL165" i="4"/>
  <c r="BH165" i="4"/>
  <c r="BP165" i="4"/>
  <c r="BS165" i="4"/>
  <c r="BT165" i="4"/>
  <c r="BN165" i="4"/>
  <c r="CI165" i="4"/>
  <c r="CK165" i="4"/>
  <c r="BW165" i="4"/>
  <c r="BQ165" i="4"/>
  <c r="BK165" i="4"/>
  <c r="CH165" i="4"/>
  <c r="CF165" i="4"/>
  <c r="CA165" i="4"/>
  <c r="CE165" i="4"/>
  <c r="BU165" i="4"/>
  <c r="CJ165" i="4"/>
  <c r="BZ165" i="4"/>
  <c r="BJ165" i="4"/>
  <c r="BY165" i="4"/>
  <c r="CB165" i="4"/>
  <c r="BX165" i="4"/>
  <c r="CG165" i="4"/>
  <c r="CC165" i="4"/>
  <c r="BO165" i="4"/>
  <c r="A168" i="4" l="1"/>
  <c r="E167" i="4"/>
  <c r="J166" i="4"/>
  <c r="AH166" i="4"/>
  <c r="C166" i="4"/>
  <c r="G166" i="4"/>
  <c r="I166" i="4"/>
  <c r="K166" i="4"/>
  <c r="M166" i="4"/>
  <c r="O166" i="4"/>
  <c r="Q166" i="4"/>
  <c r="S166" i="4"/>
  <c r="U166" i="4"/>
  <c r="W166" i="4"/>
  <c r="Y166" i="4"/>
  <c r="AA166" i="4"/>
  <c r="AC166" i="4"/>
  <c r="AE166" i="4"/>
  <c r="F166" i="4"/>
  <c r="H166" i="4"/>
  <c r="L166" i="4"/>
  <c r="N166" i="4"/>
  <c r="P166" i="4"/>
  <c r="R166" i="4"/>
  <c r="T166" i="4"/>
  <c r="V166" i="4"/>
  <c r="X166" i="4"/>
  <c r="Z166" i="4"/>
  <c r="AB166" i="4"/>
  <c r="AD166" i="4"/>
  <c r="AF166" i="4"/>
  <c r="BJ166" i="4"/>
  <c r="BU166" i="4"/>
  <c r="BZ166" i="4"/>
  <c r="CB166" i="4"/>
  <c r="BL166" i="4"/>
  <c r="CF166" i="4"/>
  <c r="BX166" i="4"/>
  <c r="CD166" i="4"/>
  <c r="CI166" i="4"/>
  <c r="BP166" i="4"/>
  <c r="BG166" i="4"/>
  <c r="BO166" i="4"/>
  <c r="CE166" i="4"/>
  <c r="CA166" i="4"/>
  <c r="BY166" i="4"/>
  <c r="CG166" i="4"/>
  <c r="BW166" i="4"/>
  <c r="BQ166" i="4"/>
  <c r="CC166" i="4"/>
  <c r="BS166" i="4"/>
  <c r="BI166" i="4"/>
  <c r="BK166" i="4"/>
  <c r="CH166" i="4"/>
  <c r="CJ166" i="4"/>
  <c r="BR166" i="4"/>
  <c r="BT166" i="4"/>
  <c r="BN166" i="4"/>
  <c r="BH166" i="4"/>
  <c r="BM166" i="4"/>
  <c r="CK166" i="4"/>
  <c r="A169" i="4" l="1"/>
  <c r="E168" i="4"/>
  <c r="J167" i="4"/>
  <c r="AH167" i="4"/>
  <c r="C167" i="4"/>
  <c r="G167" i="4"/>
  <c r="I167" i="4"/>
  <c r="K167" i="4"/>
  <c r="M167" i="4"/>
  <c r="O167" i="4"/>
  <c r="Q167" i="4"/>
  <c r="S167" i="4"/>
  <c r="U167" i="4"/>
  <c r="W167" i="4"/>
  <c r="Y167" i="4"/>
  <c r="AA167" i="4"/>
  <c r="AC167" i="4"/>
  <c r="AE167" i="4"/>
  <c r="F167" i="4"/>
  <c r="H167" i="4"/>
  <c r="L167" i="4"/>
  <c r="N167" i="4"/>
  <c r="P167" i="4"/>
  <c r="R167" i="4"/>
  <c r="T167" i="4"/>
  <c r="V167" i="4"/>
  <c r="X167" i="4"/>
  <c r="Z167" i="4"/>
  <c r="AB167" i="4"/>
  <c r="AD167" i="4"/>
  <c r="AF167" i="4"/>
  <c r="BS167" i="4"/>
  <c r="CH167" i="4"/>
  <c r="CJ167" i="4"/>
  <c r="BT167" i="4"/>
  <c r="CE167" i="4"/>
  <c r="BU167" i="4"/>
  <c r="CD167" i="4"/>
  <c r="BM167" i="4"/>
  <c r="BX167" i="4"/>
  <c r="CA167" i="4"/>
  <c r="BH167" i="4"/>
  <c r="BG167" i="4"/>
  <c r="BP167" i="4"/>
  <c r="BK167" i="4"/>
  <c r="CK167" i="4"/>
  <c r="CI167" i="4"/>
  <c r="BL167" i="4"/>
  <c r="BN167" i="4"/>
  <c r="BW167" i="4"/>
  <c r="BO167" i="4"/>
  <c r="BZ167" i="4"/>
  <c r="BQ167" i="4"/>
  <c r="CG167" i="4"/>
  <c r="CC167" i="4"/>
  <c r="CF167" i="4"/>
  <c r="BR167" i="4"/>
  <c r="BY167" i="4"/>
  <c r="BJ167" i="4"/>
  <c r="BI167" i="4"/>
  <c r="CB167" i="4"/>
  <c r="A170" i="4" l="1"/>
  <c r="E169" i="4"/>
  <c r="J168" i="4"/>
  <c r="AH168" i="4"/>
  <c r="C168" i="4"/>
  <c r="G168" i="4"/>
  <c r="I168" i="4"/>
  <c r="K168" i="4"/>
  <c r="M168" i="4"/>
  <c r="O168" i="4"/>
  <c r="Q168" i="4"/>
  <c r="S168" i="4"/>
  <c r="U168" i="4"/>
  <c r="W168" i="4"/>
  <c r="Y168" i="4"/>
  <c r="AA168" i="4"/>
  <c r="AC168" i="4"/>
  <c r="AE168" i="4"/>
  <c r="F168" i="4"/>
  <c r="H168" i="4"/>
  <c r="L168" i="4"/>
  <c r="N168" i="4"/>
  <c r="P168" i="4"/>
  <c r="R168" i="4"/>
  <c r="T168" i="4"/>
  <c r="V168" i="4"/>
  <c r="X168" i="4"/>
  <c r="Z168" i="4"/>
  <c r="AB168" i="4"/>
  <c r="AD168" i="4"/>
  <c r="AF168" i="4"/>
  <c r="BW168" i="4"/>
  <c r="CA168" i="4"/>
  <c r="CC168" i="4"/>
  <c r="BS168" i="4"/>
  <c r="BX168" i="4"/>
  <c r="BK168" i="4"/>
  <c r="BQ168" i="4"/>
  <c r="BM168" i="4"/>
  <c r="BG168" i="4"/>
  <c r="CK168" i="4"/>
  <c r="BH168" i="4"/>
  <c r="CE168" i="4"/>
  <c r="BN168" i="4"/>
  <c r="BZ168" i="4"/>
  <c r="BO168" i="4"/>
  <c r="BL168" i="4"/>
  <c r="BU168" i="4"/>
  <c r="BP168" i="4"/>
  <c r="BJ168" i="4"/>
  <c r="BI168" i="4"/>
  <c r="CG168" i="4"/>
  <c r="CD168" i="4"/>
  <c r="CB168" i="4"/>
  <c r="BR168" i="4"/>
  <c r="CI168" i="4"/>
  <c r="BY168" i="4"/>
  <c r="CH168" i="4"/>
  <c r="CJ168" i="4"/>
  <c r="CF168" i="4"/>
  <c r="BT168" i="4"/>
  <c r="A171" i="4" l="1"/>
  <c r="E170" i="4"/>
  <c r="J169" i="4"/>
  <c r="AH169" i="4"/>
  <c r="C169" i="4"/>
  <c r="G169" i="4"/>
  <c r="I169" i="4"/>
  <c r="K169" i="4"/>
  <c r="M169" i="4"/>
  <c r="O169" i="4"/>
  <c r="Q169" i="4"/>
  <c r="S169" i="4"/>
  <c r="U169" i="4"/>
  <c r="W169" i="4"/>
  <c r="Y169" i="4"/>
  <c r="AA169" i="4"/>
  <c r="AC169" i="4"/>
  <c r="AE169" i="4"/>
  <c r="F169" i="4"/>
  <c r="H169" i="4"/>
  <c r="L169" i="4"/>
  <c r="N169" i="4"/>
  <c r="P169" i="4"/>
  <c r="R169" i="4"/>
  <c r="T169" i="4"/>
  <c r="V169" i="4"/>
  <c r="X169" i="4"/>
  <c r="Z169" i="4"/>
  <c r="AB169" i="4"/>
  <c r="AD169" i="4"/>
  <c r="AF169" i="4"/>
  <c r="BH169" i="4"/>
  <c r="CG169" i="4"/>
  <c r="BS169" i="4"/>
  <c r="BT169" i="4"/>
  <c r="CA169" i="4"/>
  <c r="BR169" i="4"/>
  <c r="BG169" i="4"/>
  <c r="BP169" i="4"/>
  <c r="BQ169" i="4"/>
  <c r="BK169" i="4"/>
  <c r="BU169" i="4"/>
  <c r="CK169" i="4"/>
  <c r="BL169" i="4"/>
  <c r="CJ169" i="4"/>
  <c r="CI169" i="4"/>
  <c r="CH169" i="4"/>
  <c r="BY169" i="4"/>
  <c r="BM169" i="4"/>
  <c r="CB169" i="4"/>
  <c r="CE169" i="4"/>
  <c r="BX169" i="4"/>
  <c r="CF169" i="4"/>
  <c r="BO169" i="4"/>
  <c r="CD169" i="4"/>
  <c r="CC169" i="4"/>
  <c r="BN169" i="4"/>
  <c r="BJ169" i="4"/>
  <c r="BZ169" i="4"/>
  <c r="BI169" i="4"/>
  <c r="BW169" i="4"/>
  <c r="A172" i="4" l="1"/>
  <c r="E171" i="4"/>
  <c r="J170" i="4"/>
  <c r="AH170" i="4"/>
  <c r="C170" i="4"/>
  <c r="G170" i="4"/>
  <c r="I170" i="4"/>
  <c r="K170" i="4"/>
  <c r="M170" i="4"/>
  <c r="O170" i="4"/>
  <c r="Q170" i="4"/>
  <c r="S170" i="4"/>
  <c r="U170" i="4"/>
  <c r="W170" i="4"/>
  <c r="Y170" i="4"/>
  <c r="AA170" i="4"/>
  <c r="AC170" i="4"/>
  <c r="AE170" i="4"/>
  <c r="F170" i="4"/>
  <c r="N170" i="4"/>
  <c r="R170" i="4"/>
  <c r="V170" i="4"/>
  <c r="Z170" i="4"/>
  <c r="AD170" i="4"/>
  <c r="H170" i="4"/>
  <c r="L170" i="4"/>
  <c r="P170" i="4"/>
  <c r="T170" i="4"/>
  <c r="X170" i="4"/>
  <c r="AB170" i="4"/>
  <c r="AF170" i="4"/>
  <c r="BP170" i="4"/>
  <c r="CK170" i="4"/>
  <c r="BL170" i="4"/>
  <c r="CD170" i="4"/>
  <c r="BW170" i="4"/>
  <c r="CJ170" i="4"/>
  <c r="CC170" i="4"/>
  <c r="BZ170" i="4"/>
  <c r="CI170" i="4"/>
  <c r="BQ170" i="4"/>
  <c r="CF170" i="4"/>
  <c r="CA170" i="4"/>
  <c r="BT170" i="4"/>
  <c r="BR170" i="4"/>
  <c r="BN170" i="4"/>
  <c r="BG170" i="4"/>
  <c r="BK170" i="4"/>
  <c r="CH170" i="4"/>
  <c r="BS170" i="4"/>
  <c r="CB170" i="4"/>
  <c r="BM170" i="4"/>
  <c r="BY170" i="4"/>
  <c r="BX170" i="4"/>
  <c r="BH170" i="4"/>
  <c r="CG170" i="4"/>
  <c r="CE170" i="4"/>
  <c r="BI170" i="4"/>
  <c r="BO170" i="4"/>
  <c r="BJ170" i="4"/>
  <c r="BU170" i="4"/>
  <c r="A173" i="4" l="1"/>
  <c r="E172" i="4"/>
  <c r="J171" i="4"/>
  <c r="AH171" i="4"/>
  <c r="C171" i="4"/>
  <c r="G171" i="4"/>
  <c r="I171" i="4"/>
  <c r="K171" i="4"/>
  <c r="M171" i="4"/>
  <c r="O171" i="4"/>
  <c r="Q171" i="4"/>
  <c r="S171" i="4"/>
  <c r="U171" i="4"/>
  <c r="W171" i="4"/>
  <c r="Y171" i="4"/>
  <c r="AA171" i="4"/>
  <c r="AC171" i="4"/>
  <c r="AE171" i="4"/>
  <c r="F171" i="4"/>
  <c r="N171" i="4"/>
  <c r="R171" i="4"/>
  <c r="V171" i="4"/>
  <c r="Z171" i="4"/>
  <c r="AD171" i="4"/>
  <c r="H171" i="4"/>
  <c r="L171" i="4"/>
  <c r="P171" i="4"/>
  <c r="T171" i="4"/>
  <c r="X171" i="4"/>
  <c r="AB171" i="4"/>
  <c r="AF171" i="4"/>
  <c r="BO171" i="4"/>
  <c r="CD171" i="4"/>
  <c r="CC171" i="4"/>
  <c r="BT171" i="4"/>
  <c r="BR171" i="4"/>
  <c r="CE171" i="4"/>
  <c r="BI171" i="4"/>
  <c r="CB171" i="4"/>
  <c r="CK171" i="4"/>
  <c r="BG171" i="4"/>
  <c r="CJ171" i="4"/>
  <c r="CA171" i="4"/>
  <c r="BQ171" i="4"/>
  <c r="BS171" i="4"/>
  <c r="BH171" i="4"/>
  <c r="CI171" i="4"/>
  <c r="BU171" i="4"/>
  <c r="BL171" i="4"/>
  <c r="CF171" i="4"/>
  <c r="BW171" i="4"/>
  <c r="CH171" i="4"/>
  <c r="BM171" i="4"/>
  <c r="CG171" i="4"/>
  <c r="BZ171" i="4"/>
  <c r="BP171" i="4"/>
  <c r="BK171" i="4"/>
  <c r="BY171" i="4"/>
  <c r="BX171" i="4"/>
  <c r="BJ171" i="4"/>
  <c r="BN171" i="4"/>
  <c r="A174" i="4" l="1"/>
  <c r="E173" i="4"/>
  <c r="J172" i="4"/>
  <c r="AH172" i="4"/>
  <c r="F172" i="4"/>
  <c r="H172" i="4"/>
  <c r="L172" i="4"/>
  <c r="N172" i="4"/>
  <c r="P172" i="4"/>
  <c r="R172" i="4"/>
  <c r="T172" i="4"/>
  <c r="V172" i="4"/>
  <c r="X172" i="4"/>
  <c r="Z172" i="4"/>
  <c r="AB172" i="4"/>
  <c r="AD172" i="4"/>
  <c r="AF172" i="4"/>
  <c r="C172" i="4"/>
  <c r="G172" i="4"/>
  <c r="I172" i="4"/>
  <c r="K172" i="4"/>
  <c r="M172" i="4"/>
  <c r="O172" i="4"/>
  <c r="Q172" i="4"/>
  <c r="S172" i="4"/>
  <c r="U172" i="4"/>
  <c r="W172" i="4"/>
  <c r="Y172" i="4"/>
  <c r="AA172" i="4"/>
  <c r="AC172" i="4"/>
  <c r="AE172" i="4"/>
  <c r="BN172" i="4"/>
  <c r="BL172" i="4"/>
  <c r="BW172" i="4"/>
  <c r="BO172" i="4"/>
  <c r="BK172" i="4"/>
  <c r="CI172" i="4"/>
  <c r="CJ172" i="4"/>
  <c r="CH172" i="4"/>
  <c r="BQ172" i="4"/>
  <c r="BU172" i="4"/>
  <c r="BH172" i="4"/>
  <c r="CF172" i="4"/>
  <c r="CC172" i="4"/>
  <c r="CG172" i="4"/>
  <c r="BZ172" i="4"/>
  <c r="BP172" i="4"/>
  <c r="CA172" i="4"/>
  <c r="BY172" i="4"/>
  <c r="BS172" i="4"/>
  <c r="CD172" i="4"/>
  <c r="CK172" i="4"/>
  <c r="BR172" i="4"/>
  <c r="BG172" i="4"/>
  <c r="CB172" i="4"/>
  <c r="BI172" i="4"/>
  <c r="CE172" i="4"/>
  <c r="BT172" i="4"/>
  <c r="BM172" i="4"/>
  <c r="BJ172" i="4"/>
  <c r="BX172" i="4"/>
  <c r="A175" i="4" l="1"/>
  <c r="E174" i="4"/>
  <c r="J173" i="4"/>
  <c r="AH173" i="4"/>
  <c r="F173" i="4"/>
  <c r="H173" i="4"/>
  <c r="L173" i="4"/>
  <c r="N173" i="4"/>
  <c r="P173" i="4"/>
  <c r="R173" i="4"/>
  <c r="T173" i="4"/>
  <c r="V173" i="4"/>
  <c r="X173" i="4"/>
  <c r="Z173" i="4"/>
  <c r="AB173" i="4"/>
  <c r="AD173" i="4"/>
  <c r="AF173" i="4"/>
  <c r="C173" i="4"/>
  <c r="G173" i="4"/>
  <c r="I173" i="4"/>
  <c r="K173" i="4"/>
  <c r="M173" i="4"/>
  <c r="O173" i="4"/>
  <c r="Q173" i="4"/>
  <c r="S173" i="4"/>
  <c r="U173" i="4"/>
  <c r="W173" i="4"/>
  <c r="Y173" i="4"/>
  <c r="AA173" i="4"/>
  <c r="AC173" i="4"/>
  <c r="AE173" i="4"/>
  <c r="BU173" i="4"/>
  <c r="CD173" i="4"/>
  <c r="BZ173" i="4"/>
  <c r="CH173" i="4"/>
  <c r="CC173" i="4"/>
  <c r="CJ173" i="4"/>
  <c r="BW173" i="4"/>
  <c r="BM173" i="4"/>
  <c r="BS173" i="4"/>
  <c r="CF173" i="4"/>
  <c r="CB173" i="4"/>
  <c r="CK173" i="4"/>
  <c r="BY173" i="4"/>
  <c r="CA173" i="4"/>
  <c r="CG173" i="4"/>
  <c r="BL173" i="4"/>
  <c r="BO173" i="4"/>
  <c r="BX173" i="4"/>
  <c r="BP173" i="4"/>
  <c r="BI173" i="4"/>
  <c r="CE173" i="4"/>
  <c r="BT173" i="4"/>
  <c r="BH173" i="4"/>
  <c r="CI173" i="4"/>
  <c r="BK173" i="4"/>
  <c r="BJ173" i="4"/>
  <c r="BG173" i="4"/>
  <c r="BQ173" i="4"/>
  <c r="BR173" i="4"/>
  <c r="BN173" i="4"/>
  <c r="A176" i="4" l="1"/>
  <c r="E175" i="4"/>
  <c r="J174" i="4"/>
  <c r="AH174" i="4"/>
  <c r="F174" i="4"/>
  <c r="H174" i="4"/>
  <c r="L174" i="4"/>
  <c r="N174" i="4"/>
  <c r="P174" i="4"/>
  <c r="R174" i="4"/>
  <c r="T174" i="4"/>
  <c r="V174" i="4"/>
  <c r="X174" i="4"/>
  <c r="Z174" i="4"/>
  <c r="AB174" i="4"/>
  <c r="AD174" i="4"/>
  <c r="AF174" i="4"/>
  <c r="C174" i="4"/>
  <c r="G174" i="4"/>
  <c r="I174" i="4"/>
  <c r="K174" i="4"/>
  <c r="M174" i="4"/>
  <c r="O174" i="4"/>
  <c r="Q174" i="4"/>
  <c r="S174" i="4"/>
  <c r="U174" i="4"/>
  <c r="W174" i="4"/>
  <c r="Y174" i="4"/>
  <c r="AA174" i="4"/>
  <c r="AC174" i="4"/>
  <c r="AE174" i="4"/>
  <c r="CI174" i="4"/>
  <c r="BW174" i="4"/>
  <c r="BI174" i="4"/>
  <c r="BO174" i="4"/>
  <c r="BR174" i="4"/>
  <c r="CA174" i="4"/>
  <c r="BP174" i="4"/>
  <c r="CB174" i="4"/>
  <c r="BX174" i="4"/>
  <c r="BN174" i="4"/>
  <c r="BY174" i="4"/>
  <c r="CD174" i="4"/>
  <c r="BG174" i="4"/>
  <c r="CC174" i="4"/>
  <c r="BJ174" i="4"/>
  <c r="CE174" i="4"/>
  <c r="CF174" i="4"/>
  <c r="CK174" i="4"/>
  <c r="BH174" i="4"/>
  <c r="CH174" i="4"/>
  <c r="BQ174" i="4"/>
  <c r="BT174" i="4"/>
  <c r="CG174" i="4"/>
  <c r="BZ174" i="4"/>
  <c r="BU174" i="4"/>
  <c r="BL174" i="4"/>
  <c r="BM174" i="4"/>
  <c r="CJ174" i="4"/>
  <c r="BS174" i="4"/>
  <c r="BK174" i="4"/>
  <c r="A177" i="4" l="1"/>
  <c r="E176" i="4"/>
  <c r="J175" i="4"/>
  <c r="AH175" i="4"/>
  <c r="F175" i="4"/>
  <c r="H175" i="4"/>
  <c r="L175" i="4"/>
  <c r="N175" i="4"/>
  <c r="P175" i="4"/>
  <c r="R175" i="4"/>
  <c r="T175" i="4"/>
  <c r="V175" i="4"/>
  <c r="X175" i="4"/>
  <c r="Z175" i="4"/>
  <c r="AB175" i="4"/>
  <c r="AD175" i="4"/>
  <c r="AF175" i="4"/>
  <c r="C175" i="4"/>
  <c r="G175" i="4"/>
  <c r="I175" i="4"/>
  <c r="K175" i="4"/>
  <c r="M175" i="4"/>
  <c r="O175" i="4"/>
  <c r="Q175" i="4"/>
  <c r="S175" i="4"/>
  <c r="U175" i="4"/>
  <c r="W175" i="4"/>
  <c r="Y175" i="4"/>
  <c r="AA175" i="4"/>
  <c r="AC175" i="4"/>
  <c r="AE175" i="4"/>
  <c r="BZ175" i="4"/>
  <c r="CJ175" i="4"/>
  <c r="BM175" i="4"/>
  <c r="BL175" i="4"/>
  <c r="BS175" i="4"/>
  <c r="CE175" i="4"/>
  <c r="BW175" i="4"/>
  <c r="CI175" i="4"/>
  <c r="CH175" i="4"/>
  <c r="CD175" i="4"/>
  <c r="BY175" i="4"/>
  <c r="BO175" i="4"/>
  <c r="CF175" i="4"/>
  <c r="CB175" i="4"/>
  <c r="BR175" i="4"/>
  <c r="BX175" i="4"/>
  <c r="BK175" i="4"/>
  <c r="CK175" i="4"/>
  <c r="CA175" i="4"/>
  <c r="BN175" i="4"/>
  <c r="CC175" i="4"/>
  <c r="BT175" i="4"/>
  <c r="BG175" i="4"/>
  <c r="BP175" i="4"/>
  <c r="BH175" i="4"/>
  <c r="BJ175" i="4"/>
  <c r="BI175" i="4"/>
  <c r="BU175" i="4"/>
  <c r="BQ175" i="4"/>
  <c r="CG175" i="4"/>
  <c r="A178" i="4" l="1"/>
  <c r="E177" i="4"/>
  <c r="J176" i="4"/>
  <c r="AH176" i="4"/>
  <c r="F176" i="4"/>
  <c r="H176" i="4"/>
  <c r="L176" i="4"/>
  <c r="N176" i="4"/>
  <c r="P176" i="4"/>
  <c r="R176" i="4"/>
  <c r="T176" i="4"/>
  <c r="V176" i="4"/>
  <c r="X176" i="4"/>
  <c r="Z176" i="4"/>
  <c r="AB176" i="4"/>
  <c r="AD176" i="4"/>
  <c r="AF176" i="4"/>
  <c r="C176" i="4"/>
  <c r="G176" i="4"/>
  <c r="I176" i="4"/>
  <c r="K176" i="4"/>
  <c r="M176" i="4"/>
  <c r="O176" i="4"/>
  <c r="Q176" i="4"/>
  <c r="S176" i="4"/>
  <c r="U176" i="4"/>
  <c r="W176" i="4"/>
  <c r="Y176" i="4"/>
  <c r="AA176" i="4"/>
  <c r="AC176" i="4"/>
  <c r="AE176" i="4"/>
  <c r="CC176" i="4"/>
  <c r="BP176" i="4"/>
  <c r="BQ176" i="4"/>
  <c r="BK176" i="4"/>
  <c r="BI176" i="4"/>
  <c r="CB176" i="4"/>
  <c r="BZ176" i="4"/>
  <c r="CH176" i="4"/>
  <c r="CI176" i="4"/>
  <c r="BT176" i="4"/>
  <c r="BN176" i="4"/>
  <c r="BJ176" i="4"/>
  <c r="BS176" i="4"/>
  <c r="CA176" i="4"/>
  <c r="BL176" i="4"/>
  <c r="CD176" i="4"/>
  <c r="BU176" i="4"/>
  <c r="CK176" i="4"/>
  <c r="BM176" i="4"/>
  <c r="CG176" i="4"/>
  <c r="CF176" i="4"/>
  <c r="BW176" i="4"/>
  <c r="BG176" i="4"/>
  <c r="CJ176" i="4"/>
  <c r="BY176" i="4"/>
  <c r="BX176" i="4"/>
  <c r="BO176" i="4"/>
  <c r="BR176" i="4"/>
  <c r="CE176" i="4"/>
  <c r="BH176" i="4"/>
  <c r="A179" i="4" l="1"/>
  <c r="E178" i="4"/>
  <c r="J177" i="4"/>
  <c r="AH177" i="4"/>
  <c r="F177" i="4"/>
  <c r="H177" i="4"/>
  <c r="L177" i="4"/>
  <c r="N177" i="4"/>
  <c r="P177" i="4"/>
  <c r="R177" i="4"/>
  <c r="T177" i="4"/>
  <c r="V177" i="4"/>
  <c r="X177" i="4"/>
  <c r="Z177" i="4"/>
  <c r="AB177" i="4"/>
  <c r="AD177" i="4"/>
  <c r="AF177" i="4"/>
  <c r="C177" i="4"/>
  <c r="G177" i="4"/>
  <c r="I177" i="4"/>
  <c r="K177" i="4"/>
  <c r="M177" i="4"/>
  <c r="O177" i="4"/>
  <c r="Q177" i="4"/>
  <c r="S177" i="4"/>
  <c r="U177" i="4"/>
  <c r="W177" i="4"/>
  <c r="Y177" i="4"/>
  <c r="AA177" i="4"/>
  <c r="AC177" i="4"/>
  <c r="AE177" i="4"/>
  <c r="CJ177" i="4"/>
  <c r="BU177" i="4"/>
  <c r="BQ177" i="4"/>
  <c r="BN177" i="4"/>
  <c r="BG177" i="4"/>
  <c r="BK177" i="4"/>
  <c r="BT177" i="4"/>
  <c r="BP177" i="4"/>
  <c r="BS177" i="4"/>
  <c r="BJ177" i="4"/>
  <c r="BH177" i="4"/>
  <c r="CF177" i="4"/>
  <c r="CC177" i="4"/>
  <c r="CD177" i="4"/>
  <c r="BO177" i="4"/>
  <c r="BR177" i="4"/>
  <c r="BI177" i="4"/>
  <c r="CA177" i="4"/>
  <c r="BY177" i="4"/>
  <c r="CH177" i="4"/>
  <c r="CI177" i="4"/>
  <c r="BX177" i="4"/>
  <c r="BM177" i="4"/>
  <c r="CK177" i="4"/>
  <c r="BW177" i="4"/>
  <c r="CB177" i="4"/>
  <c r="CE177" i="4"/>
  <c r="BL177" i="4"/>
  <c r="CG177" i="4"/>
  <c r="BZ177" i="4"/>
  <c r="A180" i="4" l="1"/>
  <c r="E180" i="4" s="1"/>
  <c r="E179" i="4"/>
  <c r="J178" i="4"/>
  <c r="AH178" i="4"/>
  <c r="F178" i="4"/>
  <c r="H178" i="4"/>
  <c r="L178" i="4"/>
  <c r="N178" i="4"/>
  <c r="P178" i="4"/>
  <c r="R178" i="4"/>
  <c r="T178" i="4"/>
  <c r="V178" i="4"/>
  <c r="X178" i="4"/>
  <c r="Z178" i="4"/>
  <c r="AB178" i="4"/>
  <c r="AD178" i="4"/>
  <c r="AF178" i="4"/>
  <c r="C178" i="4"/>
  <c r="G178" i="4"/>
  <c r="I178" i="4"/>
  <c r="K178" i="4"/>
  <c r="M178" i="4"/>
  <c r="O178" i="4"/>
  <c r="Q178" i="4"/>
  <c r="S178" i="4"/>
  <c r="U178" i="4"/>
  <c r="W178" i="4"/>
  <c r="Y178" i="4"/>
  <c r="AA178" i="4"/>
  <c r="AC178" i="4"/>
  <c r="AE178" i="4"/>
  <c r="CG178" i="4"/>
  <c r="CE178" i="4"/>
  <c r="BK178" i="4"/>
  <c r="BY178" i="4"/>
  <c r="CJ178" i="4"/>
  <c r="BZ178" i="4"/>
  <c r="BW178" i="4"/>
  <c r="CH178" i="4"/>
  <c r="BU178" i="4"/>
  <c r="BO178" i="4"/>
  <c r="BR178" i="4"/>
  <c r="BP178" i="4"/>
  <c r="CF178" i="4"/>
  <c r="BH178" i="4"/>
  <c r="BT178" i="4"/>
  <c r="BM178" i="4"/>
  <c r="BN178" i="4"/>
  <c r="CI178" i="4"/>
  <c r="CA178" i="4"/>
  <c r="BX178" i="4"/>
  <c r="BL178" i="4"/>
  <c r="BS178" i="4"/>
  <c r="CC178" i="4"/>
  <c r="BQ178" i="4"/>
  <c r="CK178" i="4"/>
  <c r="BG178" i="4"/>
  <c r="CD178" i="4"/>
  <c r="BI178" i="4"/>
  <c r="CB178" i="4"/>
  <c r="BJ178" i="4"/>
  <c r="J179" i="4" l="1"/>
  <c r="AH179" i="4"/>
  <c r="F179" i="4"/>
  <c r="H179" i="4"/>
  <c r="L179" i="4"/>
  <c r="N179" i="4"/>
  <c r="P179" i="4"/>
  <c r="R179" i="4"/>
  <c r="T179" i="4"/>
  <c r="V179" i="4"/>
  <c r="X179" i="4"/>
  <c r="Z179" i="4"/>
  <c r="AB179" i="4"/>
  <c r="AD179" i="4"/>
  <c r="AF179" i="4"/>
  <c r="C179" i="4"/>
  <c r="G179" i="4"/>
  <c r="I179" i="4"/>
  <c r="K179" i="4"/>
  <c r="M179" i="4"/>
  <c r="O179" i="4"/>
  <c r="Q179" i="4"/>
  <c r="S179" i="4"/>
  <c r="U179" i="4"/>
  <c r="W179" i="4"/>
  <c r="Y179" i="4"/>
  <c r="AA179" i="4"/>
  <c r="AC179" i="4"/>
  <c r="AE179" i="4"/>
  <c r="CF179" i="4"/>
  <c r="BG179" i="4"/>
  <c r="BP179" i="4"/>
  <c r="CI179" i="4"/>
  <c r="CD179" i="4"/>
  <c r="BH179" i="4"/>
  <c r="CA179" i="4"/>
  <c r="CE179" i="4"/>
  <c r="BZ179" i="4"/>
  <c r="BQ179" i="4"/>
  <c r="BM179" i="4"/>
  <c r="CH179" i="4"/>
  <c r="CC179" i="4"/>
  <c r="BT179" i="4"/>
  <c r="BW179" i="4"/>
  <c r="BI179" i="4"/>
  <c r="BU179" i="4"/>
  <c r="BJ179" i="4"/>
  <c r="BS179" i="4"/>
  <c r="CK179" i="4"/>
  <c r="BY179" i="4"/>
  <c r="CJ179" i="4"/>
  <c r="BK179" i="4"/>
  <c r="BX179" i="4"/>
  <c r="CG179" i="4"/>
  <c r="BO179" i="4"/>
  <c r="BR179" i="4"/>
  <c r="BN179" i="4"/>
  <c r="BL179" i="4"/>
  <c r="CB179" i="4"/>
  <c r="J180" i="4" l="1"/>
  <c r="AH180" i="4"/>
  <c r="F180" i="4"/>
  <c r="H180" i="4"/>
  <c r="L180" i="4"/>
  <c r="N180" i="4"/>
  <c r="P180" i="4"/>
  <c r="R180" i="4"/>
  <c r="T180" i="4"/>
  <c r="V180" i="4"/>
  <c r="X180" i="4"/>
  <c r="Z180" i="4"/>
  <c r="AB180" i="4"/>
  <c r="AD180" i="4"/>
  <c r="AF180" i="4"/>
  <c r="C180" i="4"/>
  <c r="G180" i="4"/>
  <c r="I180" i="4"/>
  <c r="K180" i="4"/>
  <c r="M180" i="4"/>
  <c r="O180" i="4"/>
  <c r="Q180" i="4"/>
  <c r="S180" i="4"/>
  <c r="U180" i="4"/>
  <c r="W180" i="4"/>
  <c r="Y180" i="4"/>
  <c r="AA180" i="4"/>
  <c r="AC180" i="4"/>
  <c r="AE180" i="4"/>
  <c r="B102" i="4"/>
  <c r="B134" i="4"/>
  <c r="B166" i="4"/>
  <c r="B117" i="4"/>
  <c r="B149" i="4"/>
  <c r="B104" i="4"/>
  <c r="B136" i="4"/>
  <c r="B168" i="4"/>
  <c r="B119" i="4"/>
  <c r="B151" i="4"/>
  <c r="B106" i="4"/>
  <c r="B138" i="4"/>
  <c r="B170" i="4"/>
  <c r="B121" i="4"/>
  <c r="B153" i="4"/>
  <c r="B108" i="4"/>
  <c r="B140" i="4"/>
  <c r="B172" i="4"/>
  <c r="B123" i="4"/>
  <c r="B155" i="4"/>
  <c r="B110" i="4"/>
  <c r="B142" i="4"/>
  <c r="B174" i="4"/>
  <c r="B125" i="4"/>
  <c r="B157" i="4"/>
  <c r="B112" i="4"/>
  <c r="B144" i="4"/>
  <c r="B176" i="4"/>
  <c r="B127" i="4"/>
  <c r="B159" i="4"/>
  <c r="B114" i="4"/>
  <c r="B146" i="4"/>
  <c r="B178" i="4"/>
  <c r="B129" i="4"/>
  <c r="B161" i="4"/>
  <c r="B116" i="4"/>
  <c r="B148" i="4"/>
  <c r="B180" i="4"/>
  <c r="B131" i="4"/>
  <c r="B163" i="4"/>
  <c r="B118" i="4"/>
  <c r="B150" i="4"/>
  <c r="B101" i="4"/>
  <c r="B133" i="4"/>
  <c r="B165" i="4"/>
  <c r="B120" i="4"/>
  <c r="B152" i="4"/>
  <c r="B103" i="4"/>
  <c r="B135" i="4"/>
  <c r="B167" i="4"/>
  <c r="B122" i="4"/>
  <c r="B154" i="4"/>
  <c r="B105" i="4"/>
  <c r="B137" i="4"/>
  <c r="B169" i="4"/>
  <c r="B124" i="4"/>
  <c r="B156" i="4"/>
  <c r="B107" i="4"/>
  <c r="B139" i="4"/>
  <c r="B171" i="4"/>
  <c r="B126" i="4"/>
  <c r="B158" i="4"/>
  <c r="B109" i="4"/>
  <c r="B141" i="4"/>
  <c r="B173" i="4"/>
  <c r="B128" i="4"/>
  <c r="B160" i="4"/>
  <c r="B111" i="4"/>
  <c r="B143" i="4"/>
  <c r="B175" i="4"/>
  <c r="B130" i="4"/>
  <c r="B162" i="4"/>
  <c r="B113" i="4"/>
  <c r="B145" i="4"/>
  <c r="B177" i="4"/>
  <c r="B132" i="4"/>
  <c r="B164" i="4"/>
  <c r="B115" i="4"/>
  <c r="B147" i="4"/>
  <c r="B179" i="4"/>
  <c r="B29" i="4"/>
  <c r="B75" i="4"/>
  <c r="B34" i="4"/>
  <c r="B52" i="4"/>
  <c r="B86" i="4"/>
  <c r="B23" i="4"/>
  <c r="B96" i="4"/>
  <c r="B100" i="4"/>
  <c r="D103" i="4" s="1"/>
  <c r="AG103" i="4" s="1"/>
  <c r="B91" i="4"/>
  <c r="B28" i="4"/>
  <c r="B9" i="4"/>
  <c r="B37" i="4"/>
  <c r="B65" i="4"/>
  <c r="B64" i="4"/>
  <c r="B51" i="4"/>
  <c r="B79" i="4"/>
  <c r="B16" i="4"/>
  <c r="B88" i="4"/>
  <c r="B25" i="4"/>
  <c r="B39" i="4"/>
  <c r="B67" i="4"/>
  <c r="B21" i="4"/>
  <c r="B76" i="4"/>
  <c r="B13" i="4"/>
  <c r="B35" i="4"/>
  <c r="B26" i="4"/>
  <c r="B27" i="4"/>
  <c r="B72" i="4"/>
  <c r="B8" i="4"/>
  <c r="B63" i="4"/>
  <c r="B33" i="4"/>
  <c r="B14" i="4"/>
  <c r="B42" i="4"/>
  <c r="B70" i="4"/>
  <c r="B92" i="4"/>
  <c r="B56" i="4"/>
  <c r="B84" i="4"/>
  <c r="B38" i="4"/>
  <c r="B93" i="4"/>
  <c r="D96" i="4" s="1"/>
  <c r="AG96" i="4" s="1"/>
  <c r="B53" i="4"/>
  <c r="D56" i="4" s="1"/>
  <c r="AG56" i="4" s="1"/>
  <c r="B44" i="4"/>
  <c r="B89" i="4"/>
  <c r="B36" i="4"/>
  <c r="B81" i="4"/>
  <c r="B12" i="4"/>
  <c r="B40" i="4"/>
  <c r="B68" i="4"/>
  <c r="B49" i="4"/>
  <c r="D52" i="4" s="1"/>
  <c r="AG52" i="4" s="1"/>
  <c r="B77" i="4"/>
  <c r="B98" i="4"/>
  <c r="B48" i="4"/>
  <c r="D51" i="4" s="1"/>
  <c r="AG51" i="4" s="1"/>
  <c r="B18" i="4"/>
  <c r="B73" i="4"/>
  <c r="B10" i="4"/>
  <c r="B55" i="4"/>
  <c r="B19" i="4"/>
  <c r="B47" i="4"/>
  <c r="B69" i="4"/>
  <c r="B97" i="4"/>
  <c r="B61" i="4"/>
  <c r="B15" i="4"/>
  <c r="B43" i="4"/>
  <c r="B57" i="4"/>
  <c r="B85" i="4"/>
  <c r="B66" i="4"/>
  <c r="B94" i="4"/>
  <c r="B31" i="4"/>
  <c r="B87" i="4"/>
  <c r="B17" i="4"/>
  <c r="B45" i="4"/>
  <c r="B90" i="4"/>
  <c r="D93" i="4" s="1"/>
  <c r="AG93" i="4" s="1"/>
  <c r="B54" i="4"/>
  <c r="B82" i="4"/>
  <c r="B78" i="4"/>
  <c r="B32" i="4"/>
  <c r="B60" i="4"/>
  <c r="B24" i="4"/>
  <c r="B46" i="4"/>
  <c r="B74" i="4"/>
  <c r="B11" i="4"/>
  <c r="D14" i="4" s="1"/>
  <c r="AG14" i="4" s="1"/>
  <c r="B83" i="4"/>
  <c r="D86" i="4" s="1"/>
  <c r="AG86" i="4" s="1"/>
  <c r="B20" i="4"/>
  <c r="B30" i="4"/>
  <c r="D33" i="4" s="1"/>
  <c r="AG33" i="4" s="1"/>
  <c r="B62" i="4"/>
  <c r="B80" i="4"/>
  <c r="B71" i="4"/>
  <c r="B99" i="4"/>
  <c r="B41" i="4"/>
  <c r="B58" i="4"/>
  <c r="B22" i="4"/>
  <c r="B50" i="4"/>
  <c r="B95" i="4"/>
  <c r="B59" i="4"/>
  <c r="BH180" i="4"/>
  <c r="BZ180" i="4"/>
  <c r="CJ180" i="4"/>
  <c r="BJ180" i="4"/>
  <c r="CB180" i="4"/>
  <c r="BU180" i="4"/>
  <c r="BT180" i="4"/>
  <c r="BP180" i="4"/>
  <c r="CG180" i="4"/>
  <c r="BS180" i="4"/>
  <c r="BX180" i="4"/>
  <c r="BG180" i="4"/>
  <c r="BY180" i="4"/>
  <c r="CH180" i="4"/>
  <c r="CA180" i="4"/>
  <c r="BM180" i="4"/>
  <c r="CC180" i="4"/>
  <c r="BR180" i="4"/>
  <c r="BN180" i="4"/>
  <c r="BK180" i="4"/>
  <c r="BQ180" i="4"/>
  <c r="BW180" i="4"/>
  <c r="CD180" i="4"/>
  <c r="CK180" i="4"/>
  <c r="BI180" i="4"/>
  <c r="BL180" i="4"/>
  <c r="BO180" i="4"/>
  <c r="CF180" i="4"/>
  <c r="CE180" i="4"/>
  <c r="CI180" i="4"/>
  <c r="D83" i="4" l="1"/>
  <c r="AG83" i="4" s="1"/>
  <c r="D49" i="4"/>
  <c r="AG49" i="4" s="1"/>
  <c r="D81" i="4"/>
  <c r="AG81" i="4" s="1"/>
  <c r="D102" i="4"/>
  <c r="AG102" i="4" s="1"/>
  <c r="D88" i="4"/>
  <c r="AG88" i="4" s="1"/>
  <c r="D64" i="4"/>
  <c r="AG64" i="4" s="1"/>
  <c r="D98" i="4"/>
  <c r="AG98" i="4" s="1"/>
  <c r="D21" i="4"/>
  <c r="AG21" i="4" s="1"/>
  <c r="D75" i="4"/>
  <c r="AG75" i="4" s="1"/>
  <c r="D27" i="4"/>
  <c r="AG27" i="4" s="1"/>
  <c r="D76" i="4"/>
  <c r="AG76" i="4" s="1"/>
  <c r="D77" i="4"/>
  <c r="AG77" i="4" s="1"/>
  <c r="D34" i="4"/>
  <c r="AG34" i="4" s="1"/>
  <c r="D23" i="4"/>
  <c r="AG23" i="4" s="1"/>
  <c r="D63" i="4"/>
  <c r="AG63" i="4" s="1"/>
  <c r="D65" i="4"/>
  <c r="AG65" i="4" s="1"/>
  <c r="D101" i="4"/>
  <c r="AG101" i="4" s="1"/>
  <c r="D118" i="4"/>
  <c r="AG118" i="4" s="1"/>
  <c r="D135" i="4"/>
  <c r="AG135" i="4" s="1"/>
  <c r="D148" i="4"/>
  <c r="AG148" i="4" s="1"/>
  <c r="D165" i="4"/>
  <c r="AG165" i="4" s="1"/>
  <c r="D178" i="4"/>
  <c r="AG178" i="4" s="1"/>
  <c r="D114" i="4"/>
  <c r="AG114" i="4" s="1"/>
  <c r="D131" i="4"/>
  <c r="AG131" i="4" s="1"/>
  <c r="D144" i="4"/>
  <c r="AG144" i="4" s="1"/>
  <c r="D161" i="4"/>
  <c r="AG161" i="4" s="1"/>
  <c r="D174" i="4"/>
  <c r="AG174" i="4" s="1"/>
  <c r="D110" i="4"/>
  <c r="AG110" i="4" s="1"/>
  <c r="D127" i="4"/>
  <c r="AG127" i="4" s="1"/>
  <c r="D140" i="4"/>
  <c r="AG140" i="4" s="1"/>
  <c r="D157" i="4"/>
  <c r="AG157" i="4" s="1"/>
  <c r="D170" i="4"/>
  <c r="AG170" i="4" s="1"/>
  <c r="D106" i="4"/>
  <c r="AG106" i="4" s="1"/>
  <c r="D123" i="4"/>
  <c r="AG123" i="4" s="1"/>
  <c r="D136" i="4"/>
  <c r="AG136" i="4" s="1"/>
  <c r="D153" i="4"/>
  <c r="AG153" i="4" s="1"/>
  <c r="D166" i="4"/>
  <c r="AG166" i="4" s="1"/>
  <c r="D119" i="4"/>
  <c r="AG119" i="4" s="1"/>
  <c r="D149" i="4"/>
  <c r="AG149" i="4" s="1"/>
  <c r="D72" i="4"/>
  <c r="AG72" i="4" s="1"/>
  <c r="D25" i="4"/>
  <c r="AG25" i="4" s="1"/>
  <c r="D35" i="4"/>
  <c r="AG35" i="4" s="1"/>
  <c r="D44" i="4"/>
  <c r="AG44" i="4" s="1"/>
  <c r="D29" i="4"/>
  <c r="AG29" i="4" s="1"/>
  <c r="D53" i="4"/>
  <c r="AG53" i="4" s="1"/>
  <c r="D150" i="4"/>
  <c r="AG150" i="4" s="1"/>
  <c r="D180" i="4"/>
  <c r="AG180" i="4" s="1"/>
  <c r="D116" i="4"/>
  <c r="AG116" i="4" s="1"/>
  <c r="D146" i="4"/>
  <c r="AG146" i="4" s="1"/>
  <c r="D48" i="4"/>
  <c r="AG48" i="4" s="1"/>
  <c r="D62" i="4"/>
  <c r="AG62" i="4" s="1"/>
  <c r="D61" i="4"/>
  <c r="AG61" i="4" s="1"/>
  <c r="D85" i="4"/>
  <c r="AG85" i="4" s="1"/>
  <c r="D69" i="4"/>
  <c r="AG69" i="4" s="1"/>
  <c r="D18" i="4"/>
  <c r="AG18" i="4" s="1"/>
  <c r="D100" i="4"/>
  <c r="AG100" i="4" s="1"/>
  <c r="D39" i="4"/>
  <c r="AG39" i="4" s="1"/>
  <c r="D79" i="4"/>
  <c r="AG79" i="4" s="1"/>
  <c r="D28" i="4"/>
  <c r="AG28" i="4" s="1"/>
  <c r="D167" i="4"/>
  <c r="AG167" i="4" s="1"/>
  <c r="D133" i="4"/>
  <c r="AG133" i="4" s="1"/>
  <c r="D163" i="4"/>
  <c r="AG163" i="4" s="1"/>
  <c r="D176" i="4"/>
  <c r="AG176" i="4" s="1"/>
  <c r="D112" i="4"/>
  <c r="AG112" i="4" s="1"/>
  <c r="D129" i="4"/>
  <c r="AG129" i="4" s="1"/>
  <c r="D142" i="4"/>
  <c r="AG142" i="4" s="1"/>
  <c r="D159" i="4"/>
  <c r="AG159" i="4" s="1"/>
  <c r="D172" i="4"/>
  <c r="AG172" i="4" s="1"/>
  <c r="D108" i="4"/>
  <c r="AG108" i="4" s="1"/>
  <c r="D125" i="4"/>
  <c r="AG125" i="4" s="1"/>
  <c r="D138" i="4"/>
  <c r="AG138" i="4" s="1"/>
  <c r="D155" i="4"/>
  <c r="AG155" i="4" s="1"/>
  <c r="D168" i="4"/>
  <c r="AG168" i="4" s="1"/>
  <c r="D104" i="4"/>
  <c r="AG104" i="4" s="1"/>
  <c r="D121" i="4"/>
  <c r="AG121" i="4" s="1"/>
  <c r="D134" i="4"/>
  <c r="AG134" i="4" s="1"/>
  <c r="D151" i="4"/>
  <c r="AG151" i="4" s="1"/>
  <c r="D117" i="4"/>
  <c r="AG117" i="4" s="1"/>
  <c r="D120" i="4"/>
  <c r="AG120" i="4" s="1"/>
  <c r="D37" i="4"/>
  <c r="AG37" i="4" s="1"/>
  <c r="D74" i="4"/>
  <c r="AG74" i="4" s="1"/>
  <c r="D87" i="4"/>
  <c r="AG87" i="4" s="1"/>
  <c r="D90" i="4"/>
  <c r="AG90" i="4" s="1"/>
  <c r="D97" i="4"/>
  <c r="AG97" i="4" s="1"/>
  <c r="D46" i="4"/>
  <c r="AG46" i="4" s="1"/>
  <c r="D22" i="4"/>
  <c r="AG22" i="4" s="1"/>
  <c r="D13" i="4"/>
  <c r="AG13" i="4" s="1"/>
  <c r="D10" i="4"/>
  <c r="AG10" i="4" s="1"/>
  <c r="D43" i="4"/>
  <c r="AG43" i="4" s="1"/>
  <c r="D84" i="4"/>
  <c r="AG84" i="4" s="1"/>
  <c r="D92" i="4"/>
  <c r="AG92" i="4" s="1"/>
  <c r="D41" i="4"/>
  <c r="AG41" i="4" s="1"/>
  <c r="D59" i="4"/>
  <c r="AG59" i="4" s="1"/>
  <c r="D73" i="4"/>
  <c r="AG73" i="4" s="1"/>
  <c r="D17" i="4"/>
  <c r="AG17" i="4" s="1"/>
  <c r="D66" i="4"/>
  <c r="AG66" i="4" s="1"/>
  <c r="D16" i="4"/>
  <c r="AG16" i="4" s="1"/>
  <c r="D24" i="4"/>
  <c r="AG24" i="4" s="1"/>
  <c r="D42" i="4"/>
  <c r="AG42" i="4" s="1"/>
  <c r="D91" i="4"/>
  <c r="AG91" i="4" s="1"/>
  <c r="D82" i="4"/>
  <c r="AG82" i="4" s="1"/>
  <c r="D67" i="4"/>
  <c r="AG67" i="4" s="1"/>
  <c r="D40" i="4"/>
  <c r="AG40" i="4" s="1"/>
  <c r="D31" i="4"/>
  <c r="AG31" i="4" s="1"/>
  <c r="D26" i="4"/>
  <c r="AG26" i="4" s="1"/>
  <c r="D55" i="4"/>
  <c r="AG55" i="4" s="1"/>
  <c r="D78" i="4"/>
  <c r="AG78" i="4" s="1"/>
  <c r="D132" i="4"/>
  <c r="AG132" i="4" s="1"/>
  <c r="D162" i="4"/>
  <c r="AG162" i="4" s="1"/>
  <c r="D179" i="4"/>
  <c r="AG179" i="4" s="1"/>
  <c r="D115" i="4"/>
  <c r="AG115" i="4" s="1"/>
  <c r="D128" i="4"/>
  <c r="AG128" i="4" s="1"/>
  <c r="D145" i="4"/>
  <c r="AG145" i="4" s="1"/>
  <c r="D158" i="4"/>
  <c r="AG158" i="4" s="1"/>
  <c r="D175" i="4"/>
  <c r="AG175" i="4" s="1"/>
  <c r="D111" i="4"/>
  <c r="AG111" i="4" s="1"/>
  <c r="D124" i="4"/>
  <c r="AG124" i="4" s="1"/>
  <c r="D141" i="4"/>
  <c r="AG141" i="4" s="1"/>
  <c r="D154" i="4"/>
  <c r="AG154" i="4" s="1"/>
  <c r="D171" i="4"/>
  <c r="AG171" i="4" s="1"/>
  <c r="D107" i="4"/>
  <c r="AG107" i="4" s="1"/>
  <c r="D137" i="4"/>
  <c r="AG137" i="4" s="1"/>
  <c r="D20" i="4"/>
  <c r="AG20" i="4" s="1"/>
  <c r="D57" i="4"/>
  <c r="AG57" i="4" s="1"/>
  <c r="D60" i="4"/>
  <c r="AG60" i="4" s="1"/>
  <c r="D50" i="4"/>
  <c r="AG50" i="4" s="1"/>
  <c r="D58" i="4"/>
  <c r="AG58" i="4" s="1"/>
  <c r="D80" i="4"/>
  <c r="AG80" i="4" s="1"/>
  <c r="D71" i="4"/>
  <c r="AG71" i="4" s="1"/>
  <c r="D15" i="4"/>
  <c r="AG15" i="4" s="1"/>
  <c r="D47" i="4"/>
  <c r="AG47" i="4" s="1"/>
  <c r="D95" i="4"/>
  <c r="AG95" i="4" s="1"/>
  <c r="D45" i="4"/>
  <c r="AG45" i="4" s="1"/>
  <c r="D36" i="4"/>
  <c r="AG36" i="4" s="1"/>
  <c r="D8" i="4"/>
  <c r="AG8" i="4" s="1"/>
  <c r="D11" i="4"/>
  <c r="AG11" i="4" s="1"/>
  <c r="D30" i="4"/>
  <c r="AG30" i="4" s="1"/>
  <c r="D38" i="4"/>
  <c r="AG38" i="4" s="1"/>
  <c r="D70" i="4"/>
  <c r="AG70" i="4" s="1"/>
  <c r="D19" i="4"/>
  <c r="AG19" i="4" s="1"/>
  <c r="D54" i="4"/>
  <c r="AG54" i="4" s="1"/>
  <c r="D68" i="4"/>
  <c r="AG68" i="4" s="1"/>
  <c r="D9" i="4"/>
  <c r="AG9" i="4" s="1"/>
  <c r="D12" i="4"/>
  <c r="AG12" i="4" s="1"/>
  <c r="D94" i="4"/>
  <c r="AG94" i="4" s="1"/>
  <c r="D99" i="4"/>
  <c r="AG99" i="4" s="1"/>
  <c r="D89" i="4"/>
  <c r="AG89" i="4" s="1"/>
  <c r="D32" i="4"/>
  <c r="AG32" i="4" s="1"/>
  <c r="D164" i="4"/>
  <c r="AG164" i="4" s="1"/>
  <c r="D130" i="4"/>
  <c r="AG130" i="4" s="1"/>
  <c r="D147" i="4"/>
  <c r="AG147" i="4" s="1"/>
  <c r="D160" i="4"/>
  <c r="AG160" i="4" s="1"/>
  <c r="D177" i="4"/>
  <c r="AG177" i="4" s="1"/>
  <c r="D113" i="4"/>
  <c r="AG113" i="4" s="1"/>
  <c r="D126" i="4"/>
  <c r="AG126" i="4" s="1"/>
  <c r="D143" i="4"/>
  <c r="AG143" i="4" s="1"/>
  <c r="D156" i="4"/>
  <c r="AG156" i="4" s="1"/>
  <c r="D173" i="4"/>
  <c r="AG173" i="4" s="1"/>
  <c r="D109" i="4"/>
  <c r="AG109" i="4" s="1"/>
  <c r="D122" i="4"/>
  <c r="AG122" i="4" s="1"/>
  <c r="D139" i="4"/>
  <c r="AG139" i="4" s="1"/>
  <c r="D152" i="4"/>
  <c r="AG152" i="4" s="1"/>
  <c r="D169" i="4"/>
  <c r="AG169" i="4" s="1"/>
  <c r="D105" i="4"/>
  <c r="AG105" i="4" s="1"/>
  <c r="AG5" i="4" l="1"/>
</calcChain>
</file>

<file path=xl/sharedStrings.xml><?xml version="1.0" encoding="utf-8"?>
<sst xmlns="http://schemas.openxmlformats.org/spreadsheetml/2006/main" count="264" uniqueCount="118">
  <si>
    <t>NVKD:</t>
  </si>
  <si>
    <t>Ngày triển khai:</t>
  </si>
  <si>
    <t>Ngày xuất hàng:</t>
  </si>
  <si>
    <t>TÊN SẢN PHẨM</t>
  </si>
  <si>
    <t>ALL</t>
  </si>
  <si>
    <t>MẪU BẢNG VẼ</t>
  </si>
  <si>
    <t>MÃ SẢN PHẨM</t>
  </si>
  <si>
    <t>LẬP KẾ HOẠCH</t>
  </si>
  <si>
    <t>all</t>
  </si>
  <si>
    <t>THỜI GIAN</t>
  </si>
  <si>
    <t>MÃ BỘ PHẬN</t>
  </si>
  <si>
    <t>CÔNG ĐOẠN</t>
  </si>
  <si>
    <t>DUYỆT SẢN XUẤT</t>
  </si>
  <si>
    <t>DUYỆT QUY TRÌNH</t>
  </si>
  <si>
    <t>HÀN BÀN GHẾ</t>
  </si>
  <si>
    <t>HÀN PAT</t>
  </si>
  <si>
    <t>ĐÁNH BÓNG</t>
  </si>
  <si>
    <t>SƠN</t>
  </si>
  <si>
    <t>ĐÓNG GÓI</t>
  </si>
  <si>
    <t>TIỆN</t>
  </si>
  <si>
    <t>XI MẠ</t>
  </si>
  <si>
    <t>CẮT TÔ LE</t>
  </si>
  <si>
    <t>BU LONG</t>
  </si>
  <si>
    <t>CẮT KHUÔN</t>
  </si>
  <si>
    <t>RUNG BÓNG</t>
  </si>
  <si>
    <t>GIA CÔNG</t>
  </si>
  <si>
    <t xml:space="preserve">  </t>
  </si>
  <si>
    <t>VẬT TƯ</t>
  </si>
  <si>
    <t>Số lượng ĐH</t>
  </si>
  <si>
    <t>Ngày bắt đầu</t>
  </si>
  <si>
    <t xml:space="preserve"> </t>
  </si>
  <si>
    <t>A.NGỌC</t>
  </si>
  <si>
    <t>MẠC CHỮ</t>
  </si>
  <si>
    <t>LÃ LỖ</t>
  </si>
  <si>
    <t>Id</t>
  </si>
  <si>
    <t>Kinh doanh</t>
  </si>
  <si>
    <t>Ngày triển khai</t>
  </si>
  <si>
    <t>Mã ĐH</t>
  </si>
  <si>
    <t>Mã sản phẩm</t>
  </si>
  <si>
    <t>Số chi tiết</t>
  </si>
  <si>
    <t>Số lượng tồn kho</t>
  </si>
  <si>
    <t>Số L. Sản xuất</t>
  </si>
  <si>
    <t>Ngoại quan</t>
  </si>
  <si>
    <t>Đơn vị</t>
  </si>
  <si>
    <t>Ngày kết thúc</t>
  </si>
  <si>
    <t>Khách hàng</t>
  </si>
  <si>
    <t>Loại</t>
  </si>
  <si>
    <t>Ghi chú</t>
  </si>
  <si>
    <t>Vật Tư</t>
  </si>
  <si>
    <t>T3 Cắt Tole</t>
  </si>
  <si>
    <t>T2 Dập</t>
  </si>
  <si>
    <t>T2 Lã</t>
  </si>
  <si>
    <t>T4 Hàn Bấm</t>
  </si>
  <si>
    <t>T2 Ren răng</t>
  </si>
  <si>
    <t>T4 Rung Bóng</t>
  </si>
  <si>
    <t>T2 Ăn Mòn</t>
  </si>
  <si>
    <t>T9 Bàn Ghế (Chiến)</t>
  </si>
  <si>
    <t>T5 Hàn Kôn</t>
  </si>
  <si>
    <t>T5 Đánh Bóng</t>
  </si>
  <si>
    <t>T6 Sơn</t>
  </si>
  <si>
    <t>Kho TP</t>
  </si>
  <si>
    <t>T7 Tiện</t>
  </si>
  <si>
    <t>T8 BuLong</t>
  </si>
  <si>
    <t>Hàn Đen Chờ GC</t>
  </si>
  <si>
    <t>T10 APhi</t>
  </si>
  <si>
    <t>T11 A Lâm</t>
  </si>
  <si>
    <t>A.SƠN-RÁP LÒNG ĐÈN</t>
  </si>
  <si>
    <t>Cắt khuôn</t>
  </si>
  <si>
    <t>T1 Ráp lòng đèn</t>
  </si>
  <si>
    <t>Phụ kiện</t>
  </si>
  <si>
    <t>Diễn giải đơn hàng</t>
  </si>
  <si>
    <t>Mẫu bản vẽ</t>
  </si>
  <si>
    <t>Tên/Qui cách chi tiết sản xuất</t>
  </si>
  <si>
    <t>Tên gọi thành phẩm ghi trên đơn hàng</t>
  </si>
  <si>
    <t>Số sp SX</t>
  </si>
  <si>
    <t>Đơn vị sản phẩm</t>
  </si>
  <si>
    <t>Vật liệu CT</t>
  </si>
  <si>
    <t>Đơn vị chi tiết</t>
  </si>
  <si>
    <t>Số chi tiết sản xuất
(Đã trừ tồn)
[7]=[4] x [6]</t>
  </si>
  <si>
    <t>Số chi tiết
[6]</t>
  </si>
  <si>
    <t>SỐ LƯỢNG ĐH
[4]</t>
  </si>
  <si>
    <t>BP DẬP</t>
  </si>
  <si>
    <t>T1 Dập</t>
  </si>
  <si>
    <t>GHI CHÚ / NGOẠI QUAN</t>
  </si>
  <si>
    <t>Id PSX</t>
  </si>
  <si>
    <t>Bản vẽ</t>
  </si>
  <si>
    <t>KeHoach
ID</t>
  </si>
  <si>
    <t>LỊCH TRÌNH SẢN XUẤT</t>
  </si>
  <si>
    <t>Huỳnh Nhật Minh</t>
  </si>
  <si>
    <t>;#CÓ QUY TRÌNH SẢN XUẤT;#CÓ QUY TRÌNH SẢN XUẤT</t>
  </si>
  <si>
    <t>Sắt</t>
  </si>
  <si>
    <t>CHỜ GIA CÔNG</t>
  </si>
  <si>
    <t>KHOAN REN</t>
  </si>
  <si>
    <t>DẬP</t>
  </si>
  <si>
    <t>ĐỤC LỔ (LÂM)</t>
  </si>
  <si>
    <t>HÀN</t>
  </si>
  <si>
    <t>PSX 19100502</t>
  </si>
  <si>
    <t>MEC-ST-1000</t>
  </si>
  <si>
    <t>Hàn lắp ráp thành phẩm(ĐỢT 7)</t>
  </si>
  <si>
    <t>Bộ chân lò nướng</t>
  </si>
  <si>
    <t>STĐ Đen &amp; Xi trắng Cr3+ test 48h</t>
  </si>
  <si>
    <t>Bộ</t>
  </si>
  <si>
    <t>MECO</t>
  </si>
  <si>
    <t>KH Vip</t>
  </si>
  <si>
    <t/>
  </si>
  <si>
    <t>CT1: Ty Ø6*307(ĐỢT 7)</t>
  </si>
  <si>
    <t>CT2: Pát quai(ĐỢT 7)</t>
  </si>
  <si>
    <t>CT6: Lắp bản lề(ĐỢT 7)</t>
  </si>
  <si>
    <t>CT7: Khung ngoài(ĐỢT 7)</t>
  </si>
  <si>
    <t>CT8: Khung trong(ĐỢT 7)</t>
  </si>
  <si>
    <t>Phụ kiên mã BBA-ST-0147 ( Pát 48.5*31)(ĐỢT 7)</t>
  </si>
  <si>
    <t>Phụ kiên mã BBA-ST-0148 ( Pát 65*19*2)(NHÚNG ED)(ĐỢT 7)</t>
  </si>
  <si>
    <t>;#CÓ QUY TRÌNH SẢN XUẤT;#CÓ QUY TRÌNH SẢN XUẤT;#CÓ QUY TRÌNH SẢN XUẤT</t>
  </si>
  <si>
    <t>Phụ kiên mã BBA-ST-0150 ( Pát 3 chân)(ĐỢT 7)</t>
  </si>
  <si>
    <t>Phụ kiên mã BBA-ST-0152 ( Londen chén)(NHÚNG ED)(ĐỢT 7)</t>
  </si>
  <si>
    <t>Phụ kiên mã BBA-ST-0185 ( Pát gài )(NHÚNG ED)(ĐỢT 7)</t>
  </si>
  <si>
    <t>Phụ kiên mã BBA-ST-0149 ( Pát móc 154.5*19*2)(NHÚNG ED)(ĐỢT 7)</t>
  </si>
  <si>
    <t>THÀNH PHẨM NHẬP KHO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</si>
</sst>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-* #,##0.00\ _z_ł_-;\-* #,##0.00\ _z_ł_-;_-* &quot;-&quot;??\ _z_ł_-;_-@_-"/>
    <numFmt numFmtId="165" formatCode="_(* #,##0_);_(* \(#,##0\);_(* &quot;-&quot;??_);_(@_)"/>
    <numFmt numFmtId="166" formatCode="dd/mm/yy"/>
    <numFmt numFmtId="167" formatCode="#,###"/>
  </numFmts>
  <fonts count="28">
    <font>
      <sz val="12"/>
      <color theme="1"/>
      <name val="Times New Roman"/>
      <family val="2"/>
      <charset val="238"/>
    </font>
    <font>
      <sz val="11"/>
      <color theme="1"/>
      <name val="Calibri"/>
      <family val="2"/>
      <scheme val="minor"/>
    </font>
    <font>
      <sz val="12"/>
      <color indexed="8"/>
      <name val="Times New Roman"/>
      <family val="2"/>
      <charset val="238"/>
    </font>
    <font>
      <sz val="10"/>
      <name val="Arial"/>
      <family val="2"/>
    </font>
    <font>
      <sz val="12"/>
      <color indexed="8"/>
      <name val="Times New Roman"/>
      <family val="2"/>
      <charset val="238"/>
    </font>
    <font>
      <sz val="8"/>
      <name val="Times New Roman"/>
      <family val="2"/>
      <charset val="238"/>
    </font>
    <font>
      <sz val="12"/>
      <name val=".VnTime"/>
      <family val="2"/>
    </font>
    <font>
      <sz val="12"/>
      <name val=".VnTime"/>
      <family val="2"/>
    </font>
    <font>
      <u/>
      <sz val="12"/>
      <color indexed="12"/>
      <name val=".VnTime"/>
      <family val="2"/>
    </font>
    <font>
      <sz val="12"/>
      <name val="新細明體"/>
      <family val="1"/>
      <charset val="136"/>
    </font>
    <font>
      <sz val="12"/>
      <name val=".VnTime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sz val="12"/>
      <color theme="1"/>
      <name val="Times New Roman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1"/>
      <name val="Times New Roman"/>
      <family val="1"/>
    </font>
    <font>
      <b/>
      <sz val="11"/>
      <color theme="0"/>
      <name val="Times New Roman"/>
      <family val="1"/>
    </font>
    <font>
      <sz val="11"/>
      <color theme="0"/>
      <name val="Times New Roman"/>
      <family val="1"/>
    </font>
    <font>
      <sz val="8.25"/>
      <color rgb="FF000000"/>
      <name val="Tahoma"/>
      <family val="2"/>
    </font>
    <font>
      <i/>
      <sz val="11"/>
      <name val="Times New Roman"/>
      <family val="1"/>
    </font>
    <font>
      <b/>
      <sz val="14"/>
      <name val="Times New Roman"/>
      <family val="1"/>
    </font>
    <font>
      <sz val="14"/>
      <color theme="0"/>
      <name val="Times New Roman"/>
      <family val="1"/>
    </font>
    <font>
      <b/>
      <u/>
      <sz val="14"/>
      <name val="Times New Roman"/>
      <family val="1"/>
    </font>
    <font>
      <sz val="14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3D3D3"/>
      </patternFill>
    </fill>
    <fill>
      <patternFill patternType="solid">
        <fgColor rgb="FFFFFFFF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2">
    <xf numFmtId="0" fontId="0" fillId="0" borderId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10" fillId="0" borderId="0"/>
    <xf numFmtId="0" fontId="14" fillId="0" borderId="0"/>
    <xf numFmtId="0" fontId="6" fillId="0" borderId="0"/>
    <xf numFmtId="0" fontId="6" fillId="0" borderId="0"/>
    <xf numFmtId="0" fontId="15" fillId="0" borderId="0"/>
    <xf numFmtId="0" fontId="16" fillId="0" borderId="0"/>
    <xf numFmtId="0" fontId="7" fillId="0" borderId="0"/>
    <xf numFmtId="0" fontId="3" fillId="0" borderId="0"/>
    <xf numFmtId="0" fontId="3" fillId="0" borderId="0"/>
    <xf numFmtId="9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/>
    <xf numFmtId="0" fontId="1" fillId="0" borderId="0"/>
  </cellStyleXfs>
  <cellXfs count="102">
    <xf numFmtId="0" fontId="0" fillId="0" borderId="0" xfId="0"/>
    <xf numFmtId="0" fontId="17" fillId="2" borderId="0" xfId="16" applyFont="1" applyFill="1" applyBorder="1" applyAlignment="1">
      <alignment wrapText="1"/>
    </xf>
    <xf numFmtId="0" fontId="18" fillId="2" borderId="0" xfId="16" applyFont="1" applyFill="1" applyAlignment="1">
      <alignment horizontal="center" vertical="center"/>
    </xf>
    <xf numFmtId="0" fontId="18" fillId="2" borderId="0" xfId="16" applyFont="1" applyFill="1"/>
    <xf numFmtId="49" fontId="18" fillId="2" borderId="0" xfId="16" applyNumberFormat="1" applyFont="1" applyFill="1" applyAlignment="1">
      <alignment horizontal="center" vertical="center"/>
    </xf>
    <xf numFmtId="0" fontId="17" fillId="2" borderId="2" xfId="17" applyFont="1" applyFill="1" applyBorder="1" applyAlignment="1">
      <alignment vertical="center" wrapText="1"/>
    </xf>
    <xf numFmtId="0" fontId="17" fillId="2" borderId="2" xfId="16" applyFont="1" applyFill="1" applyBorder="1" applyAlignment="1">
      <alignment horizontal="center" vertical="justify" shrinkToFit="1"/>
    </xf>
    <xf numFmtId="0" fontId="17" fillId="2" borderId="2" xfId="16" applyFont="1" applyFill="1" applyBorder="1" applyAlignment="1">
      <alignment vertical="justify" shrinkToFit="1"/>
    </xf>
    <xf numFmtId="0" fontId="17" fillId="2" borderId="2" xfId="16" applyFont="1" applyFill="1" applyBorder="1" applyAlignment="1">
      <alignment horizontal="center" vertical="center" shrinkToFit="1"/>
    </xf>
    <xf numFmtId="0" fontId="19" fillId="2" borderId="2" xfId="16" applyFont="1" applyFill="1" applyBorder="1" applyAlignment="1">
      <alignment horizontal="center" vertical="top" wrapText="1"/>
    </xf>
    <xf numFmtId="0" fontId="19" fillId="2" borderId="2" xfId="16" applyFont="1" applyFill="1" applyBorder="1" applyAlignment="1">
      <alignment vertical="center" shrinkToFit="1"/>
    </xf>
    <xf numFmtId="165" fontId="17" fillId="2" borderId="1" xfId="2" applyNumberFormat="1" applyFont="1" applyFill="1" applyBorder="1" applyAlignment="1">
      <alignment horizontal="left" vertical="center"/>
    </xf>
    <xf numFmtId="165" fontId="17" fillId="2" borderId="2" xfId="2" applyNumberFormat="1" applyFont="1" applyFill="1" applyBorder="1" applyAlignment="1">
      <alignment horizontal="left" vertical="center"/>
    </xf>
    <xf numFmtId="1" fontId="17" fillId="2" borderId="2" xfId="16" applyNumberFormat="1" applyFont="1" applyFill="1" applyBorder="1" applyAlignment="1">
      <alignment horizontal="left" vertical="center"/>
    </xf>
    <xf numFmtId="1" fontId="17" fillId="2" borderId="3" xfId="16" applyNumberFormat="1" applyFont="1" applyFill="1" applyBorder="1" applyAlignment="1">
      <alignment horizontal="center" vertical="center" shrinkToFit="1"/>
    </xf>
    <xf numFmtId="0" fontId="18" fillId="3" borderId="0" xfId="16" applyFont="1" applyFill="1" applyAlignment="1">
      <alignment horizontal="center"/>
    </xf>
    <xf numFmtId="14" fontId="18" fillId="2" borderId="0" xfId="16" applyNumberFormat="1" applyFont="1" applyFill="1"/>
    <xf numFmtId="0" fontId="18" fillId="2" borderId="0" xfId="16" applyFont="1" applyFill="1" applyAlignment="1">
      <alignment horizontal="left"/>
    </xf>
    <xf numFmtId="164" fontId="18" fillId="2" borderId="0" xfId="1" applyFont="1" applyFill="1" applyAlignment="1">
      <alignment horizontal="center"/>
    </xf>
    <xf numFmtId="165" fontId="18" fillId="2" borderId="0" xfId="2" applyNumberFormat="1" applyFont="1" applyFill="1"/>
    <xf numFmtId="0" fontId="18" fillId="2" borderId="0" xfId="16" applyFont="1" applyFill="1" applyAlignment="1">
      <alignment horizontal="center"/>
    </xf>
    <xf numFmtId="165" fontId="18" fillId="2" borderId="2" xfId="2" applyNumberFormat="1" applyFont="1" applyFill="1" applyBorder="1"/>
    <xf numFmtId="0" fontId="17" fillId="2" borderId="0" xfId="16" applyFont="1" applyFill="1"/>
    <xf numFmtId="1" fontId="17" fillId="2" borderId="4" xfId="16" applyNumberFormat="1" applyFont="1" applyFill="1" applyBorder="1" applyAlignment="1">
      <alignment horizontal="center" vertical="center"/>
    </xf>
    <xf numFmtId="14" fontId="17" fillId="2" borderId="10" xfId="16" applyNumberFormat="1" applyFont="1" applyFill="1" applyBorder="1" applyAlignment="1">
      <alignment horizontal="left" vertical="center" shrinkToFit="1"/>
    </xf>
    <xf numFmtId="14" fontId="17" fillId="2" borderId="2" xfId="16" applyNumberFormat="1" applyFont="1" applyFill="1" applyBorder="1" applyAlignment="1">
      <alignment horizontal="left" vertical="center" shrinkToFit="1"/>
    </xf>
    <xf numFmtId="0" fontId="17" fillId="2" borderId="7" xfId="16" applyFont="1" applyFill="1" applyBorder="1" applyAlignment="1">
      <alignment horizontal="center" vertical="center" wrapText="1"/>
    </xf>
    <xf numFmtId="0" fontId="17" fillId="2" borderId="0" xfId="16" applyFont="1" applyFill="1" applyAlignment="1">
      <alignment horizontal="center" vertical="center" wrapText="1"/>
    </xf>
    <xf numFmtId="0" fontId="18" fillId="2" borderId="0" xfId="16" applyFont="1" applyFill="1" applyAlignment="1">
      <alignment horizontal="center" vertical="center" wrapText="1"/>
    </xf>
    <xf numFmtId="0" fontId="18" fillId="2" borderId="0" xfId="3" applyNumberFormat="1" applyFont="1" applyFill="1" applyBorder="1" applyAlignment="1">
      <alignment horizontal="center" vertical="center"/>
    </xf>
    <xf numFmtId="43" fontId="18" fillId="2" borderId="0" xfId="2" applyNumberFormat="1" applyFont="1" applyFill="1" applyBorder="1" applyAlignment="1">
      <alignment horizontal="center" vertical="center"/>
    </xf>
    <xf numFmtId="0" fontId="18" fillId="2" borderId="0" xfId="3" applyNumberFormat="1" applyFont="1" applyFill="1" applyBorder="1" applyAlignment="1">
      <alignment horizontal="left" vertical="center" wrapText="1"/>
    </xf>
    <xf numFmtId="165" fontId="18" fillId="2" borderId="0" xfId="2" applyNumberFormat="1" applyFont="1" applyFill="1" applyBorder="1" applyAlignment="1">
      <alignment horizontal="center" vertical="center"/>
    </xf>
    <xf numFmtId="166" fontId="18" fillId="2" borderId="0" xfId="3" applyNumberFormat="1" applyFont="1" applyFill="1" applyBorder="1" applyAlignment="1">
      <alignment horizontal="center" vertical="center" wrapText="1" shrinkToFit="1"/>
    </xf>
    <xf numFmtId="164" fontId="18" fillId="2" borderId="0" xfId="1" applyFont="1" applyFill="1" applyBorder="1" applyAlignment="1">
      <alignment horizontal="center" vertical="center"/>
    </xf>
    <xf numFmtId="14" fontId="18" fillId="2" borderId="0" xfId="16" applyNumberFormat="1" applyFont="1" applyFill="1" applyBorder="1" applyAlignment="1">
      <alignment horizontal="center"/>
    </xf>
    <xf numFmtId="14" fontId="18" fillId="2" borderId="0" xfId="1" applyNumberFormat="1" applyFont="1" applyFill="1" applyBorder="1" applyAlignment="1">
      <alignment horizontal="center" vertical="center" wrapText="1"/>
    </xf>
    <xf numFmtId="166" fontId="18" fillId="2" borderId="0" xfId="16" applyNumberFormat="1" applyFont="1" applyFill="1" applyAlignment="1">
      <alignment shrinkToFit="1"/>
    </xf>
    <xf numFmtId="166" fontId="18" fillId="2" borderId="0" xfId="16" applyNumberFormat="1" applyFont="1" applyFill="1" applyAlignment="1">
      <alignment horizontal="center" shrinkToFit="1"/>
    </xf>
    <xf numFmtId="0" fontId="18" fillId="2" borderId="0" xfId="16" applyFont="1" applyFill="1" applyAlignment="1">
      <alignment shrinkToFit="1"/>
    </xf>
    <xf numFmtId="0" fontId="18" fillId="2" borderId="0" xfId="16" applyFont="1" applyFill="1" applyAlignment="1">
      <alignment horizontal="center" shrinkToFit="1"/>
    </xf>
    <xf numFmtId="1" fontId="21" fillId="2" borderId="0" xfId="16" applyNumberFormat="1" applyFont="1" applyFill="1" applyBorder="1"/>
    <xf numFmtId="1" fontId="21" fillId="2" borderId="0" xfId="16" applyNumberFormat="1" applyFont="1" applyFill="1"/>
    <xf numFmtId="1" fontId="21" fillId="2" borderId="0" xfId="16" applyNumberFormat="1" applyFont="1" applyFill="1" applyBorder="1" applyAlignment="1">
      <alignment horizontal="center"/>
    </xf>
    <xf numFmtId="1" fontId="20" fillId="2" borderId="0" xfId="16" applyNumberFormat="1" applyFont="1" applyFill="1" applyBorder="1" applyAlignment="1">
      <alignment horizontal="center" vertical="center" wrapText="1"/>
    </xf>
    <xf numFmtId="0" fontId="21" fillId="2" borderId="0" xfId="3" applyNumberFormat="1" applyFont="1" applyFill="1" applyBorder="1" applyAlignment="1">
      <alignment horizontal="center" vertical="center"/>
    </xf>
    <xf numFmtId="1" fontId="17" fillId="2" borderId="10" xfId="16" applyNumberFormat="1" applyFont="1" applyFill="1" applyBorder="1" applyAlignment="1">
      <alignment horizontal="center" vertical="center" shrinkToFit="1"/>
    </xf>
    <xf numFmtId="0" fontId="19" fillId="2" borderId="10" xfId="16" applyFont="1" applyFill="1" applyBorder="1" applyAlignment="1">
      <alignment vertical="center" shrinkToFit="1"/>
    </xf>
    <xf numFmtId="14" fontId="17" fillId="2" borderId="7" xfId="16" applyNumberFormat="1" applyFont="1" applyFill="1" applyBorder="1" applyAlignment="1">
      <alignment vertical="center" shrinkToFit="1"/>
    </xf>
    <xf numFmtId="0" fontId="20" fillId="2" borderId="9" xfId="16" applyNumberFormat="1" applyFont="1" applyFill="1" applyBorder="1" applyAlignment="1">
      <alignment horizontal="center" vertical="center" shrinkToFit="1"/>
    </xf>
    <xf numFmtId="0" fontId="17" fillId="2" borderId="7" xfId="16" applyFont="1" applyFill="1" applyBorder="1" applyAlignment="1">
      <alignment vertical="center" shrinkToFit="1"/>
    </xf>
    <xf numFmtId="0" fontId="17" fillId="2" borderId="7" xfId="16" applyFont="1" applyFill="1" applyBorder="1" applyAlignment="1">
      <alignment horizontal="center" vertical="center" shrinkToFit="1"/>
    </xf>
    <xf numFmtId="0" fontId="17" fillId="2" borderId="9" xfId="16" applyFont="1" applyFill="1" applyBorder="1" applyAlignment="1">
      <alignment horizontal="center" vertical="center" wrapText="1"/>
    </xf>
    <xf numFmtId="165" fontId="18" fillId="2" borderId="0" xfId="2" applyNumberFormat="1" applyFont="1" applyFill="1" applyBorder="1" applyAlignment="1">
      <alignment vertical="center" wrapText="1"/>
    </xf>
    <xf numFmtId="0" fontId="19" fillId="2" borderId="10" xfId="16" applyNumberFormat="1" applyFont="1" applyFill="1" applyBorder="1" applyAlignment="1">
      <alignment vertical="center"/>
    </xf>
    <xf numFmtId="0" fontId="17" fillId="2" borderId="11" xfId="16" applyNumberFormat="1" applyFont="1" applyFill="1" applyBorder="1" applyAlignment="1">
      <alignment vertical="center"/>
    </xf>
    <xf numFmtId="0" fontId="17" fillId="2" borderId="7" xfId="16" applyNumberFormat="1" applyFont="1" applyFill="1" applyBorder="1" applyAlignment="1">
      <alignment vertical="center"/>
    </xf>
    <xf numFmtId="0" fontId="20" fillId="2" borderId="9" xfId="16" applyNumberFormat="1" applyFont="1" applyFill="1" applyBorder="1" applyAlignment="1">
      <alignment vertical="center" shrinkToFit="1"/>
    </xf>
    <xf numFmtId="166" fontId="18" fillId="2" borderId="0" xfId="3" applyNumberFormat="1" applyFont="1" applyFill="1" applyBorder="1" applyAlignment="1">
      <alignment vertical="center" wrapText="1" shrinkToFit="1"/>
    </xf>
    <xf numFmtId="0" fontId="18" fillId="2" borderId="0" xfId="16" applyNumberFormat="1" applyFont="1" applyFill="1" applyAlignment="1">
      <alignment vertical="center"/>
    </xf>
    <xf numFmtId="14" fontId="17" fillId="2" borderId="2" xfId="16" applyNumberFormat="1" applyFont="1" applyFill="1" applyBorder="1" applyAlignment="1">
      <alignment vertical="center" wrapText="1" shrinkToFit="1"/>
    </xf>
    <xf numFmtId="0" fontId="18" fillId="2" borderId="0" xfId="16" applyFont="1" applyFill="1" applyAlignment="1">
      <alignment wrapText="1"/>
    </xf>
    <xf numFmtId="0" fontId="18" fillId="2" borderId="0" xfId="16" applyFont="1" applyFill="1" applyAlignment="1">
      <alignment horizontal="left" wrapText="1"/>
    </xf>
    <xf numFmtId="1" fontId="17" fillId="2" borderId="2" xfId="16" applyNumberFormat="1" applyFont="1" applyFill="1" applyBorder="1" applyAlignment="1">
      <alignment horizontal="left" vertical="center" wrapText="1"/>
    </xf>
    <xf numFmtId="14" fontId="17" fillId="2" borderId="2" xfId="16" applyNumberFormat="1" applyFont="1" applyFill="1" applyBorder="1" applyAlignment="1">
      <alignment vertical="center" wrapText="1"/>
    </xf>
    <xf numFmtId="165" fontId="18" fillId="2" borderId="0" xfId="2" applyNumberFormat="1" applyFont="1" applyFill="1" applyAlignment="1">
      <alignment horizontal="center" vertical="center" wrapText="1"/>
    </xf>
    <xf numFmtId="1" fontId="17" fillId="2" borderId="3" xfId="16" applyNumberFormat="1" applyFont="1" applyFill="1" applyBorder="1" applyAlignment="1">
      <alignment horizontal="center" vertical="center" wrapText="1"/>
    </xf>
    <xf numFmtId="43" fontId="18" fillId="2" borderId="0" xfId="2" applyNumberFormat="1" applyFont="1" applyFill="1" applyBorder="1" applyAlignment="1">
      <alignment horizontal="center" vertical="center" wrapText="1"/>
    </xf>
    <xf numFmtId="49" fontId="22" fillId="4" borderId="12" xfId="0" applyNumberFormat="1" applyFont="1" applyFill="1" applyBorder="1" applyAlignment="1">
      <alignment horizontal="center" vertical="center"/>
    </xf>
    <xf numFmtId="0" fontId="22" fillId="5" borderId="12" xfId="0" applyNumberFormat="1" applyFont="1" applyFill="1" applyBorder="1" applyAlignment="1">
      <alignment horizontal="right" vertical="center"/>
    </xf>
    <xf numFmtId="49" fontId="22" fillId="5" borderId="12" xfId="0" applyNumberFormat="1" applyFont="1" applyFill="1" applyBorder="1" applyAlignment="1">
      <alignment horizontal="left" vertical="center"/>
    </xf>
    <xf numFmtId="14" fontId="22" fillId="5" borderId="12" xfId="0" applyNumberFormat="1" applyFont="1" applyFill="1" applyBorder="1" applyAlignment="1">
      <alignment horizontal="left" vertical="center"/>
    </xf>
    <xf numFmtId="167" fontId="22" fillId="5" borderId="12" xfId="0" applyNumberFormat="1" applyFont="1" applyFill="1" applyBorder="1" applyAlignment="1">
      <alignment horizontal="right" vertical="center"/>
    </xf>
    <xf numFmtId="1" fontId="22" fillId="5" borderId="12" xfId="0" applyNumberFormat="1" applyFont="1" applyFill="1" applyBorder="1" applyAlignment="1">
      <alignment horizontal="left" vertical="center"/>
    </xf>
    <xf numFmtId="0" fontId="23" fillId="2" borderId="0" xfId="16" applyFont="1" applyFill="1"/>
    <xf numFmtId="14" fontId="0" fillId="0" borderId="0" xfId="0" applyNumberFormat="1"/>
    <xf numFmtId="1" fontId="25" fillId="2" borderId="0" xfId="16" applyNumberFormat="1" applyFont="1" applyFill="1" applyBorder="1"/>
    <xf numFmtId="0" fontId="26" fillId="2" borderId="3" xfId="16" applyFont="1" applyFill="1" applyBorder="1" applyAlignment="1">
      <alignment vertical="center" shrinkToFit="1"/>
    </xf>
    <xf numFmtId="0" fontId="24" fillId="2" borderId="3" xfId="16" applyFont="1" applyFill="1" applyBorder="1" applyAlignment="1">
      <alignment wrapText="1"/>
    </xf>
    <xf numFmtId="0" fontId="24" fillId="2" borderId="3" xfId="16" applyFont="1" applyFill="1" applyBorder="1" applyAlignment="1">
      <alignment vertical="center" wrapText="1"/>
    </xf>
    <xf numFmtId="0" fontId="24" fillId="2" borderId="0" xfId="16" applyFont="1" applyFill="1" applyBorder="1" applyAlignment="1">
      <alignment wrapText="1"/>
    </xf>
    <xf numFmtId="0" fontId="27" fillId="2" borderId="0" xfId="16" applyFont="1" applyFill="1" applyAlignment="1">
      <alignment horizontal="center" vertical="center"/>
    </xf>
    <xf numFmtId="0" fontId="27" fillId="2" borderId="0" xfId="16" applyFont="1" applyFill="1"/>
    <xf numFmtId="49" fontId="27" fillId="2" borderId="0" xfId="16" applyNumberFormat="1" applyFont="1" applyFill="1" applyAlignment="1">
      <alignment horizontal="center" vertical="center"/>
    </xf>
    <xf numFmtId="0" fontId="26" fillId="2" borderId="3" xfId="16" applyFont="1" applyFill="1" applyBorder="1" applyAlignment="1">
      <alignment horizontal="center" vertical="center" shrinkToFit="1"/>
    </xf>
    <xf numFmtId="14" fontId="17" fillId="2" borderId="10" xfId="16" applyNumberFormat="1" applyFont="1" applyFill="1" applyBorder="1" applyAlignment="1">
      <alignment vertical="center" wrapText="1"/>
    </xf>
    <xf numFmtId="0" fontId="26" fillId="2" borderId="3" xfId="16" applyFont="1" applyFill="1" applyBorder="1" applyAlignment="1">
      <alignment horizontal="center" vertical="center" shrinkToFit="1"/>
    </xf>
    <xf numFmtId="0" fontId="17" fillId="2" borderId="1" xfId="17" applyFont="1" applyFill="1" applyBorder="1" applyAlignment="1">
      <alignment horizontal="left" vertical="center" wrapText="1"/>
    </xf>
    <xf numFmtId="0" fontId="17" fillId="2" borderId="2" xfId="17" applyFont="1" applyFill="1" applyBorder="1" applyAlignment="1">
      <alignment horizontal="left" vertical="center" wrapText="1"/>
    </xf>
    <xf numFmtId="1" fontId="17" fillId="0" borderId="8" xfId="16" applyNumberFormat="1" applyFont="1" applyFill="1" applyBorder="1" applyAlignment="1">
      <alignment horizontal="center" vertical="center"/>
    </xf>
    <xf numFmtId="1" fontId="17" fillId="0" borderId="5" xfId="16" applyNumberFormat="1" applyFont="1" applyFill="1" applyBorder="1" applyAlignment="1">
      <alignment horizontal="center" vertical="center"/>
    </xf>
    <xf numFmtId="1" fontId="17" fillId="0" borderId="6" xfId="16" applyNumberFormat="1" applyFont="1" applyFill="1" applyBorder="1" applyAlignment="1">
      <alignment horizontal="center" vertical="center"/>
    </xf>
    <xf numFmtId="1" fontId="17" fillId="0" borderId="0" xfId="16" applyNumberFormat="1" applyFont="1" applyFill="1" applyBorder="1" applyAlignment="1">
      <alignment horizontal="center" vertical="center"/>
    </xf>
    <xf numFmtId="1" fontId="17" fillId="0" borderId="4" xfId="16" applyNumberFormat="1" applyFont="1" applyFill="1" applyBorder="1" applyAlignment="1">
      <alignment horizontal="center" vertical="center"/>
    </xf>
    <xf numFmtId="1" fontId="17" fillId="0" borderId="3" xfId="16" applyNumberFormat="1" applyFont="1" applyFill="1" applyBorder="1" applyAlignment="1">
      <alignment horizontal="center" vertical="center"/>
    </xf>
    <xf numFmtId="14" fontId="17" fillId="2" borderId="9" xfId="16" applyNumberFormat="1" applyFont="1" applyFill="1" applyBorder="1" applyAlignment="1">
      <alignment horizontal="center" vertical="center" wrapText="1" shrinkToFit="1"/>
    </xf>
    <xf numFmtId="1" fontId="17" fillId="0" borderId="5" xfId="16" applyNumberFormat="1" applyFont="1" applyFill="1" applyBorder="1" applyAlignment="1">
      <alignment horizontal="center" vertical="center" wrapText="1"/>
    </xf>
    <xf numFmtId="1" fontId="17" fillId="0" borderId="13" xfId="16" applyNumberFormat="1" applyFont="1" applyFill="1" applyBorder="1" applyAlignment="1">
      <alignment horizontal="center" vertical="center" wrapText="1"/>
    </xf>
    <xf numFmtId="1" fontId="17" fillId="0" borderId="0" xfId="16" applyNumberFormat="1" applyFont="1" applyFill="1" applyBorder="1" applyAlignment="1">
      <alignment horizontal="center" vertical="center" wrapText="1"/>
    </xf>
    <xf numFmtId="1" fontId="17" fillId="0" borderId="14" xfId="16" applyNumberFormat="1" applyFont="1" applyFill="1" applyBorder="1" applyAlignment="1">
      <alignment horizontal="center" vertical="center" wrapText="1"/>
    </xf>
    <xf numFmtId="1" fontId="17" fillId="0" borderId="3" xfId="16" applyNumberFormat="1" applyFont="1" applyFill="1" applyBorder="1" applyAlignment="1">
      <alignment horizontal="center" vertical="center" wrapText="1"/>
    </xf>
    <xf numFmtId="1" fontId="17" fillId="0" borderId="11" xfId="16" applyNumberFormat="1" applyFont="1" applyFill="1" applyBorder="1" applyAlignment="1">
      <alignment horizontal="center" vertical="center" wrapText="1"/>
    </xf>
  </cellXfs>
  <cellStyles count="22">
    <cellStyle name="Comma" xfId="1" builtinId="3"/>
    <cellStyle name="Comma 2" xfId="2"/>
    <cellStyle name="Comma 2 2" xfId="3"/>
    <cellStyle name="Comma 3" xfId="4"/>
    <cellStyle name="Comma 7" xfId="5"/>
    <cellStyle name="Hyperlink 2" xfId="6"/>
    <cellStyle name="Hyperlink 3" xfId="7"/>
    <cellStyle name="Hyperlink 4" xfId="8"/>
    <cellStyle name="Normal" xfId="0" builtinId="0"/>
    <cellStyle name="Normal 2" xfId="9"/>
    <cellStyle name="Normal 2 2" xfId="10"/>
    <cellStyle name="Normal 2_LICH SX T07-2013" xfId="11"/>
    <cellStyle name="Normal 3" xfId="12"/>
    <cellStyle name="Normal 4" xfId="13"/>
    <cellStyle name="Normal 5" xfId="14"/>
    <cellStyle name="Normal 6" xfId="15"/>
    <cellStyle name="Normal 7" xfId="21"/>
    <cellStyle name="Normal_kế hoạch 3 bộ phận" xfId="16"/>
    <cellStyle name="Normal_locMonalisa_TIẾN ĐỘ SẢN XUẤT TACH TO 2012" xfId="17"/>
    <cellStyle name="Percent 2" xfId="18"/>
    <cellStyle name="Percent 3" xfId="19"/>
    <cellStyle name="一般_LUONG04 05 06 01" xfId="20"/>
  </cellStyles>
  <dxfs count="37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140</xdr:col>
      <xdr:colOff>509822</xdr:colOff>
      <xdr:row>0</xdr:row>
      <xdr:rowOff>0</xdr:rowOff>
    </xdr:from>
    <xdr:to>
      <xdr:col>140</xdr:col>
      <xdr:colOff>1082727</xdr:colOff>
      <xdr:row>0</xdr:row>
      <xdr:rowOff>89589</xdr:rowOff>
    </xdr:to>
    <xdr:pic macro="[0]!MENU">
      <xdr:nvPicPr>
        <xdr:cNvPr id="242657" name="Picture 4">
          <a:extLst>
            <a:ext uri="{FF2B5EF4-FFF2-40B4-BE49-F238E27FC236}">
              <a16:creationId xmlns:a16="http://schemas.microsoft.com/office/drawing/2014/main" id="{00000000-0008-0000-0100-0000E1B30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77507" y="0"/>
          <a:ext cx="600942" cy="61232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344</xdr:col>
          <xdr:colOff>1304925</xdr:colOff>
          <xdr:row>25918</xdr:row>
          <xdr:rowOff>95250</xdr:rowOff>
        </xdr:from>
        <xdr:to>
          <xdr:col>344</xdr:col>
          <xdr:colOff>1323975</xdr:colOff>
          <xdr:row>25924</xdr:row>
          <xdr:rowOff>57150</xdr:rowOff>
        </xdr:to>
        <xdr:sp macro="" textlink="">
          <xdr:nvSpPr>
            <xdr:cNvPr id="16419" name="CommandButton1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1181100</xdr:colOff>
          <xdr:row>26493</xdr:row>
          <xdr:rowOff>114300</xdr:rowOff>
        </xdr:from>
        <xdr:to>
          <xdr:col>345</xdr:col>
          <xdr:colOff>1209675</xdr:colOff>
          <xdr:row>26523</xdr:row>
          <xdr:rowOff>123825</xdr:rowOff>
        </xdr:to>
        <xdr:sp macro="" textlink="">
          <xdr:nvSpPr>
            <xdr:cNvPr id="16420" name="CommandButton2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1181100</xdr:colOff>
          <xdr:row>31441</xdr:row>
          <xdr:rowOff>57150</xdr:rowOff>
        </xdr:from>
        <xdr:to>
          <xdr:col>345</xdr:col>
          <xdr:colOff>1219200</xdr:colOff>
          <xdr:row>31504</xdr:row>
          <xdr:rowOff>95250</xdr:rowOff>
        </xdr:to>
        <xdr:sp macro="" textlink="">
          <xdr:nvSpPr>
            <xdr:cNvPr id="16421" name="CommandButton3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1181100</xdr:colOff>
          <xdr:row>31441</xdr:row>
          <xdr:rowOff>57150</xdr:rowOff>
        </xdr:from>
        <xdr:to>
          <xdr:col>345</xdr:col>
          <xdr:colOff>1219200</xdr:colOff>
          <xdr:row>31504</xdr:row>
          <xdr:rowOff>95250</xdr:rowOff>
        </xdr:to>
        <xdr:sp macro="" textlink="">
          <xdr:nvSpPr>
            <xdr:cNvPr id="16422" name="CommandButton4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1181100</xdr:colOff>
          <xdr:row>31441</xdr:row>
          <xdr:rowOff>57150</xdr:rowOff>
        </xdr:from>
        <xdr:to>
          <xdr:col>345</xdr:col>
          <xdr:colOff>1219200</xdr:colOff>
          <xdr:row>31504</xdr:row>
          <xdr:rowOff>95250</xdr:rowOff>
        </xdr:to>
        <xdr:sp macro="" textlink="">
          <xdr:nvSpPr>
            <xdr:cNvPr id="16423" name="CommandButton5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1181100</xdr:colOff>
          <xdr:row>31441</xdr:row>
          <xdr:rowOff>57150</xdr:rowOff>
        </xdr:from>
        <xdr:to>
          <xdr:col>345</xdr:col>
          <xdr:colOff>1219200</xdr:colOff>
          <xdr:row>31504</xdr:row>
          <xdr:rowOff>95250</xdr:rowOff>
        </xdr:to>
        <xdr:sp macro="" textlink="">
          <xdr:nvSpPr>
            <xdr:cNvPr id="16424" name="CommandButton6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1181100</xdr:colOff>
          <xdr:row>31441</xdr:row>
          <xdr:rowOff>57150</xdr:rowOff>
        </xdr:from>
        <xdr:to>
          <xdr:col>345</xdr:col>
          <xdr:colOff>1219200</xdr:colOff>
          <xdr:row>31504</xdr:row>
          <xdr:rowOff>95250</xdr:rowOff>
        </xdr:to>
        <xdr:sp macro="" textlink="">
          <xdr:nvSpPr>
            <xdr:cNvPr id="16425" name="CommandButton7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1200150</xdr:colOff>
          <xdr:row>22715</xdr:row>
          <xdr:rowOff>47625</xdr:rowOff>
        </xdr:from>
        <xdr:to>
          <xdr:col>345</xdr:col>
          <xdr:colOff>1200150</xdr:colOff>
          <xdr:row>26898</xdr:row>
          <xdr:rowOff>19050</xdr:rowOff>
        </xdr:to>
        <xdr:sp macro="" textlink="">
          <xdr:nvSpPr>
            <xdr:cNvPr id="16426" name="CommandButton8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1200150</xdr:colOff>
          <xdr:row>3602</xdr:row>
          <xdr:rowOff>104775</xdr:rowOff>
        </xdr:from>
        <xdr:to>
          <xdr:col>345</xdr:col>
          <xdr:colOff>1200150</xdr:colOff>
          <xdr:row>21829</xdr:row>
          <xdr:rowOff>104775</xdr:rowOff>
        </xdr:to>
        <xdr:sp macro="" textlink="">
          <xdr:nvSpPr>
            <xdr:cNvPr id="16427" name="CommandButton9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1200150</xdr:colOff>
          <xdr:row>3602</xdr:row>
          <xdr:rowOff>104775</xdr:rowOff>
        </xdr:from>
        <xdr:to>
          <xdr:col>345</xdr:col>
          <xdr:colOff>1200150</xdr:colOff>
          <xdr:row>21829</xdr:row>
          <xdr:rowOff>104775</xdr:rowOff>
        </xdr:to>
        <xdr:sp macro="" textlink="">
          <xdr:nvSpPr>
            <xdr:cNvPr id="16428" name="CommandButton10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345</xdr:col>
          <xdr:colOff>1200150</xdr:colOff>
          <xdr:row>3602</xdr:row>
          <xdr:rowOff>104775</xdr:rowOff>
        </xdr:from>
        <xdr:to>
          <xdr:col>345</xdr:col>
          <xdr:colOff>1200150</xdr:colOff>
          <xdr:row>21829</xdr:row>
          <xdr:rowOff>104775</xdr:rowOff>
        </xdr:to>
        <xdr:sp macro="" textlink="">
          <xdr:nvSpPr>
            <xdr:cNvPr id="16429" name="CommandButton11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344</xdr:col>
          <xdr:colOff>19050</xdr:colOff>
          <xdr:row>19617</xdr:row>
          <xdr:rowOff>142875</xdr:rowOff>
        </xdr:from>
        <xdr:to>
          <xdr:col>345</xdr:col>
          <xdr:colOff>1200150</xdr:colOff>
          <xdr:row>19617</xdr:row>
          <xdr:rowOff>142875</xdr:rowOff>
        </xdr:to>
        <xdr:sp macro="" textlink="">
          <xdr:nvSpPr>
            <xdr:cNvPr id="16431" name="Label1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rotWithShape="1">
          <a:gsLst>
            <a:gs pos="0">
              <a:srgbClr val="2E82AB"/>
            </a:gs>
            <a:gs pos="50000">
              <a:srgbClr val="006699"/>
            </a:gs>
            <a:gs pos="100000">
              <a:srgbClr val="2E82AB"/>
            </a:gs>
          </a:gsLst>
          <a:lin ang="5400000" scaled="1"/>
        </a:gradFill>
        <a:ln>
          <a:noFill/>
        </a:ln>
      </a:spPr>
      <a:bodyPr vertOverflow="clip" wrap="square" lIns="90000" tIns="36000" rIns="90000" bIns="46800" anchor="ctr" upright="1"/>
      <a:lstStyle>
        <a:defPPr marL="0" indent="0" algn="ctr" rtl="0">
          <a:defRPr sz="1000" b="1" i="0" u="none" strike="noStrike" baseline="0">
            <a:solidFill>
              <a:srgbClr val="FFC000"/>
            </a:solidFill>
            <a:latin typeface="Tahoma"/>
            <a:ea typeface="Tahoma"/>
            <a:cs typeface="Tahoma"/>
          </a:defRPr>
        </a:defPPr>
      </a:lst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8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AV41"/>
  <sheetViews>
    <sheetView topLeftCell="K1" workbookViewId="0">
      <selection activeCell="C7" sqref="C7"/>
    </sheetView>
  </sheetViews>
  <sheetFormatPr defaultRowHeight="15.75"/>
  <cols>
    <col min="1" max="1" width="5.375" bestFit="1" customWidth="1"/>
    <col min="2" max="2" width="11.625" bestFit="1" customWidth="1"/>
    <col min="3" max="3" width="9.875" bestFit="1" customWidth="1"/>
    <col min="4" max="4" width="11" customWidth="1"/>
    <col min="5" max="5" width="8.875" bestFit="1" customWidth="1"/>
    <col min="6" max="6" width="19" bestFit="1" customWidth="1"/>
    <col min="7" max="7" width="24.125" bestFit="1" customWidth="1"/>
    <col min="8" max="8" width="6" bestFit="1" customWidth="1"/>
    <col min="9" max="9" width="6.75" bestFit="1" customWidth="1"/>
    <col min="10" max="10" width="8.375" bestFit="1" customWidth="1"/>
    <col min="11" max="11" width="11" bestFit="1" customWidth="1"/>
    <col min="12" max="13" width="9.625" bestFit="1" customWidth="1"/>
    <col min="14" max="14" width="4.75" bestFit="1" customWidth="1"/>
    <col min="15" max="15" width="9" bestFit="1" customWidth="1"/>
    <col min="16" max="16" width="9.25" bestFit="1" customWidth="1"/>
    <col min="17" max="17" width="13.5" bestFit="1" customWidth="1"/>
    <col min="18" max="18" width="7" bestFit="1" customWidth="1"/>
    <col min="19" max="19" width="4.875" bestFit="1" customWidth="1"/>
    <col min="20" max="21" width="7.875" bestFit="1" customWidth="1"/>
    <col min="22" max="22" width="5.125" bestFit="1" customWidth="1"/>
    <col min="23" max="23" width="10.625" bestFit="1" customWidth="1"/>
    <col min="24" max="24" width="4.125" bestFit="1" customWidth="1"/>
    <col min="25" max="25" width="8.25" bestFit="1" customWidth="1"/>
    <col min="26" max="26" width="7.25" bestFit="1" customWidth="1"/>
    <col min="27" max="27" width="8" bestFit="1" customWidth="1"/>
    <col min="28" max="28" width="9.25" bestFit="1" customWidth="1"/>
    <col min="29" max="29" width="7.875" bestFit="1" customWidth="1"/>
    <col min="30" max="30" width="9.375" bestFit="1" customWidth="1"/>
    <col min="31" max="31" width="5" bestFit="1" customWidth="1"/>
    <col min="32" max="32" width="5.25" bestFit="1" customWidth="1"/>
    <col min="33" max="33" width="7.875" bestFit="1" customWidth="1"/>
    <col min="34" max="34" width="12.5" bestFit="1" customWidth="1"/>
    <col min="35" max="35" width="6.125" bestFit="1" customWidth="1"/>
    <col min="36" max="36" width="7.125" bestFit="1" customWidth="1"/>
    <col min="37" max="37" width="7.875" bestFit="1" customWidth="1"/>
    <col min="38" max="38" width="11" bestFit="1" customWidth="1"/>
    <col min="39" max="39" width="7.875" bestFit="1" customWidth="1"/>
    <col min="40" max="40" width="5.875" bestFit="1" customWidth="1"/>
    <col min="41" max="41" width="7.125" bestFit="1" customWidth="1"/>
    <col min="42" max="42" width="56.75" bestFit="1" customWidth="1"/>
    <col min="43" max="43" width="14.75" bestFit="1" customWidth="1"/>
    <col min="44" max="44" width="11.875" bestFit="1" customWidth="1"/>
    <col min="45" max="45" width="7.875" bestFit="1" customWidth="1"/>
    <col min="46" max="46" width="10.875" bestFit="1" customWidth="1"/>
    <col min="47" max="47" width="7.25" bestFit="1" customWidth="1"/>
    <col min="48" max="48" width="5.375" bestFit="1" customWidth="1"/>
  </cols>
  <sheetData>
    <row r="1" spans="1:48" ht="12.75" customHeight="1">
      <c r="A1" s="68" t="s">
        <v>34</v>
      </c>
      <c r="B1" s="68" t="s">
        <v>35</v>
      </c>
      <c r="C1" s="68" t="s">
        <v>36</v>
      </c>
      <c r="D1" s="68" t="s">
        <v>37</v>
      </c>
      <c r="E1" s="68" t="s">
        <v>38</v>
      </c>
      <c r="F1" s="68" t="s">
        <v>72</v>
      </c>
      <c r="G1" s="68" t="s">
        <v>73</v>
      </c>
      <c r="H1" s="68" t="s">
        <v>74</v>
      </c>
      <c r="I1" s="68" t="s">
        <v>39</v>
      </c>
      <c r="J1" s="68" t="s">
        <v>28</v>
      </c>
      <c r="K1" s="68" t="s">
        <v>40</v>
      </c>
      <c r="L1" s="68" t="s">
        <v>41</v>
      </c>
      <c r="M1" s="68" t="s">
        <v>42</v>
      </c>
      <c r="N1" s="68" t="s">
        <v>43</v>
      </c>
      <c r="O1" s="68" t="s">
        <v>29</v>
      </c>
      <c r="P1" s="68" t="s">
        <v>44</v>
      </c>
      <c r="Q1" s="68" t="s">
        <v>45</v>
      </c>
      <c r="R1" s="68" t="s">
        <v>67</v>
      </c>
      <c r="S1" s="68" t="s">
        <v>48</v>
      </c>
      <c r="T1" s="68" t="s">
        <v>49</v>
      </c>
      <c r="U1" s="68" t="s">
        <v>82</v>
      </c>
      <c r="V1" s="68" t="s">
        <v>50</v>
      </c>
      <c r="W1" s="68" t="s">
        <v>68</v>
      </c>
      <c r="X1" s="68" t="s">
        <v>51</v>
      </c>
      <c r="Y1" s="68" t="s">
        <v>53</v>
      </c>
      <c r="Z1" s="68" t="s">
        <v>55</v>
      </c>
      <c r="AA1" s="68" t="s">
        <v>52</v>
      </c>
      <c r="AB1" s="68" t="s">
        <v>54</v>
      </c>
      <c r="AC1" s="68" t="s">
        <v>57</v>
      </c>
      <c r="AD1" s="68" t="s">
        <v>58</v>
      </c>
      <c r="AE1" s="68" t="s">
        <v>59</v>
      </c>
      <c r="AF1" s="68" t="s">
        <v>61</v>
      </c>
      <c r="AG1" s="68" t="s">
        <v>62</v>
      </c>
      <c r="AH1" s="68" t="s">
        <v>56</v>
      </c>
      <c r="AI1" s="68" t="s">
        <v>64</v>
      </c>
      <c r="AJ1" s="68" t="s">
        <v>65</v>
      </c>
      <c r="AK1" s="68" t="s">
        <v>60</v>
      </c>
      <c r="AL1" s="68" t="s">
        <v>63</v>
      </c>
      <c r="AM1" s="68" t="s">
        <v>20</v>
      </c>
      <c r="AN1" s="68" t="s">
        <v>69</v>
      </c>
      <c r="AO1" s="68" t="s">
        <v>25</v>
      </c>
      <c r="AP1" s="68" t="s">
        <v>46</v>
      </c>
      <c r="AQ1" s="68" t="s">
        <v>47</v>
      </c>
      <c r="AR1" s="68" t="s">
        <v>70</v>
      </c>
      <c r="AS1" s="68" t="s">
        <v>71</v>
      </c>
      <c r="AT1" s="68" t="s">
        <v>75</v>
      </c>
      <c r="AU1" s="68" t="s">
        <v>76</v>
      </c>
      <c r="AV1" s="68" t="s">
        <v>84</v>
      </c>
    </row>
    <row r="2" spans="1:48" ht="15.75" customHeight="1">
      <c r="A2" s="69">
        <v>310199</v>
      </c>
      <c r="B2" s="70" t="s">
        <v>88</v>
      </c>
      <c r="C2" s="71">
        <v>43777</v>
      </c>
      <c r="D2" s="70" t="s">
        <v>96</v>
      </c>
      <c r="E2" s="70" t="s">
        <v>97</v>
      </c>
      <c r="F2" s="70" t="s">
        <v>98</v>
      </c>
      <c r="G2" s="70" t="s">
        <v>99</v>
      </c>
      <c r="H2" s="69">
        <v>8424</v>
      </c>
      <c r="I2" s="69">
        <v>1</v>
      </c>
      <c r="J2" s="72">
        <v>8424</v>
      </c>
      <c r="K2" s="72">
        <v>0</v>
      </c>
      <c r="L2" s="72">
        <v>8424</v>
      </c>
      <c r="M2" s="70" t="s">
        <v>100</v>
      </c>
      <c r="N2" s="70" t="s">
        <v>101</v>
      </c>
      <c r="O2" s="71">
        <v>43777</v>
      </c>
      <c r="P2" s="71">
        <v>43833</v>
      </c>
      <c r="Q2" s="70" t="s">
        <v>102</v>
      </c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>
        <v>43829</v>
      </c>
      <c r="AF2" s="73"/>
      <c r="AG2" s="73"/>
      <c r="AH2" s="73"/>
      <c r="AI2" s="73"/>
      <c r="AJ2" s="73">
        <v>43824</v>
      </c>
      <c r="AK2" s="71">
        <v>43836</v>
      </c>
      <c r="AL2" s="71"/>
      <c r="AM2" s="71"/>
      <c r="AN2" s="73"/>
      <c r="AO2" s="73"/>
      <c r="AP2" s="70" t="s">
        <v>103</v>
      </c>
      <c r="AQ2" s="70" t="s">
        <v>89</v>
      </c>
      <c r="AR2" s="70" t="s">
        <v>104</v>
      </c>
      <c r="AS2" s="70" t="s">
        <v>85</v>
      </c>
      <c r="AT2" s="70" t="s">
        <v>101</v>
      </c>
      <c r="AU2" s="70" t="s">
        <v>90</v>
      </c>
      <c r="AV2" s="69">
        <v>298165</v>
      </c>
    </row>
    <row r="3" spans="1:48" ht="15.75" customHeight="1">
      <c r="A3" s="69">
        <v>310200</v>
      </c>
      <c r="B3" s="70" t="s">
        <v>88</v>
      </c>
      <c r="C3" s="71">
        <v>43777</v>
      </c>
      <c r="D3" s="70" t="s">
        <v>96</v>
      </c>
      <c r="E3" s="70" t="s">
        <v>97</v>
      </c>
      <c r="F3" s="70" t="s">
        <v>105</v>
      </c>
      <c r="G3" s="70" t="s">
        <v>99</v>
      </c>
      <c r="H3" s="69">
        <v>8424</v>
      </c>
      <c r="I3" s="69">
        <v>1</v>
      </c>
      <c r="J3" s="72">
        <v>8424</v>
      </c>
      <c r="K3" s="72">
        <v>0</v>
      </c>
      <c r="L3" s="72">
        <v>8424</v>
      </c>
      <c r="M3" s="70" t="s">
        <v>100</v>
      </c>
      <c r="N3" s="70" t="s">
        <v>101</v>
      </c>
      <c r="O3" s="71">
        <v>43777</v>
      </c>
      <c r="P3" s="71">
        <v>43833</v>
      </c>
      <c r="Q3" s="70" t="s">
        <v>102</v>
      </c>
      <c r="R3" s="73"/>
      <c r="S3" s="73"/>
      <c r="T3" s="71"/>
      <c r="U3" s="71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1">
        <v>43804</v>
      </c>
      <c r="AH3" s="71"/>
      <c r="AI3" s="73"/>
      <c r="AJ3" s="73"/>
      <c r="AK3" s="71"/>
      <c r="AL3" s="71"/>
      <c r="AM3" s="71"/>
      <c r="AN3" s="73"/>
      <c r="AO3" s="73"/>
      <c r="AP3" s="70" t="s">
        <v>103</v>
      </c>
      <c r="AQ3" s="70" t="s">
        <v>89</v>
      </c>
      <c r="AR3" s="70" t="s">
        <v>104</v>
      </c>
      <c r="AS3" s="70" t="s">
        <v>85</v>
      </c>
      <c r="AT3" s="70" t="s">
        <v>101</v>
      </c>
      <c r="AU3" s="70" t="s">
        <v>90</v>
      </c>
      <c r="AV3" s="69">
        <v>298165</v>
      </c>
    </row>
    <row r="4" spans="1:48" ht="15.75" customHeight="1">
      <c r="A4" s="69">
        <v>310201</v>
      </c>
      <c r="B4" s="70" t="s">
        <v>88</v>
      </c>
      <c r="C4" s="71">
        <v>43777</v>
      </c>
      <c r="D4" s="70" t="s">
        <v>96</v>
      </c>
      <c r="E4" s="70" t="s">
        <v>97</v>
      </c>
      <c r="F4" s="70" t="s">
        <v>106</v>
      </c>
      <c r="G4" s="70" t="s">
        <v>99</v>
      </c>
      <c r="H4" s="69">
        <v>8424</v>
      </c>
      <c r="I4" s="69">
        <v>1</v>
      </c>
      <c r="J4" s="72">
        <v>8424</v>
      </c>
      <c r="K4" s="72">
        <v>0</v>
      </c>
      <c r="L4" s="72">
        <v>8424</v>
      </c>
      <c r="M4" s="70" t="s">
        <v>100</v>
      </c>
      <c r="N4" s="70" t="s">
        <v>101</v>
      </c>
      <c r="O4" s="71">
        <v>43777</v>
      </c>
      <c r="P4" s="71">
        <v>43833</v>
      </c>
      <c r="Q4" s="70" t="s">
        <v>102</v>
      </c>
      <c r="R4" s="73"/>
      <c r="S4" s="73"/>
      <c r="T4" s="71"/>
      <c r="U4" s="71">
        <v>43813</v>
      </c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1">
        <v>43804</v>
      </c>
      <c r="AH4" s="73"/>
      <c r="AI4" s="73"/>
      <c r="AJ4" s="73"/>
      <c r="AK4" s="71"/>
      <c r="AL4" s="71"/>
      <c r="AM4" s="71"/>
      <c r="AN4" s="73"/>
      <c r="AO4" s="73"/>
      <c r="AP4" s="70" t="s">
        <v>103</v>
      </c>
      <c r="AQ4" s="70" t="s">
        <v>89</v>
      </c>
      <c r="AR4" s="70" t="s">
        <v>104</v>
      </c>
      <c r="AS4" s="70" t="s">
        <v>85</v>
      </c>
      <c r="AT4" s="70" t="s">
        <v>101</v>
      </c>
      <c r="AU4" s="70" t="s">
        <v>90</v>
      </c>
      <c r="AV4" s="69">
        <v>298165</v>
      </c>
    </row>
    <row r="5" spans="1:48" ht="15.75" customHeight="1">
      <c r="A5" s="69">
        <v>310202</v>
      </c>
      <c r="B5" s="70" t="s">
        <v>88</v>
      </c>
      <c r="C5" s="71">
        <v>43777</v>
      </c>
      <c r="D5" s="70" t="s">
        <v>96</v>
      </c>
      <c r="E5" s="70" t="s">
        <v>97</v>
      </c>
      <c r="F5" s="70" t="s">
        <v>107</v>
      </c>
      <c r="G5" s="70" t="s">
        <v>99</v>
      </c>
      <c r="H5" s="69">
        <v>8424</v>
      </c>
      <c r="I5" s="69">
        <v>2</v>
      </c>
      <c r="J5" s="72">
        <v>8424</v>
      </c>
      <c r="K5" s="72">
        <v>0</v>
      </c>
      <c r="L5" s="72">
        <v>16848</v>
      </c>
      <c r="M5" s="70" t="s">
        <v>100</v>
      </c>
      <c r="N5" s="70" t="s">
        <v>101</v>
      </c>
      <c r="O5" s="71">
        <v>43777</v>
      </c>
      <c r="P5" s="71">
        <v>43833</v>
      </c>
      <c r="Q5" s="70" t="s">
        <v>102</v>
      </c>
      <c r="R5" s="73"/>
      <c r="S5" s="73"/>
      <c r="T5" s="73">
        <v>43801</v>
      </c>
      <c r="U5" s="71">
        <v>43813</v>
      </c>
      <c r="V5" s="73"/>
      <c r="W5" s="73"/>
      <c r="X5" s="73"/>
      <c r="Y5" s="73"/>
      <c r="Z5" s="73"/>
      <c r="AA5" s="73"/>
      <c r="AB5" s="73"/>
      <c r="AC5" s="71"/>
      <c r="AD5" s="73"/>
      <c r="AE5" s="73"/>
      <c r="AF5" s="71"/>
      <c r="AG5" s="71">
        <v>43817</v>
      </c>
      <c r="AH5" s="73"/>
      <c r="AI5" s="73"/>
      <c r="AJ5" s="73"/>
      <c r="AK5" s="71"/>
      <c r="AL5" s="71"/>
      <c r="AM5" s="71"/>
      <c r="AN5" s="73"/>
      <c r="AO5" s="73"/>
      <c r="AP5" s="70" t="s">
        <v>103</v>
      </c>
      <c r="AQ5" s="70" t="s">
        <v>89</v>
      </c>
      <c r="AR5" s="70" t="s">
        <v>104</v>
      </c>
      <c r="AS5" s="70" t="s">
        <v>85</v>
      </c>
      <c r="AT5" s="70" t="s">
        <v>101</v>
      </c>
      <c r="AU5" s="70" t="s">
        <v>90</v>
      </c>
      <c r="AV5" s="69">
        <v>298165</v>
      </c>
    </row>
    <row r="6" spans="1:48" ht="15.75" customHeight="1">
      <c r="A6" s="69">
        <v>310203</v>
      </c>
      <c r="B6" s="70" t="s">
        <v>88</v>
      </c>
      <c r="C6" s="71">
        <v>43777</v>
      </c>
      <c r="D6" s="70" t="s">
        <v>96</v>
      </c>
      <c r="E6" s="70" t="s">
        <v>97</v>
      </c>
      <c r="F6" s="70" t="s">
        <v>108</v>
      </c>
      <c r="G6" s="70" t="s">
        <v>99</v>
      </c>
      <c r="H6" s="69">
        <v>8424</v>
      </c>
      <c r="I6" s="69">
        <v>1</v>
      </c>
      <c r="J6" s="72">
        <v>8424</v>
      </c>
      <c r="K6" s="72">
        <v>0</v>
      </c>
      <c r="L6" s="72">
        <v>8424</v>
      </c>
      <c r="M6" s="70" t="s">
        <v>100</v>
      </c>
      <c r="N6" s="70" t="s">
        <v>101</v>
      </c>
      <c r="O6" s="71">
        <v>43777</v>
      </c>
      <c r="P6" s="71">
        <v>43833</v>
      </c>
      <c r="Q6" s="70" t="s">
        <v>102</v>
      </c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>
        <v>43813</v>
      </c>
      <c r="AK6" s="73"/>
      <c r="AL6" s="73"/>
      <c r="AM6" s="73"/>
      <c r="AN6" s="73"/>
      <c r="AO6" s="73"/>
      <c r="AP6" s="70" t="s">
        <v>103</v>
      </c>
      <c r="AQ6" s="70" t="s">
        <v>89</v>
      </c>
      <c r="AR6" s="70" t="s">
        <v>104</v>
      </c>
      <c r="AS6" s="70" t="s">
        <v>85</v>
      </c>
      <c r="AT6" s="70" t="s">
        <v>101</v>
      </c>
      <c r="AU6" s="70" t="s">
        <v>90</v>
      </c>
      <c r="AV6" s="69">
        <v>298165</v>
      </c>
    </row>
    <row r="7" spans="1:48" ht="15.75" customHeight="1">
      <c r="A7" s="69">
        <v>310204</v>
      </c>
      <c r="B7" s="70" t="s">
        <v>88</v>
      </c>
      <c r="C7" s="71">
        <v>43777</v>
      </c>
      <c r="D7" s="70" t="s">
        <v>96</v>
      </c>
      <c r="E7" s="70" t="s">
        <v>97</v>
      </c>
      <c r="F7" s="70" t="s">
        <v>109</v>
      </c>
      <c r="G7" s="70" t="s">
        <v>99</v>
      </c>
      <c r="H7" s="69">
        <v>8424</v>
      </c>
      <c r="I7" s="69">
        <v>1</v>
      </c>
      <c r="J7" s="72">
        <v>8424</v>
      </c>
      <c r="K7" s="72">
        <v>0</v>
      </c>
      <c r="L7" s="72">
        <v>8424</v>
      </c>
      <c r="M7" s="70" t="s">
        <v>100</v>
      </c>
      <c r="N7" s="70" t="s">
        <v>101</v>
      </c>
      <c r="O7" s="71">
        <v>43777</v>
      </c>
      <c r="P7" s="71">
        <v>43833</v>
      </c>
      <c r="Q7" s="70" t="s">
        <v>102</v>
      </c>
      <c r="R7" s="73"/>
      <c r="S7" s="73"/>
      <c r="T7" s="71"/>
      <c r="U7" s="71"/>
      <c r="V7" s="73"/>
      <c r="W7" s="73"/>
      <c r="X7" s="73"/>
      <c r="Y7" s="73"/>
      <c r="Z7" s="73"/>
      <c r="AA7" s="73"/>
      <c r="AB7" s="73"/>
      <c r="AC7" s="71"/>
      <c r="AD7" s="73"/>
      <c r="AE7" s="73"/>
      <c r="AF7" s="73"/>
      <c r="AG7" s="73"/>
      <c r="AH7" s="71"/>
      <c r="AI7" s="73"/>
      <c r="AJ7" s="73">
        <v>43813</v>
      </c>
      <c r="AK7" s="71"/>
      <c r="AL7" s="71"/>
      <c r="AM7" s="71"/>
      <c r="AN7" s="73"/>
      <c r="AO7" s="73"/>
      <c r="AP7" s="70" t="s">
        <v>103</v>
      </c>
      <c r="AQ7" s="70" t="s">
        <v>89</v>
      </c>
      <c r="AR7" s="70" t="s">
        <v>104</v>
      </c>
      <c r="AS7" s="70" t="s">
        <v>85</v>
      </c>
      <c r="AT7" s="70" t="s">
        <v>101</v>
      </c>
      <c r="AU7" s="70" t="s">
        <v>90</v>
      </c>
      <c r="AV7" s="69">
        <v>298165</v>
      </c>
    </row>
    <row r="8" spans="1:48" ht="15.75" customHeight="1">
      <c r="A8" s="69">
        <v>310205</v>
      </c>
      <c r="B8" s="70" t="s">
        <v>88</v>
      </c>
      <c r="C8" s="71">
        <v>43777</v>
      </c>
      <c r="D8" s="70" t="s">
        <v>96</v>
      </c>
      <c r="E8" s="70" t="s">
        <v>97</v>
      </c>
      <c r="F8" s="70" t="s">
        <v>110</v>
      </c>
      <c r="G8" s="70" t="s">
        <v>99</v>
      </c>
      <c r="H8" s="69">
        <v>8424</v>
      </c>
      <c r="I8" s="69">
        <v>1</v>
      </c>
      <c r="J8" s="72">
        <v>8424</v>
      </c>
      <c r="K8" s="72">
        <v>0</v>
      </c>
      <c r="L8" s="72">
        <v>8424</v>
      </c>
      <c r="M8" s="70" t="s">
        <v>100</v>
      </c>
      <c r="N8" s="70" t="s">
        <v>101</v>
      </c>
      <c r="O8" s="71">
        <v>43777</v>
      </c>
      <c r="P8" s="71">
        <v>43833</v>
      </c>
      <c r="Q8" s="70" t="s">
        <v>102</v>
      </c>
      <c r="R8" s="73"/>
      <c r="S8" s="73"/>
      <c r="T8" s="71"/>
      <c r="U8" s="71">
        <v>43813</v>
      </c>
      <c r="V8" s="73"/>
      <c r="W8" s="73"/>
      <c r="X8" s="73"/>
      <c r="Y8" s="73"/>
      <c r="Z8" s="73"/>
      <c r="AA8" s="73"/>
      <c r="AB8" s="73"/>
      <c r="AC8" s="71"/>
      <c r="AD8" s="73"/>
      <c r="AE8" s="73"/>
      <c r="AF8" s="73"/>
      <c r="AG8" s="73"/>
      <c r="AH8" s="71"/>
      <c r="AI8" s="73"/>
      <c r="AJ8" s="73"/>
      <c r="AK8" s="71"/>
      <c r="AL8" s="71">
        <v>43815</v>
      </c>
      <c r="AM8" s="71">
        <v>43816</v>
      </c>
      <c r="AN8" s="73"/>
      <c r="AO8" s="73"/>
      <c r="AP8" s="70" t="s">
        <v>103</v>
      </c>
      <c r="AQ8" s="70" t="s">
        <v>89</v>
      </c>
      <c r="AR8" s="70" t="s">
        <v>104</v>
      </c>
      <c r="AS8" s="70" t="s">
        <v>85</v>
      </c>
      <c r="AT8" s="70" t="s">
        <v>101</v>
      </c>
      <c r="AU8" s="70" t="s">
        <v>90</v>
      </c>
      <c r="AV8" s="69">
        <v>298165</v>
      </c>
    </row>
    <row r="9" spans="1:48" ht="15.75" customHeight="1">
      <c r="A9" s="69">
        <v>310206</v>
      </c>
      <c r="B9" s="70" t="s">
        <v>88</v>
      </c>
      <c r="C9" s="71">
        <v>43777</v>
      </c>
      <c r="D9" s="70" t="s">
        <v>96</v>
      </c>
      <c r="E9" s="70" t="s">
        <v>97</v>
      </c>
      <c r="F9" s="70" t="s">
        <v>111</v>
      </c>
      <c r="G9" s="70" t="s">
        <v>99</v>
      </c>
      <c r="H9" s="69">
        <v>8424</v>
      </c>
      <c r="I9" s="69">
        <v>1</v>
      </c>
      <c r="J9" s="72">
        <v>8424</v>
      </c>
      <c r="K9" s="72">
        <v>0</v>
      </c>
      <c r="L9" s="72">
        <v>8424</v>
      </c>
      <c r="M9" s="70" t="s">
        <v>100</v>
      </c>
      <c r="N9" s="70" t="s">
        <v>101</v>
      </c>
      <c r="O9" s="71">
        <v>43777</v>
      </c>
      <c r="P9" s="71">
        <v>43833</v>
      </c>
      <c r="Q9" s="70" t="s">
        <v>102</v>
      </c>
      <c r="R9" s="73"/>
      <c r="S9" s="73"/>
      <c r="T9" s="71">
        <v>43801</v>
      </c>
      <c r="U9" s="71">
        <v>43813</v>
      </c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1"/>
      <c r="AL9" s="71"/>
      <c r="AM9" s="71"/>
      <c r="AN9" s="73"/>
      <c r="AO9" s="73"/>
      <c r="AP9" s="70" t="s">
        <v>103</v>
      </c>
      <c r="AQ9" s="70" t="s">
        <v>112</v>
      </c>
      <c r="AR9" s="70" t="s">
        <v>104</v>
      </c>
      <c r="AS9" s="70" t="s">
        <v>85</v>
      </c>
      <c r="AT9" s="70" t="s">
        <v>101</v>
      </c>
      <c r="AU9" s="70" t="s">
        <v>90</v>
      </c>
      <c r="AV9" s="69">
        <v>298165</v>
      </c>
    </row>
    <row r="10" spans="1:48" ht="15.75" customHeight="1">
      <c r="A10" s="69">
        <v>310207</v>
      </c>
      <c r="B10" s="70" t="s">
        <v>88</v>
      </c>
      <c r="C10" s="71">
        <v>43777</v>
      </c>
      <c r="D10" s="70" t="s">
        <v>96</v>
      </c>
      <c r="E10" s="70" t="s">
        <v>97</v>
      </c>
      <c r="F10" s="70" t="s">
        <v>113</v>
      </c>
      <c r="G10" s="70" t="s">
        <v>99</v>
      </c>
      <c r="H10" s="69">
        <v>8424</v>
      </c>
      <c r="I10" s="69">
        <v>4</v>
      </c>
      <c r="J10" s="72">
        <v>8424</v>
      </c>
      <c r="K10" s="72">
        <v>0</v>
      </c>
      <c r="L10" s="72">
        <v>33696</v>
      </c>
      <c r="M10" s="70" t="s">
        <v>100</v>
      </c>
      <c r="N10" s="70" t="s">
        <v>101</v>
      </c>
      <c r="O10" s="71">
        <v>43777</v>
      </c>
      <c r="P10" s="71">
        <v>43833</v>
      </c>
      <c r="Q10" s="70" t="s">
        <v>102</v>
      </c>
      <c r="R10" s="73"/>
      <c r="S10" s="73"/>
      <c r="T10" s="71">
        <v>43806</v>
      </c>
      <c r="U10" s="71">
        <v>43819</v>
      </c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1"/>
      <c r="AL10" s="71">
        <v>43820</v>
      </c>
      <c r="AM10" s="71">
        <v>43822</v>
      </c>
      <c r="AN10" s="73"/>
      <c r="AO10" s="73"/>
      <c r="AP10" s="70" t="s">
        <v>103</v>
      </c>
      <c r="AQ10" s="70" t="s">
        <v>89</v>
      </c>
      <c r="AR10" s="70" t="s">
        <v>104</v>
      </c>
      <c r="AS10" s="70" t="s">
        <v>85</v>
      </c>
      <c r="AT10" s="70" t="s">
        <v>101</v>
      </c>
      <c r="AU10" s="70" t="s">
        <v>90</v>
      </c>
      <c r="AV10" s="69">
        <v>298165</v>
      </c>
    </row>
    <row r="11" spans="1:48" ht="15.75" customHeight="1">
      <c r="A11" s="69">
        <v>310209</v>
      </c>
      <c r="B11" s="70" t="s">
        <v>88</v>
      </c>
      <c r="C11" s="71">
        <v>43777</v>
      </c>
      <c r="D11" s="70" t="s">
        <v>96</v>
      </c>
      <c r="E11" s="70" t="s">
        <v>97</v>
      </c>
      <c r="F11" s="70" t="s">
        <v>114</v>
      </c>
      <c r="G11" s="70" t="s">
        <v>99</v>
      </c>
      <c r="H11" s="69">
        <v>8424</v>
      </c>
      <c r="I11" s="69">
        <v>2</v>
      </c>
      <c r="J11" s="72">
        <v>8424</v>
      </c>
      <c r="K11" s="72">
        <v>0</v>
      </c>
      <c r="L11" s="72">
        <v>16848</v>
      </c>
      <c r="M11" s="70" t="s">
        <v>100</v>
      </c>
      <c r="N11" s="70" t="s">
        <v>101</v>
      </c>
      <c r="O11" s="71">
        <v>43777</v>
      </c>
      <c r="P11" s="71">
        <v>43833</v>
      </c>
      <c r="Q11" s="70" t="s">
        <v>102</v>
      </c>
      <c r="R11" s="73"/>
      <c r="S11" s="73"/>
      <c r="T11" s="71">
        <v>43799</v>
      </c>
      <c r="U11" s="71">
        <v>43804</v>
      </c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1"/>
      <c r="AL11" s="71"/>
      <c r="AM11" s="71"/>
      <c r="AN11" s="73"/>
      <c r="AO11" s="73"/>
      <c r="AP11" s="70" t="s">
        <v>103</v>
      </c>
      <c r="AQ11" s="70" t="s">
        <v>112</v>
      </c>
      <c r="AR11" s="70" t="s">
        <v>104</v>
      </c>
      <c r="AS11" s="70" t="s">
        <v>85</v>
      </c>
      <c r="AT11" s="70" t="s">
        <v>101</v>
      </c>
      <c r="AU11" s="70" t="s">
        <v>90</v>
      </c>
      <c r="AV11" s="69">
        <v>298165</v>
      </c>
    </row>
    <row r="12" spans="1:48" ht="15.75" customHeight="1">
      <c r="A12" s="69">
        <v>310210</v>
      </c>
      <c r="B12" s="70" t="s">
        <v>88</v>
      </c>
      <c r="C12" s="71">
        <v>43777</v>
      </c>
      <c r="D12" s="70" t="s">
        <v>96</v>
      </c>
      <c r="E12" s="70" t="s">
        <v>97</v>
      </c>
      <c r="F12" s="70" t="s">
        <v>115</v>
      </c>
      <c r="G12" s="70" t="s">
        <v>99</v>
      </c>
      <c r="H12" s="69">
        <v>8424</v>
      </c>
      <c r="I12" s="69">
        <v>1</v>
      </c>
      <c r="J12" s="72">
        <v>8424</v>
      </c>
      <c r="K12" s="72">
        <v>0</v>
      </c>
      <c r="L12" s="72">
        <v>8424</v>
      </c>
      <c r="M12" s="70" t="s">
        <v>100</v>
      </c>
      <c r="N12" s="70" t="s">
        <v>101</v>
      </c>
      <c r="O12" s="71">
        <v>43777</v>
      </c>
      <c r="P12" s="71">
        <v>43833</v>
      </c>
      <c r="Q12" s="70" t="s">
        <v>102</v>
      </c>
      <c r="R12" s="73"/>
      <c r="S12" s="73"/>
      <c r="T12" s="71">
        <v>43801</v>
      </c>
      <c r="U12" s="71">
        <v>43813</v>
      </c>
      <c r="V12" s="73"/>
      <c r="W12" s="73"/>
      <c r="X12" s="73"/>
      <c r="Y12" s="73"/>
      <c r="Z12" s="73"/>
      <c r="AA12" s="73"/>
      <c r="AB12" s="73"/>
      <c r="AC12" s="71"/>
      <c r="AD12" s="73"/>
      <c r="AE12" s="73"/>
      <c r="AF12" s="73"/>
      <c r="AG12" s="73"/>
      <c r="AH12" s="73"/>
      <c r="AI12" s="73"/>
      <c r="AJ12" s="73"/>
      <c r="AK12" s="71"/>
      <c r="AL12" s="71"/>
      <c r="AM12" s="71"/>
      <c r="AN12" s="73"/>
      <c r="AO12" s="73"/>
      <c r="AP12" s="70" t="s">
        <v>103</v>
      </c>
      <c r="AQ12" s="70" t="s">
        <v>112</v>
      </c>
      <c r="AR12" s="70" t="s">
        <v>104</v>
      </c>
      <c r="AS12" s="70" t="s">
        <v>85</v>
      </c>
      <c r="AT12" s="70" t="s">
        <v>101</v>
      </c>
      <c r="AU12" s="70" t="s">
        <v>90</v>
      </c>
      <c r="AV12" s="69">
        <v>298165</v>
      </c>
    </row>
    <row r="13" spans="1:48" ht="15.75" customHeight="1">
      <c r="A13">
        <v>310211</v>
      </c>
      <c r="B13" t="s">
        <v>88</v>
      </c>
      <c r="C13" s="75">
        <v>43777</v>
      </c>
      <c r="D13" t="s">
        <v>96</v>
      </c>
      <c r="E13" t="s">
        <v>97</v>
      </c>
      <c r="F13" t="s">
        <v>116</v>
      </c>
      <c r="G13" t="s">
        <v>99</v>
      </c>
      <c r="H13">
        <v>8424</v>
      </c>
      <c r="I13">
        <v>1</v>
      </c>
      <c r="J13">
        <v>8424</v>
      </c>
      <c r="K13">
        <v>0</v>
      </c>
      <c r="L13">
        <v>8424</v>
      </c>
      <c r="M13" t="s">
        <v>100</v>
      </c>
      <c r="N13" t="s">
        <v>101</v>
      </c>
      <c r="O13" s="75">
        <v>43777</v>
      </c>
      <c r="P13" s="75">
        <v>43833</v>
      </c>
      <c r="Q13" t="s">
        <v>102</v>
      </c>
      <c r="T13" s="75">
        <v>43801</v>
      </c>
      <c r="U13" s="75">
        <v>43813</v>
      </c>
      <c r="AP13" t="s">
        <v>103</v>
      </c>
      <c r="AQ13" t="s">
        <v>112</v>
      </c>
      <c r="AS13" t="s">
        <v>85</v>
      </c>
      <c r="AT13" t="s">
        <v>101</v>
      </c>
      <c r="AU13" t="s">
        <v>90</v>
      </c>
      <c r="AV13">
        <v>298165</v>
      </c>
    </row>
    <row r="14" spans="1:48" ht="15.75" customHeight="1">
      <c r="C14" s="75"/>
      <c r="O14" s="75"/>
      <c r="P14" s="75"/>
      <c r="AH14" s="75"/>
      <c r="AJ14" s="75"/>
    </row>
    <row r="15" spans="1:48" ht="15.75" customHeight="1">
      <c r="C15" s="75"/>
      <c r="O15" s="75"/>
      <c r="P15" s="75"/>
      <c r="T15" s="75"/>
      <c r="AJ15" s="75"/>
    </row>
    <row r="16" spans="1:48" ht="15.75" customHeight="1">
      <c r="C16" s="75"/>
      <c r="O16" s="75"/>
      <c r="P16" s="75"/>
      <c r="T16" s="75"/>
      <c r="AJ16" s="75"/>
    </row>
    <row r="17" spans="3:37" ht="15.75" customHeight="1">
      <c r="C17" s="75"/>
      <c r="O17" s="75"/>
      <c r="P17" s="75"/>
    </row>
    <row r="18" spans="3:37" ht="15.75" customHeight="1">
      <c r="C18" s="75"/>
      <c r="O18" s="75"/>
      <c r="P18" s="75"/>
    </row>
    <row r="19" spans="3:37" ht="15.75" customHeight="1">
      <c r="C19" s="75"/>
      <c r="O19" s="75"/>
      <c r="P19" s="75"/>
    </row>
    <row r="20" spans="3:37" ht="15.75" customHeight="1">
      <c r="C20" s="75"/>
      <c r="O20" s="75"/>
      <c r="P20" s="75"/>
      <c r="AC20" s="75"/>
      <c r="AK20" s="75"/>
    </row>
    <row r="21" spans="3:37" ht="15.75" customHeight="1">
      <c r="C21" s="75"/>
      <c r="O21" s="75"/>
      <c r="P21" s="75"/>
      <c r="T21" s="75"/>
      <c r="U21" s="75"/>
    </row>
    <row r="22" spans="3:37" ht="15.75" customHeight="1">
      <c r="C22" s="75"/>
      <c r="O22" s="75"/>
      <c r="P22" s="75"/>
      <c r="T22" s="75"/>
      <c r="U22" s="75"/>
    </row>
    <row r="23" spans="3:37" ht="15.75" customHeight="1">
      <c r="C23" s="75"/>
      <c r="O23" s="75"/>
      <c r="P23" s="75"/>
      <c r="T23" s="75"/>
      <c r="U23" s="75"/>
    </row>
    <row r="24" spans="3:37" ht="15.75" customHeight="1">
      <c r="C24" s="75"/>
      <c r="O24" s="75"/>
      <c r="P24" s="75"/>
      <c r="T24" s="75"/>
      <c r="U24" s="75"/>
    </row>
    <row r="25" spans="3:37" ht="15.75" customHeight="1">
      <c r="C25" s="75"/>
      <c r="O25" s="75"/>
      <c r="P25" s="75"/>
      <c r="AC25" s="75"/>
      <c r="AK25" s="75"/>
    </row>
    <row r="26" spans="3:37" ht="15.75" customHeight="1">
      <c r="C26" s="75"/>
      <c r="O26" s="75"/>
      <c r="P26" s="75"/>
    </row>
    <row r="27" spans="3:37" ht="15.75" customHeight="1">
      <c r="C27" s="75"/>
      <c r="O27" s="75"/>
      <c r="P27" s="75"/>
    </row>
    <row r="28" spans="3:37">
      <c r="C28" s="75"/>
      <c r="O28" s="75"/>
      <c r="P28" s="75"/>
    </row>
    <row r="29" spans="3:37">
      <c r="C29" s="75"/>
      <c r="O29" s="75"/>
      <c r="P29" s="75"/>
      <c r="AC29" s="75"/>
      <c r="AK29" s="75"/>
    </row>
    <row r="30" spans="3:37">
      <c r="C30" s="75"/>
      <c r="O30" s="75"/>
      <c r="P30" s="75"/>
      <c r="T30" s="75"/>
      <c r="U30" s="75"/>
    </row>
    <row r="31" spans="3:37">
      <c r="C31" s="75"/>
      <c r="O31" s="75"/>
      <c r="P31" s="75"/>
      <c r="T31" s="75"/>
      <c r="U31" s="75"/>
    </row>
    <row r="32" spans="3:37">
      <c r="C32" s="75"/>
      <c r="O32" s="75"/>
      <c r="P32" s="75"/>
      <c r="T32" s="75"/>
      <c r="U32" s="75"/>
    </row>
    <row r="33" spans="3:37">
      <c r="C33" s="75"/>
      <c r="O33" s="75"/>
      <c r="P33" s="75"/>
      <c r="AC33" s="75"/>
      <c r="AK33" s="75"/>
    </row>
    <row r="34" spans="3:37">
      <c r="C34" s="75"/>
      <c r="O34" s="75"/>
      <c r="P34" s="75"/>
      <c r="T34" s="75"/>
      <c r="U34" s="75"/>
    </row>
    <row r="35" spans="3:37">
      <c r="C35" s="75"/>
      <c r="O35" s="75"/>
      <c r="P35" s="75"/>
    </row>
    <row r="36" spans="3:37">
      <c r="C36" s="75"/>
      <c r="O36" s="75"/>
      <c r="P36" s="75"/>
      <c r="T36" s="75"/>
      <c r="U36" s="75"/>
    </row>
    <row r="37" spans="3:37">
      <c r="C37" s="75"/>
      <c r="O37" s="75"/>
      <c r="P37" s="75"/>
      <c r="T37" s="75"/>
      <c r="U37" s="75"/>
    </row>
    <row r="38" spans="3:37">
      <c r="C38" s="75"/>
      <c r="O38" s="75"/>
      <c r="P38" s="75"/>
      <c r="AC38" s="75"/>
      <c r="AK38" s="75"/>
    </row>
    <row r="39" spans="3:37">
      <c r="C39" s="75"/>
      <c r="O39" s="75"/>
      <c r="P39" s="75"/>
      <c r="T39" s="75"/>
      <c r="U39" s="75"/>
    </row>
    <row r="40" spans="3:37">
      <c r="C40" s="75"/>
      <c r="O40" s="75"/>
      <c r="P40" s="75"/>
      <c r="T40" s="75"/>
      <c r="U40" s="75"/>
    </row>
    <row r="41" spans="3:37">
      <c r="C41" s="75"/>
      <c r="O41" s="75"/>
      <c r="P41" s="75"/>
      <c r="T41" s="75"/>
      <c r="U41" s="75"/>
    </row>
  </sheetData>
  <pageMargins left="1" right="1" top="1" bottom="1" header="0.3" footer="0.3"/>
  <pageSetup orientation="portrait" errors="blank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  <pageSetUpPr fitToPage="1"/>
  </sheetPr>
  <dimension ref="A1:CZ268"/>
  <sheetViews>
    <sheetView showZeros="0" tabSelected="1" topLeftCell="W1" zoomScale="85" zoomScaleNormal="85" workbookViewId="0">
      <selection activeCell="AJ7" sqref="AJ7"/>
    </sheetView>
  </sheetViews>
  <sheetFormatPr defaultColWidth="18.875" defaultRowHeight="15"/>
  <cols>
    <col min="1" max="1" width="1.625" style="42" customWidth="1"/>
    <col min="2" max="2" width="7.875" style="3" bestFit="1" customWidth="1"/>
    <col min="3" max="3" width="13.375" style="61" customWidth="1"/>
    <col min="4" max="4" width="19.5" style="62" customWidth="1"/>
    <col min="5" max="5" width="15.125" style="17" customWidth="1"/>
    <col min="6" max="6" width="23.875" style="61" customWidth="1"/>
    <col min="7" max="7" width="9.25" style="17" customWidth="1"/>
    <col min="8" max="8" width="10.5" style="19" customWidth="1"/>
    <col min="9" max="9" width="11.875" style="19" customWidth="1"/>
    <col min="10" max="10" width="13.75" style="65" customWidth="1"/>
    <col min="11" max="11" width="9.75" style="39" customWidth="1"/>
    <col min="12" max="12" width="11.625" style="39" customWidth="1"/>
    <col min="13" max="13" width="10.5" style="39" customWidth="1"/>
    <col min="14" max="14" width="9.5" style="39" customWidth="1"/>
    <col min="15" max="15" width="10" style="39" customWidth="1"/>
    <col min="16" max="16" width="11.25" style="39" customWidth="1"/>
    <col min="17" max="17" width="10.625" style="39" customWidth="1"/>
    <col min="18" max="18" width="11" style="39" customWidth="1"/>
    <col min="19" max="19" width="10.25" style="40" customWidth="1"/>
    <col min="20" max="20" width="9.75" style="39" customWidth="1"/>
    <col min="21" max="21" width="10.5" style="39" customWidth="1"/>
    <col min="22" max="22" width="10.375" style="39" customWidth="1"/>
    <col min="23" max="23" width="10.75" style="39" customWidth="1"/>
    <col min="24" max="24" width="10" style="39" customWidth="1"/>
    <col min="25" max="25" width="10.125" style="39" customWidth="1"/>
    <col min="26" max="26" width="9.875" style="39" customWidth="1"/>
    <col min="27" max="27" width="15.25" style="39" customWidth="1"/>
    <col min="28" max="28" width="9.75" style="39" customWidth="1"/>
    <col min="29" max="29" width="9.625" style="39" customWidth="1"/>
    <col min="30" max="30" width="10.375" style="39" customWidth="1"/>
    <col min="31" max="31" width="9.875" style="39" customWidth="1"/>
    <col min="32" max="32" width="12.375" style="39" customWidth="1"/>
    <col min="33" max="33" width="22.625" style="39" customWidth="1"/>
    <col min="34" max="34" width="23.875" style="59" customWidth="1"/>
    <col min="35" max="35" width="3.375" style="3" customWidth="1"/>
    <col min="36" max="36" width="5.25" style="3" customWidth="1"/>
    <col min="37" max="37" width="3.375" style="3" customWidth="1"/>
    <col min="38" max="38" width="5.375" style="3" customWidth="1"/>
    <col min="39" max="39" width="18.875" style="3"/>
    <col min="40" max="40" width="1.375" style="3" bestFit="1" customWidth="1"/>
    <col min="41" max="41" width="18.875" style="3"/>
    <col min="42" max="42" width="2.625" style="3" bestFit="1" customWidth="1"/>
    <col min="43" max="43" width="18.5" style="3" bestFit="1" customWidth="1"/>
    <col min="44" max="44" width="25.5" style="3" bestFit="1" customWidth="1"/>
    <col min="45" max="50" width="2.25" style="3" bestFit="1" customWidth="1"/>
    <col min="51" max="51" width="3" style="3" bestFit="1" customWidth="1"/>
    <col min="52" max="52" width="2.75" style="3" bestFit="1" customWidth="1"/>
    <col min="53" max="55" width="3" style="3" bestFit="1" customWidth="1"/>
    <col min="56" max="58" width="18.875" style="3"/>
    <col min="59" max="59" width="1.875" style="3" bestFit="1" customWidth="1"/>
    <col min="60" max="60" width="11.375" style="3" bestFit="1" customWidth="1"/>
    <col min="61" max="61" width="9" style="3" bestFit="1" customWidth="1"/>
    <col min="62" max="62" width="10.5" style="36" bestFit="1" customWidth="1"/>
    <col min="63" max="63" width="10.125" style="36" bestFit="1" customWidth="1"/>
    <col min="64" max="64" width="9" style="3" bestFit="1" customWidth="1"/>
    <col min="65" max="67" width="2.25" style="3" bestFit="1" customWidth="1"/>
    <col min="68" max="68" width="3" style="3" bestFit="1" customWidth="1"/>
    <col min="69" max="69" width="2.75" style="3" bestFit="1" customWidth="1"/>
    <col min="70" max="70" width="9" style="3" bestFit="1" customWidth="1"/>
    <col min="71" max="71" width="10.125" style="3" bestFit="1" customWidth="1"/>
    <col min="72" max="72" width="3" style="3" bestFit="1" customWidth="1"/>
    <col min="73" max="73" width="10.5" style="3" bestFit="1" customWidth="1"/>
    <col min="74" max="74" width="18.875" style="3"/>
    <col min="75" max="75" width="1.875" style="3" bestFit="1" customWidth="1"/>
    <col min="76" max="76" width="13.625" style="3" bestFit="1" customWidth="1"/>
    <col min="77" max="83" width="2.25" style="3" bestFit="1" customWidth="1"/>
    <col min="84" max="84" width="3" style="3" bestFit="1" customWidth="1"/>
    <col min="85" max="85" width="2.75" style="3" bestFit="1" customWidth="1"/>
    <col min="86" max="89" width="3" style="3" bestFit="1" customWidth="1"/>
    <col min="90" max="90" width="18.875" style="3"/>
    <col min="91" max="91" width="1.875" style="3" bestFit="1" customWidth="1"/>
    <col min="92" max="92" width="12.75" style="3" bestFit="1" customWidth="1"/>
    <col min="93" max="99" width="2.25" style="3" bestFit="1" customWidth="1"/>
    <col min="100" max="100" width="3" style="3" bestFit="1" customWidth="1"/>
    <col min="101" max="101" width="2.75" style="3" bestFit="1" customWidth="1"/>
    <col min="102" max="104" width="3" style="3" bestFit="1" customWidth="1"/>
    <col min="105" max="16384" width="18.875" style="3"/>
  </cols>
  <sheetData>
    <row r="1" spans="1:104" s="82" customFormat="1" ht="18.75">
      <c r="A1" s="76" t="s">
        <v>4</v>
      </c>
      <c r="B1" s="86" t="str">
        <f>"MÃ HS: "&amp;INDEX(Sheet!$C$2:$C$7967,$A8)</f>
        <v>MÃ HS: 43777</v>
      </c>
      <c r="C1" s="86"/>
      <c r="D1" s="86"/>
      <c r="E1" s="84"/>
      <c r="F1" s="77" t="s">
        <v>87</v>
      </c>
      <c r="G1" s="84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9"/>
      <c r="AI1" s="80"/>
      <c r="AJ1" s="81"/>
      <c r="AM1" s="83"/>
      <c r="AP1" s="81">
        <v>1</v>
      </c>
      <c r="AQ1" s="82" t="s">
        <v>12</v>
      </c>
    </row>
    <row r="2" spans="1:104">
      <c r="A2" s="41">
        <v>1</v>
      </c>
      <c r="B2" s="87" t="str">
        <f>IF(A8="","",INDEX(Sheet!$AQ$2:$AQ$8941,kehoach!$A$8))</f>
        <v>;#CÓ QUY TRÌNH SẢN XUẤT;#CÓ QUY TRÌNH SẢN XUẤT</v>
      </c>
      <c r="C2" s="88"/>
      <c r="D2" s="88"/>
      <c r="E2" s="88"/>
      <c r="F2" s="88"/>
      <c r="G2" s="88"/>
      <c r="H2" s="88"/>
      <c r="I2" s="88"/>
      <c r="J2" s="88"/>
      <c r="K2" s="5"/>
      <c r="L2" s="5"/>
      <c r="M2" s="6"/>
      <c r="N2" s="7"/>
      <c r="O2" s="7"/>
      <c r="P2" s="7"/>
      <c r="Q2" s="8"/>
      <c r="R2" s="9"/>
      <c r="S2" s="10"/>
      <c r="T2" s="8"/>
      <c r="U2" s="10"/>
      <c r="V2" s="10"/>
      <c r="W2" s="10"/>
      <c r="X2" s="10"/>
      <c r="Y2" s="10"/>
      <c r="Z2" s="10"/>
      <c r="AA2" s="10"/>
      <c r="AB2" s="47"/>
      <c r="AC2" s="10"/>
      <c r="AD2" s="10"/>
      <c r="AE2" s="10"/>
      <c r="AF2" s="10"/>
      <c r="AG2" s="10"/>
      <c r="AH2" s="54"/>
      <c r="AI2" s="1">
        <v>0</v>
      </c>
      <c r="AK2" s="3">
        <v>0</v>
      </c>
      <c r="AM2" s="4"/>
      <c r="AP2" s="2" t="s">
        <v>8</v>
      </c>
      <c r="AQ2" s="3" t="s">
        <v>7</v>
      </c>
      <c r="BJ2" s="3"/>
      <c r="BK2" s="3"/>
    </row>
    <row r="3" spans="1:104">
      <c r="B3" s="89" t="str">
        <f>Sheet!D2</f>
        <v>PSX 19100502</v>
      </c>
      <c r="C3" s="90"/>
      <c r="D3" s="90"/>
      <c r="E3" s="90" t="s">
        <v>0</v>
      </c>
      <c r="F3" s="96" t="str">
        <f>IF($A8="","",INDEX(Sheet!$B$2:$B$7967,$A8))</f>
        <v>Huỳnh Nhật Minh</v>
      </c>
      <c r="G3" s="97"/>
      <c r="H3" s="11" t="str">
        <f>"XẾP LOẠI : "&amp;IF(IF($A8="","",INDEX(Sheet!$AN$2:$AN$7967,$A$8))=1,"VIP",IF(INDEX(Sheet!$AN$2:$AN$7967,$A$8)=2,"VÀNG","TIỀM NĂNG"))</f>
        <v>XẾP LOẠI : TIỀM NĂNG</v>
      </c>
      <c r="I3" s="12"/>
      <c r="J3" s="63"/>
      <c r="K3" s="13"/>
      <c r="L3" s="13"/>
      <c r="M3" s="13"/>
      <c r="N3" s="13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46"/>
      <c r="AC3" s="14"/>
      <c r="AD3" s="14"/>
      <c r="AE3" s="14"/>
      <c r="AF3" s="14"/>
      <c r="AG3" s="14"/>
      <c r="AH3" s="55"/>
      <c r="AI3" s="1">
        <v>0</v>
      </c>
      <c r="AK3" s="15" t="s">
        <v>8</v>
      </c>
      <c r="AQ3" s="16">
        <f ca="1">NOW()</f>
        <v>43803.632677893518</v>
      </c>
      <c r="AR3" s="17" t="str">
        <f ca="1">"NGÀY "&amp;(DAY(AQ3))&amp;" THÁNG "&amp;MONTH(AQ3)&amp;" NĂM "&amp;YEAR(AQ3)</f>
        <v>NGÀY 4 THÁNG 12 NĂM 2019</v>
      </c>
      <c r="BG3" s="18"/>
      <c r="BJ3" s="3"/>
      <c r="BK3" s="3"/>
    </row>
    <row r="4" spans="1:104">
      <c r="A4" s="43" t="s">
        <v>26</v>
      </c>
      <c r="B4" s="91"/>
      <c r="C4" s="92"/>
      <c r="D4" s="92"/>
      <c r="E4" s="92"/>
      <c r="F4" s="98"/>
      <c r="G4" s="99"/>
      <c r="H4" s="11" t="s">
        <v>1</v>
      </c>
      <c r="J4" s="64">
        <f>IF($A8="","",INDEX(Sheet!$O$2:$O$7967,$A$8))</f>
        <v>43777</v>
      </c>
      <c r="K4" s="48"/>
      <c r="L4" s="48"/>
      <c r="M4" s="50"/>
      <c r="N4" s="48"/>
      <c r="O4" s="51"/>
      <c r="P4" s="48"/>
      <c r="Q4" s="48"/>
      <c r="R4" s="48"/>
      <c r="S4" s="48"/>
      <c r="T4" s="48"/>
      <c r="U4" s="51"/>
      <c r="V4" s="48"/>
      <c r="W4" s="48"/>
      <c r="X4" s="51"/>
      <c r="Y4" s="51"/>
      <c r="Z4" s="48"/>
      <c r="AA4" s="51"/>
      <c r="AB4" s="51"/>
      <c r="AC4" s="48"/>
      <c r="AD4" s="48"/>
      <c r="AE4" s="48"/>
      <c r="AF4" s="48"/>
      <c r="AG4" s="51"/>
      <c r="AH4" s="56"/>
      <c r="AI4" s="1"/>
      <c r="AK4" s="74"/>
      <c r="AM4" s="3">
        <v>0</v>
      </c>
      <c r="AN4" s="20" t="s">
        <v>30</v>
      </c>
      <c r="AQ4" s="3" t="s">
        <v>13</v>
      </c>
      <c r="BH4" s="16"/>
      <c r="BJ4" s="3"/>
      <c r="BK4" s="3"/>
    </row>
    <row r="5" spans="1:104">
      <c r="A5" s="43">
        <v>0</v>
      </c>
      <c r="B5" s="93"/>
      <c r="C5" s="94"/>
      <c r="D5" s="94"/>
      <c r="E5" s="94"/>
      <c r="F5" s="100"/>
      <c r="G5" s="101"/>
      <c r="H5" s="11" t="s">
        <v>2</v>
      </c>
      <c r="I5" s="21"/>
      <c r="J5" s="85">
        <f>IF($A8="","",INDEX(Sheet!$P$2:$P$7967,$A$8))</f>
        <v>43833</v>
      </c>
      <c r="K5" s="49" t="str">
        <f ca="1">IF(COUNT(K$8:K$88)&gt;0,1,"")</f>
        <v/>
      </c>
      <c r="L5" s="49" t="str">
        <f t="shared" ref="L5:AG5" ca="1" si="0">IF(COUNT(L$8:L$88)&gt;0,1,"")</f>
        <v/>
      </c>
      <c r="M5" s="49" t="str">
        <f t="shared" ca="1" si="0"/>
        <v/>
      </c>
      <c r="N5" s="49">
        <f t="shared" ca="1" si="0"/>
        <v>1</v>
      </c>
      <c r="O5" s="49">
        <f t="shared" ca="1" si="0"/>
        <v>1</v>
      </c>
      <c r="P5" s="49" t="str">
        <f t="shared" ca="1" si="0"/>
        <v/>
      </c>
      <c r="Q5" s="49" t="str">
        <f t="shared" ca="1" si="0"/>
        <v/>
      </c>
      <c r="R5" s="49" t="str">
        <f t="shared" ca="1" si="0"/>
        <v/>
      </c>
      <c r="S5" s="49" t="str">
        <f t="shared" ca="1" si="0"/>
        <v/>
      </c>
      <c r="T5" s="49" t="str">
        <f t="shared" ca="1" si="0"/>
        <v/>
      </c>
      <c r="U5" s="49" t="str">
        <f t="shared" ca="1" si="0"/>
        <v/>
      </c>
      <c r="V5" s="49" t="str">
        <f t="shared" ca="1" si="0"/>
        <v/>
      </c>
      <c r="W5" s="49" t="str">
        <f t="shared" ca="1" si="0"/>
        <v/>
      </c>
      <c r="X5" s="49" t="str">
        <f t="shared" ca="1" si="0"/>
        <v/>
      </c>
      <c r="Y5" s="49" t="str">
        <f t="shared" ca="1" si="0"/>
        <v/>
      </c>
      <c r="Z5" s="49">
        <f t="shared" ca="1" si="0"/>
        <v>1</v>
      </c>
      <c r="AA5" s="49">
        <f t="shared" ca="1" si="0"/>
        <v>1</v>
      </c>
      <c r="AB5" s="49" t="str">
        <f t="shared" ca="1" si="0"/>
        <v/>
      </c>
      <c r="AC5" s="49">
        <f t="shared" ca="1" si="0"/>
        <v>1</v>
      </c>
      <c r="AD5" s="49">
        <f t="shared" ca="1" si="0"/>
        <v>1</v>
      </c>
      <c r="AE5" s="49">
        <f t="shared" ca="1" si="0"/>
        <v>1</v>
      </c>
      <c r="AF5" s="49" t="str">
        <f t="shared" ca="1" si="0"/>
        <v/>
      </c>
      <c r="AG5" s="49">
        <f t="shared" ca="1" si="0"/>
        <v>1</v>
      </c>
      <c r="AH5" s="57">
        <v>1</v>
      </c>
      <c r="AI5" s="1"/>
      <c r="AR5" s="22" t="s">
        <v>9</v>
      </c>
      <c r="BH5" s="22" t="s">
        <v>9</v>
      </c>
      <c r="BJ5" s="3"/>
      <c r="BK5" s="3"/>
      <c r="BX5" s="22" t="s">
        <v>10</v>
      </c>
      <c r="CN5" s="22" t="s">
        <v>11</v>
      </c>
    </row>
    <row r="6" spans="1:104">
      <c r="A6" s="43"/>
      <c r="B6" s="23"/>
      <c r="C6" s="66"/>
      <c r="E6" s="24"/>
      <c r="F6" s="60"/>
      <c r="G6" s="25"/>
      <c r="H6" s="11"/>
      <c r="J6" s="64"/>
      <c r="K6" s="95" t="s">
        <v>27</v>
      </c>
      <c r="L6" s="95" t="s">
        <v>23</v>
      </c>
      <c r="M6" s="95" t="s">
        <v>25</v>
      </c>
      <c r="N6" s="95" t="s">
        <v>21</v>
      </c>
      <c r="O6" s="95" t="s">
        <v>81</v>
      </c>
      <c r="P6" s="95" t="s">
        <v>66</v>
      </c>
      <c r="Q6" s="95" t="s">
        <v>93</v>
      </c>
      <c r="R6" s="95" t="s">
        <v>32</v>
      </c>
      <c r="S6" s="95" t="s">
        <v>92</v>
      </c>
      <c r="T6" s="95" t="s">
        <v>33</v>
      </c>
      <c r="U6" s="95" t="s">
        <v>31</v>
      </c>
      <c r="V6" s="95" t="s">
        <v>24</v>
      </c>
      <c r="W6" s="95" t="s">
        <v>14</v>
      </c>
      <c r="X6" s="95" t="s">
        <v>15</v>
      </c>
      <c r="Y6" s="95" t="s">
        <v>16</v>
      </c>
      <c r="Z6" s="95" t="s">
        <v>91</v>
      </c>
      <c r="AA6" s="95" t="s">
        <v>17</v>
      </c>
      <c r="AB6" s="95" t="s">
        <v>19</v>
      </c>
      <c r="AC6" s="95" t="s">
        <v>22</v>
      </c>
      <c r="AD6" s="95" t="s">
        <v>117</v>
      </c>
      <c r="AE6" s="95" t="s">
        <v>94</v>
      </c>
      <c r="AF6" s="95" t="s">
        <v>95</v>
      </c>
      <c r="AG6" s="95" t="s">
        <v>18</v>
      </c>
      <c r="AH6" s="95" t="s">
        <v>83</v>
      </c>
      <c r="AI6" s="1"/>
      <c r="AP6" s="2" t="str">
        <f>separ(AP8,"-",2)</f>
        <v xml:space="preserve"> </v>
      </c>
      <c r="AQ6" s="2" t="str">
        <f t="shared" ref="AQ6:AZ6" si="1">separ(AQ8,"-",2)</f>
        <v xml:space="preserve"> </v>
      </c>
      <c r="AR6" s="2" t="str">
        <f t="shared" si="1"/>
        <v xml:space="preserve"> </v>
      </c>
      <c r="AS6" s="2" t="str">
        <f t="shared" si="1"/>
        <v xml:space="preserve"> </v>
      </c>
      <c r="AT6" s="2" t="str">
        <f t="shared" si="1"/>
        <v xml:space="preserve"> </v>
      </c>
      <c r="AU6" s="2" t="str">
        <f t="shared" si="1"/>
        <v xml:space="preserve"> </v>
      </c>
      <c r="AV6" s="2" t="str">
        <f t="shared" si="1"/>
        <v xml:space="preserve"> </v>
      </c>
      <c r="AW6" s="2" t="str">
        <f t="shared" si="1"/>
        <v xml:space="preserve"> </v>
      </c>
      <c r="AX6" s="2" t="str">
        <f t="shared" si="1"/>
        <v xml:space="preserve"> </v>
      </c>
      <c r="AY6" s="2" t="str">
        <f t="shared" si="1"/>
        <v xml:space="preserve"> </v>
      </c>
      <c r="AZ6" s="2" t="str">
        <f t="shared" si="1"/>
        <v xml:space="preserve"> </v>
      </c>
      <c r="BJ6" s="3"/>
      <c r="BK6" s="3"/>
    </row>
    <row r="7" spans="1:104" s="27" customFormat="1" ht="71.25">
      <c r="A7" s="44"/>
      <c r="B7" s="26" t="s">
        <v>86</v>
      </c>
      <c r="C7" s="26" t="s">
        <v>6</v>
      </c>
      <c r="D7" s="26" t="s">
        <v>3</v>
      </c>
      <c r="E7" s="26" t="s">
        <v>80</v>
      </c>
      <c r="F7" s="26" t="s">
        <v>72</v>
      </c>
      <c r="G7" s="26" t="s">
        <v>79</v>
      </c>
      <c r="H7" s="26" t="s">
        <v>78</v>
      </c>
      <c r="I7" s="26" t="s">
        <v>77</v>
      </c>
      <c r="J7" s="52" t="s">
        <v>5</v>
      </c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1"/>
      <c r="AP7" s="28">
        <v>1</v>
      </c>
      <c r="AQ7" s="28">
        <v>2</v>
      </c>
      <c r="AR7" s="28">
        <v>3</v>
      </c>
      <c r="AS7" s="28">
        <v>4</v>
      </c>
      <c r="AT7" s="28">
        <v>5</v>
      </c>
      <c r="AU7" s="28">
        <v>6</v>
      </c>
      <c r="AV7" s="28">
        <v>7</v>
      </c>
      <c r="AW7" s="28">
        <v>8</v>
      </c>
      <c r="AX7" s="28">
        <v>9</v>
      </c>
      <c r="AY7" s="28">
        <v>10</v>
      </c>
      <c r="AZ7" s="28">
        <v>11</v>
      </c>
      <c r="BA7" s="28">
        <v>12</v>
      </c>
      <c r="BB7" s="28">
        <v>13</v>
      </c>
      <c r="BC7" s="28">
        <v>14</v>
      </c>
      <c r="BG7" s="28">
        <v>1</v>
      </c>
      <c r="BH7" s="28">
        <v>2</v>
      </c>
      <c r="BI7" s="28">
        <v>3</v>
      </c>
      <c r="BJ7" s="28">
        <v>4</v>
      </c>
      <c r="BK7" s="28">
        <v>5</v>
      </c>
      <c r="BL7" s="28">
        <v>6</v>
      </c>
      <c r="BM7" s="28">
        <v>7</v>
      </c>
      <c r="BN7" s="28">
        <v>8</v>
      </c>
      <c r="BO7" s="28">
        <v>9</v>
      </c>
      <c r="BP7" s="28">
        <v>10</v>
      </c>
      <c r="BQ7" s="28">
        <v>11</v>
      </c>
      <c r="BR7" s="28">
        <v>12</v>
      </c>
      <c r="BS7" s="28">
        <v>13</v>
      </c>
      <c r="BT7" s="28">
        <v>14</v>
      </c>
      <c r="BU7" s="28">
        <v>15</v>
      </c>
      <c r="BV7" s="28"/>
      <c r="BW7" s="28">
        <v>1</v>
      </c>
      <c r="BX7" s="28">
        <v>2</v>
      </c>
      <c r="BY7" s="28">
        <v>3</v>
      </c>
      <c r="BZ7" s="28">
        <v>4</v>
      </c>
      <c r="CA7" s="28">
        <v>5</v>
      </c>
      <c r="CB7" s="28">
        <v>6</v>
      </c>
      <c r="CC7" s="28">
        <v>7</v>
      </c>
      <c r="CD7" s="28">
        <v>8</v>
      </c>
      <c r="CE7" s="28">
        <v>9</v>
      </c>
      <c r="CF7" s="28">
        <v>10</v>
      </c>
      <c r="CG7" s="28">
        <v>11</v>
      </c>
      <c r="CH7" s="28">
        <v>12</v>
      </c>
      <c r="CI7" s="28">
        <v>13</v>
      </c>
      <c r="CJ7" s="28">
        <v>14</v>
      </c>
      <c r="CK7" s="28">
        <v>15</v>
      </c>
      <c r="CM7" s="28">
        <v>1</v>
      </c>
      <c r="CN7" s="28">
        <v>2</v>
      </c>
      <c r="CO7" s="28">
        <v>3</v>
      </c>
      <c r="CP7" s="28">
        <v>4</v>
      </c>
      <c r="CQ7" s="28">
        <v>5</v>
      </c>
      <c r="CR7" s="28">
        <v>6</v>
      </c>
      <c r="CS7" s="28">
        <v>7</v>
      </c>
      <c r="CT7" s="28">
        <v>8</v>
      </c>
      <c r="CU7" s="28">
        <v>9</v>
      </c>
      <c r="CV7" s="28">
        <v>10</v>
      </c>
      <c r="CW7" s="28">
        <v>11</v>
      </c>
      <c r="CX7" s="28">
        <v>12</v>
      </c>
      <c r="CY7" s="28">
        <v>13</v>
      </c>
      <c r="CZ7" s="28">
        <v>14</v>
      </c>
    </row>
    <row r="8" spans="1:104" s="29" customFormat="1" ht="30">
      <c r="A8" s="45">
        <f>IFERROR(MATCH(B3,Sheet!$D$2:$D$7657,0),"")</f>
        <v>1</v>
      </c>
      <c r="B8" s="29">
        <f ca="1">IF(ROW(A1)&lt;=COUNT($A$6:$A$800),INDEX(Sheet!$A$2:$A$7967,$A8),IF(ROW(A1)=COUNT($A$6:$A$800)+1," ",IF(ROW(A1)=COUNT($A$6:$A$800)+2,"  ","")))</f>
        <v>310199</v>
      </c>
      <c r="C8" s="67" t="str">
        <f>IF($A8="","",INDEX(Sheet!E$2:E$7967,$A8))</f>
        <v>MEC-ST-1000</v>
      </c>
      <c r="D8" s="31" t="str">
        <f ca="1">IF(B5=" ",$AR$1,IF(B8=" ",$AQ$1,IF(A8="","",INDEX(Sheet!G$2:G$7967,$A8))))</f>
        <v>Bộ chân lò nướng</v>
      </c>
      <c r="E8" s="32" t="str">
        <f>IF($A8="","",TEXT(INDEX(Sheet!J$2:J$7967,$A8),"#,#")&amp;" "&amp;INDEX(Sheet!AT$2:AT$7967,$A8))</f>
        <v>8,424 Bộ</v>
      </c>
      <c r="F8" s="53" t="str">
        <f>IF($A8="","",INDEX(Sheet!F$2:F$7967,$A8))</f>
        <v>Hàn lắp ráp thành phẩm(ĐỢT 7)</v>
      </c>
      <c r="G8" s="32">
        <f>IF($A8="","",INDEX(Sheet!I$2:I$7967,$A8))</f>
        <v>1</v>
      </c>
      <c r="H8" s="32">
        <f>IF($A8="","",INDEX(Sheet!L$2:L$7967,$A8))</f>
        <v>8424</v>
      </c>
      <c r="I8" s="32" t="str">
        <f>IF($A8="","",INDEX(Sheet!N$2:N$7967,$A8))</f>
        <v>Bộ</v>
      </c>
      <c r="J8" s="53" t="str">
        <f>IF($A8="","",INDEX(Sheet!AS$2:AS$7967,$A8))</f>
        <v>Bản vẽ</v>
      </c>
      <c r="K8" s="33" t="str">
        <f>IF($A8="","",IF(INDEX(Sheet!S$2:S$7967,$A8)="","",INDEX(Sheet!S$2:S$7967,$A8)))</f>
        <v/>
      </c>
      <c r="L8" s="33" t="str">
        <f>IF($A8="","",IF(INDEX(Sheet!R$2:R$7967,$A8)="","",INDEX(Sheet!R$2:R$7967,$A8)))</f>
        <v/>
      </c>
      <c r="M8" s="33" t="str">
        <f>IF($A8="","",IF(INDEX(Sheet!AO$2:AO$7967,$A8)="","",INDEX(Sheet!AO$2:AO$7967,$A8)))</f>
        <v/>
      </c>
      <c r="N8" s="33" t="str">
        <f>IF($A8="","",IF(INDEX(Sheet!T$2:T$7967,$A8)="","",INDEX(Sheet!T$2:T$7967,$A8)))</f>
        <v/>
      </c>
      <c r="O8" s="33" t="str">
        <f>IF($A8="","",IF(INDEX(Sheet!U$2:U$7967,$A8)="","",INDEX(Sheet!U$2:U$7967,$A8)))</f>
        <v/>
      </c>
      <c r="P8" s="33" t="str">
        <f>IF($A8="","",IF(INDEX(Sheet!W$2:W$7967,$A8)="","",INDEX(Sheet!W$2:W$7967,$A8)))</f>
        <v/>
      </c>
      <c r="Q8" s="33" t="str">
        <f>IF($A8="","",IF(INDEX(Sheet!V$2:V$7967,$A8)="","",INDEX(Sheet!V$2:V$7967,$A8)))</f>
        <v/>
      </c>
      <c r="R8" s="33" t="str">
        <f>IF($A8="","",IF(INDEX(Sheet!Z$2:Z$7967,$A8)="","",INDEX(Sheet!Z$2:Z$7967,$A8)))</f>
        <v/>
      </c>
      <c r="S8" s="33" t="str">
        <f>IF($A8="","",IF(INDEX(Sheet!Y$2:Y$7967,$A8)="","",INDEX(Sheet!Y$2:Y$7967,$A8)))</f>
        <v/>
      </c>
      <c r="T8" s="33" t="str">
        <f>IF($A8="","",IF(INDEX(Sheet!X$2:X$7967,$A8)="","",INDEX(Sheet!X$2:X$7967,$A8)))</f>
        <v/>
      </c>
      <c r="U8" s="33" t="str">
        <f>IF($A8="","",IF(INDEX(Sheet!AA$2:AA$7967,$A8)="","",INDEX(Sheet!AA$2:AA$7967,$A8)))</f>
        <v/>
      </c>
      <c r="V8" s="33" t="str">
        <f>IF($A8="","",IF(INDEX(Sheet!AB$2:AB$7967,$A8)="","",INDEX(Sheet!AB$2:AB$7967,$A8)))</f>
        <v/>
      </c>
      <c r="W8" s="33" t="str">
        <f>IF($A8="","",IF(INDEX(Sheet!AH$2:AH$7967,$A8)="","",INDEX(Sheet!AH$2:AH$7967,$A8)))</f>
        <v/>
      </c>
      <c r="X8" s="33" t="str">
        <f>IF($A8="","",IF(INDEX(Sheet!AC$2:AC$7967,$A8)="","",INDEX(Sheet!AC$2:AC$7967,$A8)))</f>
        <v/>
      </c>
      <c r="Y8" s="33" t="str">
        <f>IF($A8="","",IF(INDEX(Sheet!AD$2:AD$7967,$A8)="","",INDEX(Sheet!AD$2:AD$7967,$A8)))</f>
        <v/>
      </c>
      <c r="Z8" s="33" t="str">
        <f>IF($A8="","",IF(INDEX(Sheet!AL$2:AL$7967,$A8)="","",INDEX(Sheet!AL$2:AL$7967,$A8)))</f>
        <v/>
      </c>
      <c r="AA8" s="33">
        <f>IF($A8="","",IF(INDEX(Sheet!AE$2:AE$7967,$A8)="","",INDEX(Sheet!AE$2:AE$7967,$A8)))</f>
        <v>43829</v>
      </c>
      <c r="AB8" s="33" t="str">
        <f>IF($A8="","",IF(INDEX(Sheet!AF$2:AF$7967,$A8)="","",INDEX(Sheet!AF$2:AF$7967,$A8)))</f>
        <v/>
      </c>
      <c r="AC8" s="33" t="str">
        <f>IF($A8="","",IF(INDEX(Sheet!AG$2:AG$7967,$A8)="","",INDEX(Sheet!AG$2:AG$7967,$A8)))</f>
        <v/>
      </c>
      <c r="AD8" s="33" t="str">
        <f>IF($A8="","",IF(INDEX(Sheet!AM$2:AM$7967,$A8)="","",INDEX(Sheet!AM$2:AM$7967,$A8)))</f>
        <v/>
      </c>
      <c r="AE8" s="33">
        <f>IF($A8="","",IF(INDEX(Sheet!AJ$2:AJ$7967,$A8)="","",INDEX(Sheet!AJ$2:AJ$7967,$A8)))</f>
        <v>43824</v>
      </c>
      <c r="AF8" s="33" t="str">
        <f>IF($A8="","",IF(INDEX(Sheet!AI$2:AI$7967,$A8)="","",INDEX(Sheet!AI$2:AI$7967,$A8)))</f>
        <v/>
      </c>
      <c r="AG8" s="33">
        <f ca="1">IF(D8="duyệt sản xuất"," Bảo Bảo, Ngày "&amp;DAY($J$4)&amp;" Tháng "&amp;MONTH($J$4)&amp;" Năm "&amp;YEAR($J$4),IF(D8="Phê duyệt","NGƯỜI LẬP",IF(D8="Nguyễn Ngọc Thắng","NGUYỄN THỊ MAI",IF($A8="","",INDEX(Sheet!AK$2:AK$7967,$A8)))))</f>
        <v>43836</v>
      </c>
      <c r="AH8" s="58" t="str">
        <f>IF($A8="","",INDEX(Sheet!AR$2:AR$7967,$A8)&amp;" ; "&amp;INDEX(Sheet!M$2:M$7967,$A8))</f>
        <v xml:space="preserve"> ; STĐ Đen &amp; Xi trắng Cr3+ test 48h</v>
      </c>
      <c r="AI8" s="1"/>
      <c r="AK8" s="34"/>
      <c r="BG8" s="35" t="str">
        <f>IFERROR(VALUE(separ(INDEX(Sheet!Q$2:Q$7967,$A8),"-",1)),"")</f>
        <v/>
      </c>
      <c r="BH8" s="35" t="str">
        <f>IFERROR(VALUE(separ(INDEX(Sheet!R$2:R$7967,$A8),"-",1)),"")</f>
        <v/>
      </c>
      <c r="BI8" s="35" t="str">
        <f>IFERROR(VALUE(separ(INDEX(Sheet!S$2:S$7967,$A8),"-",1)),"")</f>
        <v/>
      </c>
      <c r="BJ8" s="35" t="str">
        <f>IFERROR(VALUE(separ(INDEX(Sheet!T$2:T$7967,$A8),"-",1)),"")</f>
        <v/>
      </c>
      <c r="BK8" s="35" t="str">
        <f>IFERROR(VALUE(separ(INDEX(Sheet!U$2:U$7967,$A8),"-",1)),"")</f>
        <v/>
      </c>
      <c r="BL8" s="35" t="str">
        <f>IFERROR(VALUE(separ(INDEX(Sheet!V$2:V$7967,$A8),"-",1)),"")</f>
        <v/>
      </c>
      <c r="BM8" s="35" t="str">
        <f>IFERROR(VALUE(separ(INDEX(Sheet!W$2:W$7967,$A8),"-",1)),"")</f>
        <v/>
      </c>
      <c r="BN8" s="35" t="str">
        <f>IFERROR(VALUE(separ(INDEX(Sheet!X$2:X$7967,$A8),"-",1)),"")</f>
        <v/>
      </c>
      <c r="BO8" s="35" t="str">
        <f>IFERROR(VALUE(separ(INDEX(Sheet!Y$2:Y$7967,$A8),"-",1)),"")</f>
        <v/>
      </c>
      <c r="BP8" s="35" t="str">
        <f>IFERROR(VALUE(separ(INDEX(Sheet!Z$2:Z$7967,$A8),"-",1)),"")</f>
        <v/>
      </c>
      <c r="BQ8" s="35" t="str">
        <f>IFERROR(VALUE(separ(INDEX(Sheet!AA$2:AA$7967,$A8),"-",1)),"")</f>
        <v/>
      </c>
      <c r="BR8" s="35" t="str">
        <f>IFERROR(VALUE(separ(INDEX(Sheet!AB$2:AB$7967,$A8),"-",1)),"")</f>
        <v/>
      </c>
      <c r="BS8" s="35" t="str">
        <f>IFERROR(VALUE(separ(INDEX(Sheet!AC$2:AC$7967,$A8),"-",1)),"")</f>
        <v/>
      </c>
      <c r="BT8" s="35" t="str">
        <f>IFERROR(VALUE(separ(INDEX(Sheet!AD$2:AD$7967,$A8),"-",1)),"")</f>
        <v/>
      </c>
      <c r="BU8" s="35">
        <f>IFERROR(VALUE(separ(INDEX(Sheet!AE$2:AE$7967,$A8),"-",1)),"")</f>
        <v>43829</v>
      </c>
      <c r="BV8" s="35"/>
      <c r="BW8" s="35" t="str">
        <f>IFERROR((separ(INDEX(Sheet!Q$2:Q$7967,$A8),"-",2)),"")</f>
        <v xml:space="preserve"> </v>
      </c>
      <c r="BX8" s="35" t="str">
        <f>IFERROR((separ(INDEX(Sheet!R$2:R$7967,$A8),"-",2)),"")</f>
        <v xml:space="preserve"> </v>
      </c>
      <c r="BY8" s="35" t="str">
        <f>IFERROR((separ(INDEX(Sheet!S$2:S$7967,$A8),"-",2)),"")</f>
        <v xml:space="preserve"> </v>
      </c>
      <c r="BZ8" s="35" t="str">
        <f>IFERROR((separ(INDEX(Sheet!T$2:T$7967,$A8),"-",2)),"")</f>
        <v xml:space="preserve"> </v>
      </c>
      <c r="CA8" s="35" t="str">
        <f>IFERROR((separ(INDEX(Sheet!U$2:U$7967,$A8),"-",2)),"")</f>
        <v xml:space="preserve"> </v>
      </c>
      <c r="CB8" s="35" t="str">
        <f>IFERROR((separ(INDEX(Sheet!V$2:V$7967,$A8),"-",2)),"")</f>
        <v xml:space="preserve"> </v>
      </c>
      <c r="CC8" s="35" t="str">
        <f>IFERROR((separ(INDEX(Sheet!W$2:W$7967,$A8),"-",2)),"")</f>
        <v xml:space="preserve"> </v>
      </c>
      <c r="CD8" s="35" t="str">
        <f>IFERROR((separ(INDEX(Sheet!X$2:X$7967,$A8),"-",2)),"")</f>
        <v xml:space="preserve"> </v>
      </c>
      <c r="CE8" s="35" t="str">
        <f>IFERROR((separ(INDEX(Sheet!Y$2:Y$7967,$A8),"-",2)),"")</f>
        <v xml:space="preserve"> </v>
      </c>
      <c r="CF8" s="35" t="str">
        <f>IFERROR((separ(INDEX(Sheet!Z$2:Z$7967,$A8),"-",2)),"")</f>
        <v xml:space="preserve"> </v>
      </c>
      <c r="CG8" s="35" t="str">
        <f>IFERROR((separ(INDEX(Sheet!AA$2:AA$7967,$A8),"-",2)),"")</f>
        <v xml:space="preserve"> </v>
      </c>
      <c r="CH8" s="35" t="str">
        <f>IFERROR((separ(INDEX(Sheet!AB$2:AB$7967,$A8),"-",2)),"")</f>
        <v xml:space="preserve"> </v>
      </c>
      <c r="CI8" s="35" t="str">
        <f>IFERROR((separ(INDEX(Sheet!AC$2:AC$7967,$A8),"-",2)),"")</f>
        <v xml:space="preserve"> </v>
      </c>
      <c r="CJ8" s="35" t="str">
        <f>IFERROR((separ(INDEX(Sheet!AD$2:AD$7967,$A8),"-",2)),"")</f>
        <v xml:space="preserve"> </v>
      </c>
      <c r="CK8" s="35" t="str">
        <f>IFERROR((separ(INDEX(Sheet!AE$2:AE$7967,$A8),"-",2)),"")</f>
        <v xml:space="preserve"> </v>
      </c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</row>
    <row r="9" spans="1:104" s="29" customFormat="1" ht="30">
      <c r="A9" s="45">
        <f ca="1">IFERROR(MATCH($B$3,OFFSET(Sheet!$D$2,A8,0):'Sheet'!$D$7657,0)+A8,"")</f>
        <v>2</v>
      </c>
      <c r="B9" s="29">
        <f ca="1">IF(ROW(A2)&lt;=COUNT($A$6:$A$800),INDEX(Sheet!$A$2:$A$7967,$A9),IF(ROW(A2)=COUNT($A$6:$A$800)+1," ",IF(ROW(A2)=COUNT($A$6:$A$800)+2,"  ","")))</f>
        <v>310200</v>
      </c>
      <c r="C9" s="67" t="str">
        <f ca="1">IF($A9="","",INDEX(Sheet!E$2:E$7967,$A9))</f>
        <v>MEC-ST-1000</v>
      </c>
      <c r="D9" s="31" t="str">
        <f ca="1">IF(B6=" ",$AR$1,IF(B9=" ",$AQ$1,IF(A9="","",INDEX(Sheet!G$2:G$7967,$A9))))</f>
        <v>Bộ chân lò nướng</v>
      </c>
      <c r="E9" s="32" t="str">
        <f ca="1">IF($A9="","",TEXT(INDEX(Sheet!J$2:J$7967,$A9),"#,#")&amp;" "&amp;INDEX(Sheet!AT$2:AT$7967,$A9))</f>
        <v>8,424 Bộ</v>
      </c>
      <c r="F9" s="53" t="str">
        <f ca="1">IF($A9="","",INDEX(Sheet!F$2:F$7967,$A9))</f>
        <v>CT1: Ty Ø6*307(ĐỢT 7)</v>
      </c>
      <c r="G9" s="32">
        <f ca="1">IF($A9="","",INDEX(Sheet!I$2:I$7967,$A9))</f>
        <v>1</v>
      </c>
      <c r="H9" s="32">
        <f ca="1">IF($A9="","",INDEX(Sheet!L$2:L$7967,$A9))</f>
        <v>8424</v>
      </c>
      <c r="I9" s="32" t="str">
        <f ca="1">IF($A9="","",INDEX(Sheet!N$2:N$7967,$A9))</f>
        <v>Bộ</v>
      </c>
      <c r="J9" s="53" t="str">
        <f ca="1">IF($A9="","",INDEX(Sheet!AS$2:AS$7967,$A9))</f>
        <v>Bản vẽ</v>
      </c>
      <c r="K9" s="33" t="str">
        <f ca="1">IF($A9="","",IF(INDEX(Sheet!S$2:S$7967,$A9)="","",INDEX(Sheet!S$2:S$7967,$A9)))</f>
        <v/>
      </c>
      <c r="L9" s="33" t="str">
        <f ca="1">IF($A9="","",IF(INDEX(Sheet!R$2:R$7967,$A9)="","",INDEX(Sheet!R$2:R$7967,$A9)))</f>
        <v/>
      </c>
      <c r="M9" s="33" t="str">
        <f ca="1">IF($A9="","",IF(INDEX(Sheet!AO$2:AO$7967,$A9)="","",INDEX(Sheet!AO$2:AO$7967,$A9)))</f>
        <v/>
      </c>
      <c r="N9" s="33" t="str">
        <f ca="1">IF($A9="","",IF(INDEX(Sheet!T$2:T$7967,$A9)="","",INDEX(Sheet!T$2:T$7967,$A9)))</f>
        <v/>
      </c>
      <c r="O9" s="33" t="str">
        <f ca="1">IF($A9="","",IF(INDEX(Sheet!U$2:U$7967,$A9)="","",INDEX(Sheet!U$2:U$7967,$A9)))</f>
        <v/>
      </c>
      <c r="P9" s="33" t="str">
        <f ca="1">IF($A9="","",IF(INDEX(Sheet!W$2:W$7967,$A9)="","",INDEX(Sheet!W$2:W$7967,$A9)))</f>
        <v/>
      </c>
      <c r="Q9" s="33" t="str">
        <f ca="1">IF($A9="","",IF(INDEX(Sheet!V$2:V$7967,$A9)="","",INDEX(Sheet!V$2:V$7967,$A9)))</f>
        <v/>
      </c>
      <c r="R9" s="33" t="str">
        <f ca="1">IF($A9="","",IF(INDEX(Sheet!Z$2:Z$7967,$A9)="","",INDEX(Sheet!Z$2:Z$7967,$A9)))</f>
        <v/>
      </c>
      <c r="S9" s="33" t="str">
        <f ca="1">IF($A9="","",IF(INDEX(Sheet!Y$2:Y$7967,$A9)="","",INDEX(Sheet!Y$2:Y$7967,$A9)))</f>
        <v/>
      </c>
      <c r="T9" s="33" t="str">
        <f ca="1">IF($A9="","",IF(INDEX(Sheet!X$2:X$7967,$A9)="","",INDEX(Sheet!X$2:X$7967,$A9)))</f>
        <v/>
      </c>
      <c r="U9" s="33" t="str">
        <f ca="1">IF($A9="","",IF(INDEX(Sheet!AA$2:AA$7967,$A9)="","",INDEX(Sheet!AA$2:AA$7967,$A9)))</f>
        <v/>
      </c>
      <c r="V9" s="33" t="str">
        <f ca="1">IF($A9="","",IF(INDEX(Sheet!AB$2:AB$7967,$A9)="","",INDEX(Sheet!AB$2:AB$7967,$A9)))</f>
        <v/>
      </c>
      <c r="W9" s="33" t="str">
        <f ca="1">IF($A9="","",IF(INDEX(Sheet!AH$2:AH$7967,$A9)="","",INDEX(Sheet!AH$2:AH$7967,$A9)))</f>
        <v/>
      </c>
      <c r="X9" s="33" t="str">
        <f ca="1">IF($A9="","",IF(INDEX(Sheet!AC$2:AC$7967,$A9)="","",INDEX(Sheet!AC$2:AC$7967,$A9)))</f>
        <v/>
      </c>
      <c r="Y9" s="33" t="str">
        <f ca="1">IF($A9="","",IF(INDEX(Sheet!AD$2:AD$7967,$A9)="","",INDEX(Sheet!AD$2:AD$7967,$A9)))</f>
        <v/>
      </c>
      <c r="Z9" s="33" t="str">
        <f ca="1">IF($A9="","",IF(INDEX(Sheet!AL$2:AL$7967,$A9)="","",INDEX(Sheet!AL$2:AL$7967,$A9)))</f>
        <v/>
      </c>
      <c r="AA9" s="33" t="str">
        <f ca="1">IF($A9="","",IF(INDEX(Sheet!AE$2:AE$7967,$A9)="","",INDEX(Sheet!AE$2:AE$7967,$A9)))</f>
        <v/>
      </c>
      <c r="AB9" s="33" t="str">
        <f ca="1">IF($A9="","",IF(INDEX(Sheet!AF$2:AF$7967,$A9)="","",INDEX(Sheet!AF$2:AF$7967,$A9)))</f>
        <v/>
      </c>
      <c r="AC9" s="33">
        <f ca="1">IF($A9="","",IF(INDEX(Sheet!AG$2:AG$7967,$A9)="","",INDEX(Sheet!AG$2:AG$7967,$A9)))</f>
        <v>43804</v>
      </c>
      <c r="AD9" s="33" t="str">
        <f ca="1">IF($A9="","",IF(INDEX(Sheet!AM$2:AM$7967,$A9)="","",INDEX(Sheet!AM$2:AM$7967,$A9)))</f>
        <v/>
      </c>
      <c r="AE9" s="33" t="str">
        <f ca="1">IF($A9="","",IF(INDEX(Sheet!AJ$2:AJ$7967,$A9)="","",INDEX(Sheet!AJ$2:AJ$7967,$A9)))</f>
        <v/>
      </c>
      <c r="AF9" s="33" t="str">
        <f ca="1">IF($A9="","",IF(INDEX(Sheet!AI$2:AI$7967,$A9)="","",INDEX(Sheet!AI$2:AI$7967,$A9)))</f>
        <v/>
      </c>
      <c r="AG9" s="33">
        <f ca="1">IF(D9="duyệt sản xuất"," Bảo Bảo, Ngày "&amp;DAY($J$4)&amp;" Tháng "&amp;MONTH($J$4)&amp;" Năm "&amp;YEAR($J$4),IF(D9="Phê duyệt","NGƯỜI LẬP",IF(D9="Nguyễn Ngọc Thắng","NGUYỄN THỊ MAI",IF($A9="","",INDEX(Sheet!AK$2:AK$7967,$A9)))))</f>
        <v>0</v>
      </c>
      <c r="AH9" s="58" t="str">
        <f ca="1">IF($A9="","",INDEX(Sheet!AR$2:AR$7967,$A9)&amp;" ; "&amp;INDEX(Sheet!M$2:M$7967,$A9))</f>
        <v xml:space="preserve"> ; STĐ Đen &amp; Xi trắng Cr3+ test 48h</v>
      </c>
      <c r="AI9" s="1"/>
      <c r="BG9" s="35" t="str">
        <f ca="1">IFERROR(VALUE(separ(INDEX(Sheet!Q$2:Q$7967,$A9),"-",1)),"")</f>
        <v/>
      </c>
      <c r="BH9" s="35" t="str">
        <f ca="1">IFERROR(VALUE(separ(INDEX(Sheet!R$2:R$7967,$A9),"-",1)),"")</f>
        <v/>
      </c>
      <c r="BI9" s="35" t="str">
        <f ca="1">IFERROR(VALUE(separ(INDEX(Sheet!S$2:S$7967,$A9),"-",1)),"")</f>
        <v/>
      </c>
      <c r="BJ9" s="35" t="str">
        <f ca="1">IFERROR(VALUE(separ(INDEX(Sheet!T$2:T$7967,$A9),"-",1)),"")</f>
        <v/>
      </c>
      <c r="BK9" s="35" t="str">
        <f ca="1">IFERROR(VALUE(separ(INDEX(Sheet!U$2:U$7967,$A9),"-",1)),"")</f>
        <v/>
      </c>
      <c r="BL9" s="35" t="str">
        <f ca="1">IFERROR(VALUE(separ(INDEX(Sheet!V$2:V$7967,$A9),"-",1)),"")</f>
        <v/>
      </c>
      <c r="BM9" s="35" t="str">
        <f ca="1">IFERROR(VALUE(separ(INDEX(Sheet!W$2:W$7967,$A9),"-",1)),"")</f>
        <v/>
      </c>
      <c r="BN9" s="35" t="str">
        <f ca="1">IFERROR(VALUE(separ(INDEX(Sheet!X$2:X$7967,$A9),"-",1)),"")</f>
        <v/>
      </c>
      <c r="BO9" s="35" t="str">
        <f ca="1">IFERROR(VALUE(separ(INDEX(Sheet!Y$2:Y$7967,$A9),"-",1)),"")</f>
        <v/>
      </c>
      <c r="BP9" s="35" t="str">
        <f ca="1">IFERROR(VALUE(separ(INDEX(Sheet!Z$2:Z$7967,$A9),"-",1)),"")</f>
        <v/>
      </c>
      <c r="BQ9" s="35" t="str">
        <f ca="1">IFERROR(VALUE(separ(INDEX(Sheet!AA$2:AA$7967,$A9),"-",1)),"")</f>
        <v/>
      </c>
      <c r="BR9" s="35" t="str">
        <f ca="1">IFERROR(VALUE(separ(INDEX(Sheet!AB$2:AB$7967,$A9),"-",1)),"")</f>
        <v/>
      </c>
      <c r="BS9" s="35" t="str">
        <f ca="1">IFERROR(VALUE(separ(INDEX(Sheet!AC$2:AC$7967,$A9),"-",1)),"")</f>
        <v/>
      </c>
      <c r="BT9" s="35" t="str">
        <f ca="1">IFERROR(VALUE(separ(INDEX(Sheet!AD$2:AD$7967,$A9),"-",1)),"")</f>
        <v/>
      </c>
      <c r="BU9" s="35" t="str">
        <f ca="1">IFERROR(VALUE(separ(INDEX(Sheet!AE$2:AE$7967,$A9),"-",1)),"")</f>
        <v/>
      </c>
      <c r="BV9" s="35"/>
      <c r="BW9" s="35" t="str">
        <f ca="1">IFERROR((separ(INDEX(Sheet!Q$2:Q$7967,$A9),"-",2)),"")</f>
        <v xml:space="preserve"> </v>
      </c>
      <c r="BX9" s="35" t="str">
        <f ca="1">IFERROR((separ(INDEX(Sheet!R$2:R$7967,$A9),"-",2)),"")</f>
        <v xml:space="preserve"> </v>
      </c>
      <c r="BY9" s="35" t="str">
        <f ca="1">IFERROR((separ(INDEX(Sheet!S$2:S$7967,$A9),"-",2)),"")</f>
        <v xml:space="preserve"> </v>
      </c>
      <c r="BZ9" s="35" t="str">
        <f ca="1">IFERROR((separ(INDEX(Sheet!T$2:T$7967,$A9),"-",2)),"")</f>
        <v xml:space="preserve"> </v>
      </c>
      <c r="CA9" s="35" t="str">
        <f ca="1">IFERROR((separ(INDEX(Sheet!U$2:U$7967,$A9),"-",2)),"")</f>
        <v xml:space="preserve"> </v>
      </c>
      <c r="CB9" s="35" t="str">
        <f ca="1">IFERROR((separ(INDEX(Sheet!V$2:V$7967,$A9),"-",2)),"")</f>
        <v xml:space="preserve"> </v>
      </c>
      <c r="CC9" s="35" t="str">
        <f ca="1">IFERROR((separ(INDEX(Sheet!W$2:W$7967,$A9),"-",2)),"")</f>
        <v xml:space="preserve"> </v>
      </c>
      <c r="CD9" s="35" t="str">
        <f ca="1">IFERROR((separ(INDEX(Sheet!X$2:X$7967,$A9),"-",2)),"")</f>
        <v xml:space="preserve"> </v>
      </c>
      <c r="CE9" s="35" t="str">
        <f ca="1">IFERROR((separ(INDEX(Sheet!Y$2:Y$7967,$A9),"-",2)),"")</f>
        <v xml:space="preserve"> </v>
      </c>
      <c r="CF9" s="35" t="str">
        <f ca="1">IFERROR((separ(INDEX(Sheet!Z$2:Z$7967,$A9),"-",2)),"")</f>
        <v xml:space="preserve"> </v>
      </c>
      <c r="CG9" s="35" t="str">
        <f ca="1">IFERROR((separ(INDEX(Sheet!AA$2:AA$7967,$A9),"-",2)),"")</f>
        <v xml:space="preserve"> </v>
      </c>
      <c r="CH9" s="35" t="str">
        <f ca="1">IFERROR((separ(INDEX(Sheet!AB$2:AB$7967,$A9),"-",2)),"")</f>
        <v xml:space="preserve"> </v>
      </c>
      <c r="CI9" s="35" t="str">
        <f ca="1">IFERROR((separ(INDEX(Sheet!AC$2:AC$7967,$A9),"-",2)),"")</f>
        <v xml:space="preserve"> </v>
      </c>
      <c r="CJ9" s="35" t="str">
        <f ca="1">IFERROR((separ(INDEX(Sheet!AD$2:AD$7967,$A9),"-",2)),"")</f>
        <v xml:space="preserve"> </v>
      </c>
      <c r="CK9" s="35" t="str">
        <f ca="1">IFERROR((separ(INDEX(Sheet!AE$2:AE$7967,$A9),"-",2)),"")</f>
        <v xml:space="preserve"> </v>
      </c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</row>
    <row r="10" spans="1:104" s="29" customFormat="1" ht="30">
      <c r="A10" s="45">
        <f ca="1">IFERROR(MATCH($B$3,OFFSET(Sheet!$D$2,A9,0):'Sheet'!$D$7657,0)+A9,"")</f>
        <v>3</v>
      </c>
      <c r="B10" s="29">
        <f ca="1">IF(ROW(A3)&lt;=COUNT($A$6:$A$800),INDEX(Sheet!$A$2:$A$7967,$A10),IF(ROW(A3)=COUNT($A$6:$A$800)+1," ",IF(ROW(A3)=COUNT($A$6:$A$800)+2,"  ","")))</f>
        <v>310201</v>
      </c>
      <c r="C10" s="67" t="str">
        <f ca="1">IF($A10="","",INDEX(Sheet!E$2:E$7967,$A10))</f>
        <v>MEC-ST-1000</v>
      </c>
      <c r="D10" s="31" t="str">
        <f ca="1">IF(B7=" ",$AR$1,IF(B10=" ",$AQ$1,IF(A10="","",INDEX(Sheet!G$2:G$7967,$A10))))</f>
        <v>Bộ chân lò nướng</v>
      </c>
      <c r="E10" s="32" t="str">
        <f ca="1">IF($A10="","",TEXT(INDEX(Sheet!J$2:J$7967,$A10),"#,#")&amp;" "&amp;INDEX(Sheet!AT$2:AT$7967,$A10))</f>
        <v>8,424 Bộ</v>
      </c>
      <c r="F10" s="53" t="str">
        <f ca="1">IF($A10="","",INDEX(Sheet!F$2:F$7967,$A10))</f>
        <v>CT2: Pát quai(ĐỢT 7)</v>
      </c>
      <c r="G10" s="32">
        <f ca="1">IF($A10="","",INDEX(Sheet!I$2:I$7967,$A10))</f>
        <v>1</v>
      </c>
      <c r="H10" s="32">
        <f ca="1">IF($A10="","",INDEX(Sheet!L$2:L$7967,$A10))</f>
        <v>8424</v>
      </c>
      <c r="I10" s="32" t="str">
        <f ca="1">IF($A10="","",INDEX(Sheet!N$2:N$7967,$A10))</f>
        <v>Bộ</v>
      </c>
      <c r="J10" s="53" t="str">
        <f ca="1">IF($A10="","",INDEX(Sheet!AS$2:AS$7967,$A10))</f>
        <v>Bản vẽ</v>
      </c>
      <c r="K10" s="33" t="str">
        <f ca="1">IF($A10="","",IF(INDEX(Sheet!S$2:S$7967,$A10)="","",INDEX(Sheet!S$2:S$7967,$A10)))</f>
        <v/>
      </c>
      <c r="L10" s="33" t="str">
        <f ca="1">IF($A10="","",IF(INDEX(Sheet!R$2:R$7967,$A10)="","",INDEX(Sheet!R$2:R$7967,$A10)))</f>
        <v/>
      </c>
      <c r="M10" s="33" t="str">
        <f ca="1">IF($A10="","",IF(INDEX(Sheet!AO$2:AO$7967,$A10)="","",INDEX(Sheet!AO$2:AO$7967,$A10)))</f>
        <v/>
      </c>
      <c r="N10" s="33" t="str">
        <f ca="1">IF($A10="","",IF(INDEX(Sheet!T$2:T$7967,$A10)="","",INDEX(Sheet!T$2:T$7967,$A10)))</f>
        <v/>
      </c>
      <c r="O10" s="33">
        <f ca="1">IF($A10="","",IF(INDEX(Sheet!U$2:U$7967,$A10)="","",INDEX(Sheet!U$2:U$7967,$A10)))</f>
        <v>43813</v>
      </c>
      <c r="P10" s="33" t="str">
        <f ca="1">IF($A10="","",IF(INDEX(Sheet!W$2:W$7967,$A10)="","",INDEX(Sheet!W$2:W$7967,$A10)))</f>
        <v/>
      </c>
      <c r="Q10" s="33" t="str">
        <f ca="1">IF($A10="","",IF(INDEX(Sheet!V$2:V$7967,$A10)="","",INDEX(Sheet!V$2:V$7967,$A10)))</f>
        <v/>
      </c>
      <c r="R10" s="33" t="str">
        <f ca="1">IF($A10="","",IF(INDEX(Sheet!Z$2:Z$7967,$A10)="","",INDEX(Sheet!Z$2:Z$7967,$A10)))</f>
        <v/>
      </c>
      <c r="S10" s="33" t="str">
        <f ca="1">IF($A10="","",IF(INDEX(Sheet!Y$2:Y$7967,$A10)="","",INDEX(Sheet!Y$2:Y$7967,$A10)))</f>
        <v/>
      </c>
      <c r="T10" s="33" t="str">
        <f ca="1">IF($A10="","",IF(INDEX(Sheet!X$2:X$7967,$A10)="","",INDEX(Sheet!X$2:X$7967,$A10)))</f>
        <v/>
      </c>
      <c r="U10" s="33" t="str">
        <f ca="1">IF($A10="","",IF(INDEX(Sheet!AA$2:AA$7967,$A10)="","",INDEX(Sheet!AA$2:AA$7967,$A10)))</f>
        <v/>
      </c>
      <c r="V10" s="33" t="str">
        <f ca="1">IF($A10="","",IF(INDEX(Sheet!AB$2:AB$7967,$A10)="","",INDEX(Sheet!AB$2:AB$7967,$A10)))</f>
        <v/>
      </c>
      <c r="W10" s="33" t="str">
        <f ca="1">IF($A10="","",IF(INDEX(Sheet!AH$2:AH$7967,$A10)="","",INDEX(Sheet!AH$2:AH$7967,$A10)))</f>
        <v/>
      </c>
      <c r="X10" s="33" t="str">
        <f ca="1">IF($A10="","",IF(INDEX(Sheet!AC$2:AC$7967,$A10)="","",INDEX(Sheet!AC$2:AC$7967,$A10)))</f>
        <v/>
      </c>
      <c r="Y10" s="33" t="str">
        <f ca="1">IF($A10="","",IF(INDEX(Sheet!AD$2:AD$7967,$A10)="","",INDEX(Sheet!AD$2:AD$7967,$A10)))</f>
        <v/>
      </c>
      <c r="Z10" s="33" t="str">
        <f ca="1">IF($A10="","",IF(INDEX(Sheet!AL$2:AL$7967,$A10)="","",INDEX(Sheet!AL$2:AL$7967,$A10)))</f>
        <v/>
      </c>
      <c r="AA10" s="33" t="str">
        <f ca="1">IF($A10="","",IF(INDEX(Sheet!AE$2:AE$7967,$A10)="","",INDEX(Sheet!AE$2:AE$7967,$A10)))</f>
        <v/>
      </c>
      <c r="AB10" s="33" t="str">
        <f ca="1">IF($A10="","",IF(INDEX(Sheet!AF$2:AF$7967,$A10)="","",INDEX(Sheet!AF$2:AF$7967,$A10)))</f>
        <v/>
      </c>
      <c r="AC10" s="33">
        <f ca="1">IF($A10="","",IF(INDEX(Sheet!AG$2:AG$7967,$A10)="","",INDEX(Sheet!AG$2:AG$7967,$A10)))</f>
        <v>43804</v>
      </c>
      <c r="AD10" s="33" t="str">
        <f ca="1">IF($A10="","",IF(INDEX(Sheet!AM$2:AM$7967,$A10)="","",INDEX(Sheet!AM$2:AM$7967,$A10)))</f>
        <v/>
      </c>
      <c r="AE10" s="33" t="str">
        <f ca="1">IF($A10="","",IF(INDEX(Sheet!AJ$2:AJ$7967,$A10)="","",INDEX(Sheet!AJ$2:AJ$7967,$A10)))</f>
        <v/>
      </c>
      <c r="AF10" s="33" t="str">
        <f ca="1">IF($A10="","",IF(INDEX(Sheet!AI$2:AI$7967,$A10)="","",INDEX(Sheet!AI$2:AI$7967,$A10)))</f>
        <v/>
      </c>
      <c r="AG10" s="33">
        <f ca="1">IF(D10="duyệt sản xuất"," Bảo Bảo, Ngày "&amp;DAY($J$4)&amp;" Tháng "&amp;MONTH($J$4)&amp;" Năm "&amp;YEAR($J$4),IF(D10="Phê duyệt","NGƯỜI LẬP",IF(D10="Nguyễn Ngọc Thắng","NGUYỄN THỊ MAI",IF($A10="","",INDEX(Sheet!AK$2:AK$7967,$A10)))))</f>
        <v>0</v>
      </c>
      <c r="AH10" s="58" t="str">
        <f ca="1">IF($A10="","",INDEX(Sheet!AR$2:AR$7967,$A10)&amp;" ; "&amp;INDEX(Sheet!M$2:M$7967,$A10))</f>
        <v xml:space="preserve"> ; STĐ Đen &amp; Xi trắng Cr3+ test 48h</v>
      </c>
      <c r="AI10" s="1"/>
      <c r="BG10" s="35" t="str">
        <f ca="1">IFERROR(VALUE(separ(INDEX(Sheet!Q$2:Q$7967,$A10),"-",1)),"")</f>
        <v/>
      </c>
      <c r="BH10" s="35" t="str">
        <f ca="1">IFERROR(VALUE(separ(INDEX(Sheet!R$2:R$7967,$A10),"-",1)),"")</f>
        <v/>
      </c>
      <c r="BI10" s="35" t="str">
        <f ca="1">IFERROR(VALUE(separ(INDEX(Sheet!S$2:S$7967,$A10),"-",1)),"")</f>
        <v/>
      </c>
      <c r="BJ10" s="35" t="str">
        <f ca="1">IFERROR(VALUE(separ(INDEX(Sheet!T$2:T$7967,$A10),"-",1)),"")</f>
        <v/>
      </c>
      <c r="BK10" s="35">
        <f ca="1">IFERROR(VALUE(separ(INDEX(Sheet!U$2:U$7967,$A10),"-",1)),"")</f>
        <v>43813</v>
      </c>
      <c r="BL10" s="35" t="str">
        <f ca="1">IFERROR(VALUE(separ(INDEX(Sheet!V$2:V$7967,$A10),"-",1)),"")</f>
        <v/>
      </c>
      <c r="BM10" s="35" t="str">
        <f ca="1">IFERROR(VALUE(separ(INDEX(Sheet!W$2:W$7967,$A10),"-",1)),"")</f>
        <v/>
      </c>
      <c r="BN10" s="35" t="str">
        <f ca="1">IFERROR(VALUE(separ(INDEX(Sheet!X$2:X$7967,$A10),"-",1)),"")</f>
        <v/>
      </c>
      <c r="BO10" s="35" t="str">
        <f ca="1">IFERROR(VALUE(separ(INDEX(Sheet!Y$2:Y$7967,$A10),"-",1)),"")</f>
        <v/>
      </c>
      <c r="BP10" s="35" t="str">
        <f ca="1">IFERROR(VALUE(separ(INDEX(Sheet!Z$2:Z$7967,$A10),"-",1)),"")</f>
        <v/>
      </c>
      <c r="BQ10" s="35" t="str">
        <f ca="1">IFERROR(VALUE(separ(INDEX(Sheet!AA$2:AA$7967,$A10),"-",1)),"")</f>
        <v/>
      </c>
      <c r="BR10" s="35" t="str">
        <f ca="1">IFERROR(VALUE(separ(INDEX(Sheet!AB$2:AB$7967,$A10),"-",1)),"")</f>
        <v/>
      </c>
      <c r="BS10" s="35" t="str">
        <f ca="1">IFERROR(VALUE(separ(INDEX(Sheet!AC$2:AC$7967,$A10),"-",1)),"")</f>
        <v/>
      </c>
      <c r="BT10" s="35" t="str">
        <f ca="1">IFERROR(VALUE(separ(INDEX(Sheet!AD$2:AD$7967,$A10),"-",1)),"")</f>
        <v/>
      </c>
      <c r="BU10" s="35" t="str">
        <f ca="1">IFERROR(VALUE(separ(INDEX(Sheet!AE$2:AE$7967,$A10),"-",1)),"")</f>
        <v/>
      </c>
      <c r="BV10" s="35"/>
      <c r="BW10" s="35" t="str">
        <f ca="1">IFERROR((separ(INDEX(Sheet!Q$2:Q$7967,$A10),"-",2)),"")</f>
        <v xml:space="preserve"> </v>
      </c>
      <c r="BX10" s="35" t="str">
        <f ca="1">IFERROR((separ(INDEX(Sheet!R$2:R$7967,$A10),"-",2)),"")</f>
        <v xml:space="preserve"> </v>
      </c>
      <c r="BY10" s="35" t="str">
        <f ca="1">IFERROR((separ(INDEX(Sheet!S$2:S$7967,$A10),"-",2)),"")</f>
        <v xml:space="preserve"> </v>
      </c>
      <c r="BZ10" s="35" t="str">
        <f ca="1">IFERROR((separ(INDEX(Sheet!T$2:T$7967,$A10),"-",2)),"")</f>
        <v xml:space="preserve"> </v>
      </c>
      <c r="CA10" s="35" t="str">
        <f ca="1">IFERROR((separ(INDEX(Sheet!U$2:U$7967,$A10),"-",2)),"")</f>
        <v xml:space="preserve"> </v>
      </c>
      <c r="CB10" s="35" t="str">
        <f ca="1">IFERROR((separ(INDEX(Sheet!V$2:V$7967,$A10),"-",2)),"")</f>
        <v xml:space="preserve"> </v>
      </c>
      <c r="CC10" s="35" t="str">
        <f ca="1">IFERROR((separ(INDEX(Sheet!W$2:W$7967,$A10),"-",2)),"")</f>
        <v xml:space="preserve"> </v>
      </c>
      <c r="CD10" s="35" t="str">
        <f ca="1">IFERROR((separ(INDEX(Sheet!X$2:X$7967,$A10),"-",2)),"")</f>
        <v xml:space="preserve"> </v>
      </c>
      <c r="CE10" s="35" t="str">
        <f ca="1">IFERROR((separ(INDEX(Sheet!Y$2:Y$7967,$A10),"-",2)),"")</f>
        <v xml:space="preserve"> </v>
      </c>
      <c r="CF10" s="35" t="str">
        <f ca="1">IFERROR((separ(INDEX(Sheet!Z$2:Z$7967,$A10),"-",2)),"")</f>
        <v xml:space="preserve"> </v>
      </c>
      <c r="CG10" s="35" t="str">
        <f ca="1">IFERROR((separ(INDEX(Sheet!AA$2:AA$7967,$A10),"-",2)),"")</f>
        <v xml:space="preserve"> </v>
      </c>
      <c r="CH10" s="35" t="str">
        <f ca="1">IFERROR((separ(INDEX(Sheet!AB$2:AB$7967,$A10),"-",2)),"")</f>
        <v xml:space="preserve"> </v>
      </c>
      <c r="CI10" s="35" t="str">
        <f ca="1">IFERROR((separ(INDEX(Sheet!AC$2:AC$7967,$A10),"-",2)),"")</f>
        <v xml:space="preserve"> </v>
      </c>
      <c r="CJ10" s="35" t="str">
        <f ca="1">IFERROR((separ(INDEX(Sheet!AD$2:AD$7967,$A10),"-",2)),"")</f>
        <v xml:space="preserve"> </v>
      </c>
      <c r="CK10" s="35" t="str">
        <f ca="1">IFERROR((separ(INDEX(Sheet!AE$2:AE$7967,$A10),"-",2)),"")</f>
        <v xml:space="preserve"> </v>
      </c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</row>
    <row r="11" spans="1:104" s="29" customFormat="1" ht="30">
      <c r="A11" s="45">
        <f ca="1">IFERROR(MATCH($B$3,OFFSET(Sheet!$D$2,A10,0):'Sheet'!$D$7657,0)+A10,"")</f>
        <v>4</v>
      </c>
      <c r="B11" s="29">
        <f ca="1">IF(ROW(A4)&lt;=COUNT($A$6:$A$800),INDEX(Sheet!$A$2:$A$7967,$A11),IF(ROW(A4)=COUNT($A$6:$A$800)+1," ",IF(ROW(A4)=COUNT($A$6:$A$800)+2,"  ","")))</f>
        <v>310202</v>
      </c>
      <c r="C11" s="67" t="str">
        <f ca="1">IF($A11="","",INDEX(Sheet!E$2:E$7967,$A11))</f>
        <v>MEC-ST-1000</v>
      </c>
      <c r="D11" s="31" t="str">
        <f ca="1">IF(B8=" ",$AR$1,IF(B11=" ",$AQ$1,IF(A11="","",INDEX(Sheet!G$2:G$7967,$A11))))</f>
        <v>Bộ chân lò nướng</v>
      </c>
      <c r="E11" s="32" t="str">
        <f ca="1">IF($A11="","",TEXT(INDEX(Sheet!J$2:J$7967,$A11),"#,#")&amp;" "&amp;INDEX(Sheet!AT$2:AT$7967,$A11))</f>
        <v>8,424 Bộ</v>
      </c>
      <c r="F11" s="53" t="str">
        <f ca="1">IF($A11="","",INDEX(Sheet!F$2:F$7967,$A11))</f>
        <v>CT6: Lắp bản lề(ĐỢT 7)</v>
      </c>
      <c r="G11" s="32">
        <f ca="1">IF($A11="","",INDEX(Sheet!I$2:I$7967,$A11))</f>
        <v>2</v>
      </c>
      <c r="H11" s="32">
        <f ca="1">IF($A11="","",INDEX(Sheet!L$2:L$7967,$A11))</f>
        <v>16848</v>
      </c>
      <c r="I11" s="32" t="str">
        <f ca="1">IF($A11="","",INDEX(Sheet!N$2:N$7967,$A11))</f>
        <v>Bộ</v>
      </c>
      <c r="J11" s="53" t="str">
        <f ca="1">IF($A11="","",INDEX(Sheet!AS$2:AS$7967,$A11))</f>
        <v>Bản vẽ</v>
      </c>
      <c r="K11" s="33" t="str">
        <f ca="1">IF($A11="","",IF(INDEX(Sheet!S$2:S$7967,$A11)="","",INDEX(Sheet!S$2:S$7967,$A11)))</f>
        <v/>
      </c>
      <c r="L11" s="33" t="str">
        <f ca="1">IF($A11="","",IF(INDEX(Sheet!R$2:R$7967,$A11)="","",INDEX(Sheet!R$2:R$7967,$A11)))</f>
        <v/>
      </c>
      <c r="M11" s="33" t="str">
        <f ca="1">IF($A11="","",IF(INDEX(Sheet!AO$2:AO$7967,$A11)="","",INDEX(Sheet!AO$2:AO$7967,$A11)))</f>
        <v/>
      </c>
      <c r="N11" s="33">
        <f ca="1">IF($A11="","",IF(INDEX(Sheet!T$2:T$7967,$A11)="","",INDEX(Sheet!T$2:T$7967,$A11)))</f>
        <v>43801</v>
      </c>
      <c r="O11" s="33">
        <f ca="1">IF($A11="","",IF(INDEX(Sheet!U$2:U$7967,$A11)="","",INDEX(Sheet!U$2:U$7967,$A11)))</f>
        <v>43813</v>
      </c>
      <c r="P11" s="33" t="str">
        <f ca="1">IF($A11="","",IF(INDEX(Sheet!W$2:W$7967,$A11)="","",INDEX(Sheet!W$2:W$7967,$A11)))</f>
        <v/>
      </c>
      <c r="Q11" s="33" t="str">
        <f ca="1">IF($A11="","",IF(INDEX(Sheet!V$2:V$7967,$A11)="","",INDEX(Sheet!V$2:V$7967,$A11)))</f>
        <v/>
      </c>
      <c r="R11" s="33" t="str">
        <f ca="1">IF($A11="","",IF(INDEX(Sheet!Z$2:Z$7967,$A11)="","",INDEX(Sheet!Z$2:Z$7967,$A11)))</f>
        <v/>
      </c>
      <c r="S11" s="33" t="str">
        <f ca="1">IF($A11="","",IF(INDEX(Sheet!Y$2:Y$7967,$A11)="","",INDEX(Sheet!Y$2:Y$7967,$A11)))</f>
        <v/>
      </c>
      <c r="T11" s="33" t="str">
        <f ca="1">IF($A11="","",IF(INDEX(Sheet!X$2:X$7967,$A11)="","",INDEX(Sheet!X$2:X$7967,$A11)))</f>
        <v/>
      </c>
      <c r="U11" s="33" t="str">
        <f ca="1">IF($A11="","",IF(INDEX(Sheet!AA$2:AA$7967,$A11)="","",INDEX(Sheet!AA$2:AA$7967,$A11)))</f>
        <v/>
      </c>
      <c r="V11" s="33" t="str">
        <f ca="1">IF($A11="","",IF(INDEX(Sheet!AB$2:AB$7967,$A11)="","",INDEX(Sheet!AB$2:AB$7967,$A11)))</f>
        <v/>
      </c>
      <c r="W11" s="33" t="str">
        <f ca="1">IF($A11="","",IF(INDEX(Sheet!AH$2:AH$7967,$A11)="","",INDEX(Sheet!AH$2:AH$7967,$A11)))</f>
        <v/>
      </c>
      <c r="X11" s="33" t="str">
        <f ca="1">IF($A11="","",IF(INDEX(Sheet!AC$2:AC$7967,$A11)="","",INDEX(Sheet!AC$2:AC$7967,$A11)))</f>
        <v/>
      </c>
      <c r="Y11" s="33" t="str">
        <f ca="1">IF($A11="","",IF(INDEX(Sheet!AD$2:AD$7967,$A11)="","",INDEX(Sheet!AD$2:AD$7967,$A11)))</f>
        <v/>
      </c>
      <c r="Z11" s="33" t="str">
        <f ca="1">IF($A11="","",IF(INDEX(Sheet!AL$2:AL$7967,$A11)="","",INDEX(Sheet!AL$2:AL$7967,$A11)))</f>
        <v/>
      </c>
      <c r="AA11" s="33" t="str">
        <f ca="1">IF($A11="","",IF(INDEX(Sheet!AE$2:AE$7967,$A11)="","",INDEX(Sheet!AE$2:AE$7967,$A11)))</f>
        <v/>
      </c>
      <c r="AB11" s="33" t="str">
        <f ca="1">IF($A11="","",IF(INDEX(Sheet!AF$2:AF$7967,$A11)="","",INDEX(Sheet!AF$2:AF$7967,$A11)))</f>
        <v/>
      </c>
      <c r="AC11" s="33">
        <f ca="1">IF($A11="","",IF(INDEX(Sheet!AG$2:AG$7967,$A11)="","",INDEX(Sheet!AG$2:AG$7967,$A11)))</f>
        <v>43817</v>
      </c>
      <c r="AD11" s="33" t="str">
        <f ca="1">IF($A11="","",IF(INDEX(Sheet!AM$2:AM$7967,$A11)="","",INDEX(Sheet!AM$2:AM$7967,$A11)))</f>
        <v/>
      </c>
      <c r="AE11" s="33" t="str">
        <f ca="1">IF($A11="","",IF(INDEX(Sheet!AJ$2:AJ$7967,$A11)="","",INDEX(Sheet!AJ$2:AJ$7967,$A11)))</f>
        <v/>
      </c>
      <c r="AF11" s="33" t="str">
        <f ca="1">IF($A11="","",IF(INDEX(Sheet!AI$2:AI$7967,$A11)="","",INDEX(Sheet!AI$2:AI$7967,$A11)))</f>
        <v/>
      </c>
      <c r="AG11" s="33">
        <f ca="1">IF(D11="duyệt sản xuất"," Bảo Bảo, Ngày "&amp;DAY($J$4)&amp;" Tháng "&amp;MONTH($J$4)&amp;" Năm "&amp;YEAR($J$4),IF(D11="Phê duyệt","NGƯỜI LẬP",IF(D11="Nguyễn Ngọc Thắng","NGUYỄN THỊ MAI",IF($A11="","",INDEX(Sheet!AK$2:AK$7967,$A11)))))</f>
        <v>0</v>
      </c>
      <c r="AH11" s="58" t="str">
        <f ca="1">IF($A11="","",INDEX(Sheet!AR$2:AR$7967,$A11)&amp;" ; "&amp;INDEX(Sheet!M$2:M$7967,$A11))</f>
        <v xml:space="preserve"> ; STĐ Đen &amp; Xi trắng Cr3+ test 48h</v>
      </c>
      <c r="AI11" s="1"/>
      <c r="BG11" s="35" t="str">
        <f ca="1">IFERROR(VALUE(separ(INDEX(Sheet!Q$2:Q$7967,$A11),"-",1)),"")</f>
        <v/>
      </c>
      <c r="BH11" s="35" t="str">
        <f ca="1">IFERROR(VALUE(separ(INDEX(Sheet!R$2:R$7967,$A11),"-",1)),"")</f>
        <v/>
      </c>
      <c r="BI11" s="35" t="str">
        <f ca="1">IFERROR(VALUE(separ(INDEX(Sheet!S$2:S$7967,$A11),"-",1)),"")</f>
        <v/>
      </c>
      <c r="BJ11" s="35">
        <f ca="1">IFERROR(VALUE(separ(INDEX(Sheet!T$2:T$7967,$A11),"-",1)),"")</f>
        <v>43801</v>
      </c>
      <c r="BK11" s="35">
        <f ca="1">IFERROR(VALUE(separ(INDEX(Sheet!U$2:U$7967,$A11),"-",1)),"")</f>
        <v>43813</v>
      </c>
      <c r="BL11" s="35" t="str">
        <f ca="1">IFERROR(VALUE(separ(INDEX(Sheet!V$2:V$7967,$A11),"-",1)),"")</f>
        <v/>
      </c>
      <c r="BM11" s="35" t="str">
        <f ca="1">IFERROR(VALUE(separ(INDEX(Sheet!W$2:W$7967,$A11),"-",1)),"")</f>
        <v/>
      </c>
      <c r="BN11" s="35" t="str">
        <f ca="1">IFERROR(VALUE(separ(INDEX(Sheet!X$2:X$7967,$A11),"-",1)),"")</f>
        <v/>
      </c>
      <c r="BO11" s="35" t="str">
        <f ca="1">IFERROR(VALUE(separ(INDEX(Sheet!Y$2:Y$7967,$A11),"-",1)),"")</f>
        <v/>
      </c>
      <c r="BP11" s="35" t="str">
        <f ca="1">IFERROR(VALUE(separ(INDEX(Sheet!Z$2:Z$7967,$A11),"-",1)),"")</f>
        <v/>
      </c>
      <c r="BQ11" s="35" t="str">
        <f ca="1">IFERROR(VALUE(separ(INDEX(Sheet!AA$2:AA$7967,$A11),"-",1)),"")</f>
        <v/>
      </c>
      <c r="BR11" s="35" t="str">
        <f ca="1">IFERROR(VALUE(separ(INDEX(Sheet!AB$2:AB$7967,$A11),"-",1)),"")</f>
        <v/>
      </c>
      <c r="BS11" s="35" t="str">
        <f ca="1">IFERROR(VALUE(separ(INDEX(Sheet!AC$2:AC$7967,$A11),"-",1)),"")</f>
        <v/>
      </c>
      <c r="BT11" s="35" t="str">
        <f ca="1">IFERROR(VALUE(separ(INDEX(Sheet!AD$2:AD$7967,$A11),"-",1)),"")</f>
        <v/>
      </c>
      <c r="BU11" s="35" t="str">
        <f ca="1">IFERROR(VALUE(separ(INDEX(Sheet!AE$2:AE$7967,$A11),"-",1)),"")</f>
        <v/>
      </c>
      <c r="BV11" s="35"/>
      <c r="BW11" s="35" t="str">
        <f ca="1">IFERROR((separ(INDEX(Sheet!Q$2:Q$7967,$A11),"-",2)),"")</f>
        <v xml:space="preserve"> </v>
      </c>
      <c r="BX11" s="35" t="str">
        <f ca="1">IFERROR((separ(INDEX(Sheet!R$2:R$7967,$A11),"-",2)),"")</f>
        <v xml:space="preserve"> </v>
      </c>
      <c r="BY11" s="35" t="str">
        <f ca="1">IFERROR((separ(INDEX(Sheet!S$2:S$7967,$A11),"-",2)),"")</f>
        <v xml:space="preserve"> </v>
      </c>
      <c r="BZ11" s="35" t="str">
        <f ca="1">IFERROR((separ(INDEX(Sheet!T$2:T$7967,$A11),"-",2)),"")</f>
        <v xml:space="preserve"> </v>
      </c>
      <c r="CA11" s="35" t="str">
        <f ca="1">IFERROR((separ(INDEX(Sheet!U$2:U$7967,$A11),"-",2)),"")</f>
        <v xml:space="preserve"> </v>
      </c>
      <c r="CB11" s="35" t="str">
        <f ca="1">IFERROR((separ(INDEX(Sheet!V$2:V$7967,$A11),"-",2)),"")</f>
        <v xml:space="preserve"> </v>
      </c>
      <c r="CC11" s="35" t="str">
        <f ca="1">IFERROR((separ(INDEX(Sheet!W$2:W$7967,$A11),"-",2)),"")</f>
        <v xml:space="preserve"> </v>
      </c>
      <c r="CD11" s="35" t="str">
        <f ca="1">IFERROR((separ(INDEX(Sheet!X$2:X$7967,$A11),"-",2)),"")</f>
        <v xml:space="preserve"> </v>
      </c>
      <c r="CE11" s="35" t="str">
        <f ca="1">IFERROR((separ(INDEX(Sheet!Y$2:Y$7967,$A11),"-",2)),"")</f>
        <v xml:space="preserve"> </v>
      </c>
      <c r="CF11" s="35" t="str">
        <f ca="1">IFERROR((separ(INDEX(Sheet!Z$2:Z$7967,$A11),"-",2)),"")</f>
        <v xml:space="preserve"> </v>
      </c>
      <c r="CG11" s="35" t="str">
        <f ca="1">IFERROR((separ(INDEX(Sheet!AA$2:AA$7967,$A11),"-",2)),"")</f>
        <v xml:space="preserve"> </v>
      </c>
      <c r="CH11" s="35" t="str">
        <f ca="1">IFERROR((separ(INDEX(Sheet!AB$2:AB$7967,$A11),"-",2)),"")</f>
        <v xml:space="preserve"> </v>
      </c>
      <c r="CI11" s="35" t="str">
        <f ca="1">IFERROR((separ(INDEX(Sheet!AC$2:AC$7967,$A11),"-",2)),"")</f>
        <v xml:space="preserve"> </v>
      </c>
      <c r="CJ11" s="35" t="str">
        <f ca="1">IFERROR((separ(INDEX(Sheet!AD$2:AD$7967,$A11),"-",2)),"")</f>
        <v xml:space="preserve"> </v>
      </c>
      <c r="CK11" s="35" t="str">
        <f ca="1">IFERROR((separ(INDEX(Sheet!AE$2:AE$7967,$A11),"-",2)),"")</f>
        <v xml:space="preserve"> </v>
      </c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</row>
    <row r="12" spans="1:104" s="29" customFormat="1" ht="30">
      <c r="A12" s="45">
        <f ca="1">IFERROR(MATCH($B$3,OFFSET(Sheet!$D$2,A11,0):'Sheet'!$D$7657,0)+A11,"")</f>
        <v>5</v>
      </c>
      <c r="B12" s="29">
        <f ca="1">IF(ROW(A5)&lt;=COUNT($A$6:$A$800),INDEX(Sheet!$A$2:$A$7967,$A12),IF(ROW(A5)=COUNT($A$6:$A$800)+1," ",IF(ROW(A5)=COUNT($A$6:$A$800)+2,"  ","")))</f>
        <v>310203</v>
      </c>
      <c r="C12" s="67" t="str">
        <f ca="1">IF($A12="","",INDEX(Sheet!E$2:E$7967,$A12))</f>
        <v>MEC-ST-1000</v>
      </c>
      <c r="D12" s="31" t="str">
        <f ca="1">IF(B9=" ",$AR$1,IF(B12=" ",$AQ$1,IF(A12="","",INDEX(Sheet!G$2:G$7967,$A12))))</f>
        <v>Bộ chân lò nướng</v>
      </c>
      <c r="E12" s="32" t="str">
        <f ca="1">IF($A12="","",TEXT(INDEX(Sheet!J$2:J$7967,$A12),"#,#")&amp;" "&amp;INDEX(Sheet!AT$2:AT$7967,$A12))</f>
        <v>8,424 Bộ</v>
      </c>
      <c r="F12" s="53" t="str">
        <f ca="1">IF($A12="","",INDEX(Sheet!F$2:F$7967,$A12))</f>
        <v>CT7: Khung ngoài(ĐỢT 7)</v>
      </c>
      <c r="G12" s="32">
        <f ca="1">IF($A12="","",INDEX(Sheet!I$2:I$7967,$A12))</f>
        <v>1</v>
      </c>
      <c r="H12" s="32">
        <f ca="1">IF($A12="","",INDEX(Sheet!L$2:L$7967,$A12))</f>
        <v>8424</v>
      </c>
      <c r="I12" s="32" t="str">
        <f ca="1">IF($A12="","",INDEX(Sheet!N$2:N$7967,$A12))</f>
        <v>Bộ</v>
      </c>
      <c r="J12" s="53" t="str">
        <f ca="1">IF($A12="","",INDEX(Sheet!AS$2:AS$7967,$A12))</f>
        <v>Bản vẽ</v>
      </c>
      <c r="K12" s="33" t="str">
        <f ca="1">IF($A12="","",IF(INDEX(Sheet!S$2:S$7967,$A12)="","",INDEX(Sheet!S$2:S$7967,$A12)))</f>
        <v/>
      </c>
      <c r="L12" s="33" t="str">
        <f ca="1">IF($A12="","",IF(INDEX(Sheet!R$2:R$7967,$A12)="","",INDEX(Sheet!R$2:R$7967,$A12)))</f>
        <v/>
      </c>
      <c r="M12" s="33" t="str">
        <f ca="1">IF($A12="","",IF(INDEX(Sheet!AO$2:AO$7967,$A12)="","",INDEX(Sheet!AO$2:AO$7967,$A12)))</f>
        <v/>
      </c>
      <c r="N12" s="33" t="str">
        <f ca="1">IF($A12="","",IF(INDEX(Sheet!T$2:T$7967,$A12)="","",INDEX(Sheet!T$2:T$7967,$A12)))</f>
        <v/>
      </c>
      <c r="O12" s="33" t="str">
        <f ca="1">IF($A12="","",IF(INDEX(Sheet!U$2:U$7967,$A12)="","",INDEX(Sheet!U$2:U$7967,$A12)))</f>
        <v/>
      </c>
      <c r="P12" s="33" t="str">
        <f ca="1">IF($A12="","",IF(INDEX(Sheet!W$2:W$7967,$A12)="","",INDEX(Sheet!W$2:W$7967,$A12)))</f>
        <v/>
      </c>
      <c r="Q12" s="33" t="str">
        <f ca="1">IF($A12="","",IF(INDEX(Sheet!V$2:V$7967,$A12)="","",INDEX(Sheet!V$2:V$7967,$A12)))</f>
        <v/>
      </c>
      <c r="R12" s="33" t="str">
        <f ca="1">IF($A12="","",IF(INDEX(Sheet!Z$2:Z$7967,$A12)="","",INDEX(Sheet!Z$2:Z$7967,$A12)))</f>
        <v/>
      </c>
      <c r="S12" s="33" t="str">
        <f ca="1">IF($A12="","",IF(INDEX(Sheet!Y$2:Y$7967,$A12)="","",INDEX(Sheet!Y$2:Y$7967,$A12)))</f>
        <v/>
      </c>
      <c r="T12" s="33" t="str">
        <f ca="1">IF($A12="","",IF(INDEX(Sheet!X$2:X$7967,$A12)="","",INDEX(Sheet!X$2:X$7967,$A12)))</f>
        <v/>
      </c>
      <c r="U12" s="33" t="str">
        <f ca="1">IF($A12="","",IF(INDEX(Sheet!AA$2:AA$7967,$A12)="","",INDEX(Sheet!AA$2:AA$7967,$A12)))</f>
        <v/>
      </c>
      <c r="V12" s="33" t="str">
        <f ca="1">IF($A12="","",IF(INDEX(Sheet!AB$2:AB$7967,$A12)="","",INDEX(Sheet!AB$2:AB$7967,$A12)))</f>
        <v/>
      </c>
      <c r="W12" s="33" t="str">
        <f ca="1">IF($A12="","",IF(INDEX(Sheet!AH$2:AH$7967,$A12)="","",INDEX(Sheet!AH$2:AH$7967,$A12)))</f>
        <v/>
      </c>
      <c r="X12" s="33" t="str">
        <f ca="1">IF($A12="","",IF(INDEX(Sheet!AC$2:AC$7967,$A12)="","",INDEX(Sheet!AC$2:AC$7967,$A12)))</f>
        <v/>
      </c>
      <c r="Y12" s="33" t="str">
        <f ca="1">IF($A12="","",IF(INDEX(Sheet!AD$2:AD$7967,$A12)="","",INDEX(Sheet!AD$2:AD$7967,$A12)))</f>
        <v/>
      </c>
      <c r="Z12" s="33" t="str">
        <f ca="1">IF($A12="","",IF(INDEX(Sheet!AL$2:AL$7967,$A12)="","",INDEX(Sheet!AL$2:AL$7967,$A12)))</f>
        <v/>
      </c>
      <c r="AA12" s="33" t="str">
        <f ca="1">IF($A12="","",IF(INDEX(Sheet!AE$2:AE$7967,$A12)="","",INDEX(Sheet!AE$2:AE$7967,$A12)))</f>
        <v/>
      </c>
      <c r="AB12" s="33" t="str">
        <f ca="1">IF($A12="","",IF(INDEX(Sheet!AF$2:AF$7967,$A12)="","",INDEX(Sheet!AF$2:AF$7967,$A12)))</f>
        <v/>
      </c>
      <c r="AC12" s="33" t="str">
        <f ca="1">IF($A12="","",IF(INDEX(Sheet!AG$2:AG$7967,$A12)="","",INDEX(Sheet!AG$2:AG$7967,$A12)))</f>
        <v/>
      </c>
      <c r="AD12" s="33" t="str">
        <f ca="1">IF($A12="","",IF(INDEX(Sheet!AM$2:AM$7967,$A12)="","",INDEX(Sheet!AM$2:AM$7967,$A12)))</f>
        <v/>
      </c>
      <c r="AE12" s="33">
        <f ca="1">IF($A12="","",IF(INDEX(Sheet!AJ$2:AJ$7967,$A12)="","",INDEX(Sheet!AJ$2:AJ$7967,$A12)))</f>
        <v>43813</v>
      </c>
      <c r="AF12" s="33" t="str">
        <f ca="1">IF($A12="","",IF(INDEX(Sheet!AI$2:AI$7967,$A12)="","",INDEX(Sheet!AI$2:AI$7967,$A12)))</f>
        <v/>
      </c>
      <c r="AG12" s="33">
        <f ca="1">IF(D12="duyệt sản xuất"," Bảo Bảo, Ngày "&amp;DAY($J$4)&amp;" Tháng "&amp;MONTH($J$4)&amp;" Năm "&amp;YEAR($J$4),IF(D12="Phê duyệt","NGƯỜI LẬP",IF(D12="Nguyễn Ngọc Thắng","NGUYỄN THỊ MAI",IF($A12="","",INDEX(Sheet!AK$2:AK$7967,$A12)))))</f>
        <v>0</v>
      </c>
      <c r="AH12" s="58" t="str">
        <f ca="1">IF($A12="","",INDEX(Sheet!AR$2:AR$7967,$A12)&amp;" ; "&amp;INDEX(Sheet!M$2:M$7967,$A12))</f>
        <v xml:space="preserve"> ; STĐ Đen &amp; Xi trắng Cr3+ test 48h</v>
      </c>
      <c r="AI12" s="1"/>
      <c r="BG12" s="35" t="str">
        <f ca="1">IFERROR(VALUE(separ(INDEX(Sheet!Q$2:Q$7967,$A12),"-",1)),"")</f>
        <v/>
      </c>
      <c r="BH12" s="35" t="str">
        <f ca="1">IFERROR(VALUE(separ(INDEX(Sheet!R$2:R$7967,$A12),"-",1)),"")</f>
        <v/>
      </c>
      <c r="BI12" s="35" t="str">
        <f ca="1">IFERROR(VALUE(separ(INDEX(Sheet!S$2:S$7967,$A12),"-",1)),"")</f>
        <v/>
      </c>
      <c r="BJ12" s="35" t="str">
        <f ca="1">IFERROR(VALUE(separ(INDEX(Sheet!T$2:T$7967,$A12),"-",1)),"")</f>
        <v/>
      </c>
      <c r="BK12" s="35" t="str">
        <f ca="1">IFERROR(VALUE(separ(INDEX(Sheet!U$2:U$7967,$A12),"-",1)),"")</f>
        <v/>
      </c>
      <c r="BL12" s="35" t="str">
        <f ca="1">IFERROR(VALUE(separ(INDEX(Sheet!V$2:V$7967,$A12),"-",1)),"")</f>
        <v/>
      </c>
      <c r="BM12" s="35" t="str">
        <f ca="1">IFERROR(VALUE(separ(INDEX(Sheet!W$2:W$7967,$A12),"-",1)),"")</f>
        <v/>
      </c>
      <c r="BN12" s="35" t="str">
        <f ca="1">IFERROR(VALUE(separ(INDEX(Sheet!X$2:X$7967,$A12),"-",1)),"")</f>
        <v/>
      </c>
      <c r="BO12" s="35" t="str">
        <f ca="1">IFERROR(VALUE(separ(INDEX(Sheet!Y$2:Y$7967,$A12),"-",1)),"")</f>
        <v/>
      </c>
      <c r="BP12" s="35" t="str">
        <f ca="1">IFERROR(VALUE(separ(INDEX(Sheet!Z$2:Z$7967,$A12),"-",1)),"")</f>
        <v/>
      </c>
      <c r="BQ12" s="35" t="str">
        <f ca="1">IFERROR(VALUE(separ(INDEX(Sheet!AA$2:AA$7967,$A12),"-",1)),"")</f>
        <v/>
      </c>
      <c r="BR12" s="35" t="str">
        <f ca="1">IFERROR(VALUE(separ(INDEX(Sheet!AB$2:AB$7967,$A12),"-",1)),"")</f>
        <v/>
      </c>
      <c r="BS12" s="35" t="str">
        <f ca="1">IFERROR(VALUE(separ(INDEX(Sheet!AC$2:AC$7967,$A12),"-",1)),"")</f>
        <v/>
      </c>
      <c r="BT12" s="35" t="str">
        <f ca="1">IFERROR(VALUE(separ(INDEX(Sheet!AD$2:AD$7967,$A12),"-",1)),"")</f>
        <v/>
      </c>
      <c r="BU12" s="35" t="str">
        <f ca="1">IFERROR(VALUE(separ(INDEX(Sheet!AE$2:AE$7967,$A12),"-",1)),"")</f>
        <v/>
      </c>
      <c r="BV12" s="35"/>
      <c r="BW12" s="35" t="str">
        <f ca="1">IFERROR((separ(INDEX(Sheet!Q$2:Q$7967,$A12),"-",2)),"")</f>
        <v xml:space="preserve"> </v>
      </c>
      <c r="BX12" s="35" t="str">
        <f ca="1">IFERROR((separ(INDEX(Sheet!R$2:R$7967,$A12),"-",2)),"")</f>
        <v xml:space="preserve"> </v>
      </c>
      <c r="BY12" s="35" t="str">
        <f ca="1">IFERROR((separ(INDEX(Sheet!S$2:S$7967,$A12),"-",2)),"")</f>
        <v xml:space="preserve"> </v>
      </c>
      <c r="BZ12" s="35" t="str">
        <f ca="1">IFERROR((separ(INDEX(Sheet!T$2:T$7967,$A12),"-",2)),"")</f>
        <v xml:space="preserve"> </v>
      </c>
      <c r="CA12" s="35" t="str">
        <f ca="1">IFERROR((separ(INDEX(Sheet!U$2:U$7967,$A12),"-",2)),"")</f>
        <v xml:space="preserve"> </v>
      </c>
      <c r="CB12" s="35" t="str">
        <f ca="1">IFERROR((separ(INDEX(Sheet!V$2:V$7967,$A12),"-",2)),"")</f>
        <v xml:space="preserve"> </v>
      </c>
      <c r="CC12" s="35" t="str">
        <f ca="1">IFERROR((separ(INDEX(Sheet!W$2:W$7967,$A12),"-",2)),"")</f>
        <v xml:space="preserve"> </v>
      </c>
      <c r="CD12" s="35" t="str">
        <f ca="1">IFERROR((separ(INDEX(Sheet!X$2:X$7967,$A12),"-",2)),"")</f>
        <v xml:space="preserve"> </v>
      </c>
      <c r="CE12" s="35" t="str">
        <f ca="1">IFERROR((separ(INDEX(Sheet!Y$2:Y$7967,$A12),"-",2)),"")</f>
        <v xml:space="preserve"> </v>
      </c>
      <c r="CF12" s="35" t="str">
        <f ca="1">IFERROR((separ(INDEX(Sheet!Z$2:Z$7967,$A12),"-",2)),"")</f>
        <v xml:space="preserve"> </v>
      </c>
      <c r="CG12" s="35" t="str">
        <f ca="1">IFERROR((separ(INDEX(Sheet!AA$2:AA$7967,$A12),"-",2)),"")</f>
        <v xml:space="preserve"> </v>
      </c>
      <c r="CH12" s="35" t="str">
        <f ca="1">IFERROR((separ(INDEX(Sheet!AB$2:AB$7967,$A12),"-",2)),"")</f>
        <v xml:space="preserve"> </v>
      </c>
      <c r="CI12" s="35" t="str">
        <f ca="1">IFERROR((separ(INDEX(Sheet!AC$2:AC$7967,$A12),"-",2)),"")</f>
        <v xml:space="preserve"> </v>
      </c>
      <c r="CJ12" s="35" t="str">
        <f ca="1">IFERROR((separ(INDEX(Sheet!AD$2:AD$7967,$A12),"-",2)),"")</f>
        <v xml:space="preserve"> </v>
      </c>
      <c r="CK12" s="35" t="str">
        <f ca="1">IFERROR((separ(INDEX(Sheet!AE$2:AE$7967,$A12),"-",2)),"")</f>
        <v xml:space="preserve"> </v>
      </c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</row>
    <row r="13" spans="1:104" s="29" customFormat="1" ht="30">
      <c r="A13" s="45">
        <f ca="1">IFERROR(MATCH($B$3,OFFSET(Sheet!$D$2,A12,0):'Sheet'!$D$7657,0)+A12,"")</f>
        <v>6</v>
      </c>
      <c r="B13" s="29">
        <f ca="1">IF(ROW(A6)&lt;=COUNT($A$6:$A$800),INDEX(Sheet!$A$2:$A$7967,$A13),IF(ROW(A6)=COUNT($A$6:$A$800)+1," ",IF(ROW(A6)=COUNT($A$6:$A$800)+2,"  ","")))</f>
        <v>310204</v>
      </c>
      <c r="C13" s="67" t="str">
        <f ca="1">IF($A13="","",INDEX(Sheet!E$2:E$7967,$A13))</f>
        <v>MEC-ST-1000</v>
      </c>
      <c r="D13" s="31" t="str">
        <f ca="1">IF(B10=" ",$AR$1,IF(B13=" ",$AQ$1,IF(A13="","",INDEX(Sheet!G$2:G$7967,$A13))))</f>
        <v>Bộ chân lò nướng</v>
      </c>
      <c r="E13" s="32" t="str">
        <f ca="1">IF($A13="","",TEXT(INDEX(Sheet!J$2:J$7967,$A13),"#,#")&amp;" "&amp;INDEX(Sheet!AT$2:AT$7967,$A13))</f>
        <v>8,424 Bộ</v>
      </c>
      <c r="F13" s="53" t="str">
        <f ca="1">IF($A13="","",INDEX(Sheet!F$2:F$7967,$A13))</f>
        <v>CT8: Khung trong(ĐỢT 7)</v>
      </c>
      <c r="G13" s="32">
        <f ca="1">IF($A13="","",INDEX(Sheet!I$2:I$7967,$A13))</f>
        <v>1</v>
      </c>
      <c r="H13" s="32">
        <f ca="1">IF($A13="","",INDEX(Sheet!L$2:L$7967,$A13))</f>
        <v>8424</v>
      </c>
      <c r="I13" s="32" t="str">
        <f ca="1">IF($A13="","",INDEX(Sheet!N$2:N$7967,$A13))</f>
        <v>Bộ</v>
      </c>
      <c r="J13" s="53" t="str">
        <f ca="1">IF($A13="","",INDEX(Sheet!AS$2:AS$7967,$A13))</f>
        <v>Bản vẽ</v>
      </c>
      <c r="K13" s="33" t="str">
        <f ca="1">IF($A13="","",IF(INDEX(Sheet!S$2:S$7967,$A13)="","",INDEX(Sheet!S$2:S$7967,$A13)))</f>
        <v/>
      </c>
      <c r="L13" s="33" t="str">
        <f ca="1">IF($A13="","",IF(INDEX(Sheet!R$2:R$7967,$A13)="","",INDEX(Sheet!R$2:R$7967,$A13)))</f>
        <v/>
      </c>
      <c r="M13" s="33" t="str">
        <f ca="1">IF($A13="","",IF(INDEX(Sheet!AO$2:AO$7967,$A13)="","",INDEX(Sheet!AO$2:AO$7967,$A13)))</f>
        <v/>
      </c>
      <c r="N13" s="33" t="str">
        <f ca="1">IF($A13="","",IF(INDEX(Sheet!T$2:T$7967,$A13)="","",INDEX(Sheet!T$2:T$7967,$A13)))</f>
        <v/>
      </c>
      <c r="O13" s="33" t="str">
        <f ca="1">IF($A13="","",IF(INDEX(Sheet!U$2:U$7967,$A13)="","",INDEX(Sheet!U$2:U$7967,$A13)))</f>
        <v/>
      </c>
      <c r="P13" s="33" t="str">
        <f ca="1">IF($A13="","",IF(INDEX(Sheet!W$2:W$7967,$A13)="","",INDEX(Sheet!W$2:W$7967,$A13)))</f>
        <v/>
      </c>
      <c r="Q13" s="33" t="str">
        <f ca="1">IF($A13="","",IF(INDEX(Sheet!V$2:V$7967,$A13)="","",INDEX(Sheet!V$2:V$7967,$A13)))</f>
        <v/>
      </c>
      <c r="R13" s="33" t="str">
        <f ca="1">IF($A13="","",IF(INDEX(Sheet!Z$2:Z$7967,$A13)="","",INDEX(Sheet!Z$2:Z$7967,$A13)))</f>
        <v/>
      </c>
      <c r="S13" s="33" t="str">
        <f ca="1">IF($A13="","",IF(INDEX(Sheet!Y$2:Y$7967,$A13)="","",INDEX(Sheet!Y$2:Y$7967,$A13)))</f>
        <v/>
      </c>
      <c r="T13" s="33" t="str">
        <f ca="1">IF($A13="","",IF(INDEX(Sheet!X$2:X$7967,$A13)="","",INDEX(Sheet!X$2:X$7967,$A13)))</f>
        <v/>
      </c>
      <c r="U13" s="33" t="str">
        <f ca="1">IF($A13="","",IF(INDEX(Sheet!AA$2:AA$7967,$A13)="","",INDEX(Sheet!AA$2:AA$7967,$A13)))</f>
        <v/>
      </c>
      <c r="V13" s="33" t="str">
        <f ca="1">IF($A13="","",IF(INDEX(Sheet!AB$2:AB$7967,$A13)="","",INDEX(Sheet!AB$2:AB$7967,$A13)))</f>
        <v/>
      </c>
      <c r="W13" s="33" t="str">
        <f ca="1">IF($A13="","",IF(INDEX(Sheet!AH$2:AH$7967,$A13)="","",INDEX(Sheet!AH$2:AH$7967,$A13)))</f>
        <v/>
      </c>
      <c r="X13" s="33" t="str">
        <f ca="1">IF($A13="","",IF(INDEX(Sheet!AC$2:AC$7967,$A13)="","",INDEX(Sheet!AC$2:AC$7967,$A13)))</f>
        <v/>
      </c>
      <c r="Y13" s="33" t="str">
        <f ca="1">IF($A13="","",IF(INDEX(Sheet!AD$2:AD$7967,$A13)="","",INDEX(Sheet!AD$2:AD$7967,$A13)))</f>
        <v/>
      </c>
      <c r="Z13" s="33" t="str">
        <f ca="1">IF($A13="","",IF(INDEX(Sheet!AL$2:AL$7967,$A13)="","",INDEX(Sheet!AL$2:AL$7967,$A13)))</f>
        <v/>
      </c>
      <c r="AA13" s="33" t="str">
        <f ca="1">IF($A13="","",IF(INDEX(Sheet!AE$2:AE$7967,$A13)="","",INDEX(Sheet!AE$2:AE$7967,$A13)))</f>
        <v/>
      </c>
      <c r="AB13" s="33" t="str">
        <f ca="1">IF($A13="","",IF(INDEX(Sheet!AF$2:AF$7967,$A13)="","",INDEX(Sheet!AF$2:AF$7967,$A13)))</f>
        <v/>
      </c>
      <c r="AC13" s="33" t="str">
        <f ca="1">IF($A13="","",IF(INDEX(Sheet!AG$2:AG$7967,$A13)="","",INDEX(Sheet!AG$2:AG$7967,$A13)))</f>
        <v/>
      </c>
      <c r="AD13" s="33" t="str">
        <f ca="1">IF($A13="","",IF(INDEX(Sheet!AM$2:AM$7967,$A13)="","",INDEX(Sheet!AM$2:AM$7967,$A13)))</f>
        <v/>
      </c>
      <c r="AE13" s="33">
        <f ca="1">IF($A13="","",IF(INDEX(Sheet!AJ$2:AJ$7967,$A13)="","",INDEX(Sheet!AJ$2:AJ$7967,$A13)))</f>
        <v>43813</v>
      </c>
      <c r="AF13" s="33" t="str">
        <f ca="1">IF($A13="","",IF(INDEX(Sheet!AI$2:AI$7967,$A13)="","",INDEX(Sheet!AI$2:AI$7967,$A13)))</f>
        <v/>
      </c>
      <c r="AG13" s="33">
        <f ca="1">IF(D13="duyệt sản xuất"," Bảo Bảo, Ngày "&amp;DAY($J$4)&amp;" Tháng "&amp;MONTH($J$4)&amp;" Năm "&amp;YEAR($J$4),IF(D13="Phê duyệt","NGƯỜI LẬP",IF(D13="Nguyễn Ngọc Thắng","NGUYỄN THỊ MAI",IF($A13="","",INDEX(Sheet!AK$2:AK$7967,$A13)))))</f>
        <v>0</v>
      </c>
      <c r="AH13" s="58" t="str">
        <f ca="1">IF($A13="","",INDEX(Sheet!AR$2:AR$7967,$A13)&amp;" ; "&amp;INDEX(Sheet!M$2:M$7967,$A13))</f>
        <v xml:space="preserve"> ; STĐ Đen &amp; Xi trắng Cr3+ test 48h</v>
      </c>
      <c r="AI13" s="1"/>
      <c r="BG13" s="35" t="str">
        <f ca="1">IFERROR(VALUE(separ(INDEX(Sheet!Q$2:Q$7967,$A13),"-",1)),"")</f>
        <v/>
      </c>
      <c r="BH13" s="35" t="str">
        <f ca="1">IFERROR(VALUE(separ(INDEX(Sheet!R$2:R$7967,$A13),"-",1)),"")</f>
        <v/>
      </c>
      <c r="BI13" s="35" t="str">
        <f ca="1">IFERROR(VALUE(separ(INDEX(Sheet!S$2:S$7967,$A13),"-",1)),"")</f>
        <v/>
      </c>
      <c r="BJ13" s="35" t="str">
        <f ca="1">IFERROR(VALUE(separ(INDEX(Sheet!T$2:T$7967,$A13),"-",1)),"")</f>
        <v/>
      </c>
      <c r="BK13" s="35" t="str">
        <f ca="1">IFERROR(VALUE(separ(INDEX(Sheet!U$2:U$7967,$A13),"-",1)),"")</f>
        <v/>
      </c>
      <c r="BL13" s="35" t="str">
        <f ca="1">IFERROR(VALUE(separ(INDEX(Sheet!V$2:V$7967,$A13),"-",1)),"")</f>
        <v/>
      </c>
      <c r="BM13" s="35" t="str">
        <f ca="1">IFERROR(VALUE(separ(INDEX(Sheet!W$2:W$7967,$A13),"-",1)),"")</f>
        <v/>
      </c>
      <c r="BN13" s="35" t="str">
        <f ca="1">IFERROR(VALUE(separ(INDEX(Sheet!X$2:X$7967,$A13),"-",1)),"")</f>
        <v/>
      </c>
      <c r="BO13" s="35" t="str">
        <f ca="1">IFERROR(VALUE(separ(INDEX(Sheet!Y$2:Y$7967,$A13),"-",1)),"")</f>
        <v/>
      </c>
      <c r="BP13" s="35" t="str">
        <f ca="1">IFERROR(VALUE(separ(INDEX(Sheet!Z$2:Z$7967,$A13),"-",1)),"")</f>
        <v/>
      </c>
      <c r="BQ13" s="35" t="str">
        <f ca="1">IFERROR(VALUE(separ(INDEX(Sheet!AA$2:AA$7967,$A13),"-",1)),"")</f>
        <v/>
      </c>
      <c r="BR13" s="35" t="str">
        <f ca="1">IFERROR(VALUE(separ(INDEX(Sheet!AB$2:AB$7967,$A13),"-",1)),"")</f>
        <v/>
      </c>
      <c r="BS13" s="35" t="str">
        <f ca="1">IFERROR(VALUE(separ(INDEX(Sheet!AC$2:AC$7967,$A13),"-",1)),"")</f>
        <v/>
      </c>
      <c r="BT13" s="35" t="str">
        <f ca="1">IFERROR(VALUE(separ(INDEX(Sheet!AD$2:AD$7967,$A13),"-",1)),"")</f>
        <v/>
      </c>
      <c r="BU13" s="35" t="str">
        <f ca="1">IFERROR(VALUE(separ(INDEX(Sheet!AE$2:AE$7967,$A13),"-",1)),"")</f>
        <v/>
      </c>
      <c r="BV13" s="35"/>
      <c r="BW13" s="35" t="str">
        <f ca="1">IFERROR((separ(INDEX(Sheet!Q$2:Q$7967,$A13),"-",2)),"")</f>
        <v xml:space="preserve"> </v>
      </c>
      <c r="BX13" s="35" t="str">
        <f ca="1">IFERROR((separ(INDEX(Sheet!R$2:R$7967,$A13),"-",2)),"")</f>
        <v xml:space="preserve"> </v>
      </c>
      <c r="BY13" s="35" t="str">
        <f ca="1">IFERROR((separ(INDEX(Sheet!S$2:S$7967,$A13),"-",2)),"")</f>
        <v xml:space="preserve"> </v>
      </c>
      <c r="BZ13" s="35" t="str">
        <f ca="1">IFERROR((separ(INDEX(Sheet!T$2:T$7967,$A13),"-",2)),"")</f>
        <v xml:space="preserve"> </v>
      </c>
      <c r="CA13" s="35" t="str">
        <f ca="1">IFERROR((separ(INDEX(Sheet!U$2:U$7967,$A13),"-",2)),"")</f>
        <v xml:space="preserve"> </v>
      </c>
      <c r="CB13" s="35" t="str">
        <f ca="1">IFERROR((separ(INDEX(Sheet!V$2:V$7967,$A13),"-",2)),"")</f>
        <v xml:space="preserve"> </v>
      </c>
      <c r="CC13" s="35" t="str">
        <f ca="1">IFERROR((separ(INDEX(Sheet!W$2:W$7967,$A13),"-",2)),"")</f>
        <v xml:space="preserve"> </v>
      </c>
      <c r="CD13" s="35" t="str">
        <f ca="1">IFERROR((separ(INDEX(Sheet!X$2:X$7967,$A13),"-",2)),"")</f>
        <v xml:space="preserve"> </v>
      </c>
      <c r="CE13" s="35" t="str">
        <f ca="1">IFERROR((separ(INDEX(Sheet!Y$2:Y$7967,$A13),"-",2)),"")</f>
        <v xml:space="preserve"> </v>
      </c>
      <c r="CF13" s="35" t="str">
        <f ca="1">IFERROR((separ(INDEX(Sheet!Z$2:Z$7967,$A13),"-",2)),"")</f>
        <v xml:space="preserve"> </v>
      </c>
      <c r="CG13" s="35" t="str">
        <f ca="1">IFERROR((separ(INDEX(Sheet!AA$2:AA$7967,$A13),"-",2)),"")</f>
        <v xml:space="preserve"> </v>
      </c>
      <c r="CH13" s="35" t="str">
        <f ca="1">IFERROR((separ(INDEX(Sheet!AB$2:AB$7967,$A13),"-",2)),"")</f>
        <v xml:space="preserve"> </v>
      </c>
      <c r="CI13" s="35" t="str">
        <f ca="1">IFERROR((separ(INDEX(Sheet!AC$2:AC$7967,$A13),"-",2)),"")</f>
        <v xml:space="preserve"> </v>
      </c>
      <c r="CJ13" s="35" t="str">
        <f ca="1">IFERROR((separ(INDEX(Sheet!AD$2:AD$7967,$A13),"-",2)),"")</f>
        <v xml:space="preserve"> </v>
      </c>
      <c r="CK13" s="35" t="str">
        <f ca="1">IFERROR((separ(INDEX(Sheet!AE$2:AE$7967,$A13),"-",2)),"")</f>
        <v xml:space="preserve"> </v>
      </c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</row>
    <row r="14" spans="1:104" s="29" customFormat="1" ht="30">
      <c r="A14" s="45">
        <f ca="1">IFERROR(MATCH($B$3,OFFSET(Sheet!$D$2,A13,0):'Sheet'!$D$7657,0)+A13,"")</f>
        <v>7</v>
      </c>
      <c r="B14" s="29">
        <f ca="1">IF(ROW(A7)&lt;=COUNT($A$6:$A$800),INDEX(Sheet!$A$2:$A$7967,$A14),IF(ROW(A7)=COUNT($A$6:$A$800)+1," ",IF(ROW(A7)=COUNT($A$6:$A$800)+2,"  ","")))</f>
        <v>310205</v>
      </c>
      <c r="C14" s="67" t="str">
        <f ca="1">IF($A14="","",INDEX(Sheet!E$2:E$7967,$A14))</f>
        <v>MEC-ST-1000</v>
      </c>
      <c r="D14" s="31" t="str">
        <f ca="1">IF(B11=" ",$AR$1,IF(B14=" ",$AQ$1,IF(A14="","",INDEX(Sheet!G$2:G$7967,$A14))))</f>
        <v>Bộ chân lò nướng</v>
      </c>
      <c r="E14" s="32" t="str">
        <f ca="1">IF($A14="","",TEXT(INDEX(Sheet!J$2:J$7967,$A14),"#,#")&amp;" "&amp;INDEX(Sheet!AT$2:AT$7967,$A14))</f>
        <v>8,424 Bộ</v>
      </c>
      <c r="F14" s="53" t="str">
        <f ca="1">IF($A14="","",INDEX(Sheet!F$2:F$7967,$A14))</f>
        <v>Phụ kiên mã BBA-ST-0147 ( Pát 48.5*31)(ĐỢT 7)</v>
      </c>
      <c r="G14" s="32">
        <f ca="1">IF($A14="","",INDEX(Sheet!I$2:I$7967,$A14))</f>
        <v>1</v>
      </c>
      <c r="H14" s="32">
        <f ca="1">IF($A14="","",INDEX(Sheet!L$2:L$7967,$A14))</f>
        <v>8424</v>
      </c>
      <c r="I14" s="32" t="str">
        <f ca="1">IF($A14="","",INDEX(Sheet!N$2:N$7967,$A14))</f>
        <v>Bộ</v>
      </c>
      <c r="J14" s="53" t="str">
        <f ca="1">IF($A14="","",INDEX(Sheet!AS$2:AS$7967,$A14))</f>
        <v>Bản vẽ</v>
      </c>
      <c r="K14" s="33" t="str">
        <f ca="1">IF($A14="","",IF(INDEX(Sheet!S$2:S$7967,$A14)="","",INDEX(Sheet!S$2:S$7967,$A14)))</f>
        <v/>
      </c>
      <c r="L14" s="33" t="str">
        <f ca="1">IF($A14="","",IF(INDEX(Sheet!R$2:R$7967,$A14)="","",INDEX(Sheet!R$2:R$7967,$A14)))</f>
        <v/>
      </c>
      <c r="M14" s="33" t="str">
        <f ca="1">IF($A14="","",IF(INDEX(Sheet!AO$2:AO$7967,$A14)="","",INDEX(Sheet!AO$2:AO$7967,$A14)))</f>
        <v/>
      </c>
      <c r="N14" s="33" t="str">
        <f ca="1">IF($A14="","",IF(INDEX(Sheet!T$2:T$7967,$A14)="","",INDEX(Sheet!T$2:T$7967,$A14)))</f>
        <v/>
      </c>
      <c r="O14" s="33">
        <f ca="1">IF($A14="","",IF(INDEX(Sheet!U$2:U$7967,$A14)="","",INDEX(Sheet!U$2:U$7967,$A14)))</f>
        <v>43813</v>
      </c>
      <c r="P14" s="33" t="str">
        <f ca="1">IF($A14="","",IF(INDEX(Sheet!W$2:W$7967,$A14)="","",INDEX(Sheet!W$2:W$7967,$A14)))</f>
        <v/>
      </c>
      <c r="Q14" s="33" t="str">
        <f ca="1">IF($A14="","",IF(INDEX(Sheet!V$2:V$7967,$A14)="","",INDEX(Sheet!V$2:V$7967,$A14)))</f>
        <v/>
      </c>
      <c r="R14" s="33" t="str">
        <f ca="1">IF($A14="","",IF(INDEX(Sheet!Z$2:Z$7967,$A14)="","",INDEX(Sheet!Z$2:Z$7967,$A14)))</f>
        <v/>
      </c>
      <c r="S14" s="33" t="str">
        <f ca="1">IF($A14="","",IF(INDEX(Sheet!Y$2:Y$7967,$A14)="","",INDEX(Sheet!Y$2:Y$7967,$A14)))</f>
        <v/>
      </c>
      <c r="T14" s="33" t="str">
        <f ca="1">IF($A14="","",IF(INDEX(Sheet!X$2:X$7967,$A14)="","",INDEX(Sheet!X$2:X$7967,$A14)))</f>
        <v/>
      </c>
      <c r="U14" s="33" t="str">
        <f ca="1">IF($A14="","",IF(INDEX(Sheet!AA$2:AA$7967,$A14)="","",INDEX(Sheet!AA$2:AA$7967,$A14)))</f>
        <v/>
      </c>
      <c r="V14" s="33" t="str">
        <f ca="1">IF($A14="","",IF(INDEX(Sheet!AB$2:AB$7967,$A14)="","",INDEX(Sheet!AB$2:AB$7967,$A14)))</f>
        <v/>
      </c>
      <c r="W14" s="33" t="str">
        <f ca="1">IF($A14="","",IF(INDEX(Sheet!AH$2:AH$7967,$A14)="","",INDEX(Sheet!AH$2:AH$7967,$A14)))</f>
        <v/>
      </c>
      <c r="X14" s="33" t="str">
        <f ca="1">IF($A14="","",IF(INDEX(Sheet!AC$2:AC$7967,$A14)="","",INDEX(Sheet!AC$2:AC$7967,$A14)))</f>
        <v/>
      </c>
      <c r="Y14" s="33" t="str">
        <f ca="1">IF($A14="","",IF(INDEX(Sheet!AD$2:AD$7967,$A14)="","",INDEX(Sheet!AD$2:AD$7967,$A14)))</f>
        <v/>
      </c>
      <c r="Z14" s="33">
        <f ca="1">IF($A14="","",IF(INDEX(Sheet!AL$2:AL$7967,$A14)="","",INDEX(Sheet!AL$2:AL$7967,$A14)))</f>
        <v>43815</v>
      </c>
      <c r="AA14" s="33" t="str">
        <f ca="1">IF($A14="","",IF(INDEX(Sheet!AE$2:AE$7967,$A14)="","",INDEX(Sheet!AE$2:AE$7967,$A14)))</f>
        <v/>
      </c>
      <c r="AB14" s="33" t="str">
        <f ca="1">IF($A14="","",IF(INDEX(Sheet!AF$2:AF$7967,$A14)="","",INDEX(Sheet!AF$2:AF$7967,$A14)))</f>
        <v/>
      </c>
      <c r="AC14" s="33" t="str">
        <f ca="1">IF($A14="","",IF(INDEX(Sheet!AG$2:AG$7967,$A14)="","",INDEX(Sheet!AG$2:AG$7967,$A14)))</f>
        <v/>
      </c>
      <c r="AD14" s="33">
        <f ca="1">IF($A14="","",IF(INDEX(Sheet!AM$2:AM$7967,$A14)="","",INDEX(Sheet!AM$2:AM$7967,$A14)))</f>
        <v>43816</v>
      </c>
      <c r="AE14" s="33" t="str">
        <f ca="1">IF($A14="","",IF(INDEX(Sheet!AJ$2:AJ$7967,$A14)="","",INDEX(Sheet!AJ$2:AJ$7967,$A14)))</f>
        <v/>
      </c>
      <c r="AF14" s="33" t="str">
        <f ca="1">IF($A14="","",IF(INDEX(Sheet!AI$2:AI$7967,$A14)="","",INDEX(Sheet!AI$2:AI$7967,$A14)))</f>
        <v/>
      </c>
      <c r="AG14" s="33">
        <f ca="1">IF(D14="duyệt sản xuất"," Bảo Bảo, Ngày "&amp;DAY($J$4)&amp;" Tháng "&amp;MONTH($J$4)&amp;" Năm "&amp;YEAR($J$4),IF(D14="Phê duyệt","NGƯỜI LẬP",IF(D14="Nguyễn Ngọc Thắng","NGUYỄN THỊ MAI",IF($A14="","",INDEX(Sheet!AK$2:AK$7967,$A14)))))</f>
        <v>0</v>
      </c>
      <c r="AH14" s="58" t="str">
        <f ca="1">IF($A14="","",INDEX(Sheet!AR$2:AR$7967,$A14)&amp;" ; "&amp;INDEX(Sheet!M$2:M$7967,$A14))</f>
        <v xml:space="preserve"> ; STĐ Đen &amp; Xi trắng Cr3+ test 48h</v>
      </c>
      <c r="AI14" s="1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G14" s="35" t="str">
        <f ca="1">IFERROR(VALUE(separ(INDEX(Sheet!Q$2:Q$7967,$A14),"-",1)),"")</f>
        <v/>
      </c>
      <c r="BH14" s="35" t="str">
        <f ca="1">IFERROR(VALUE(separ(INDEX(Sheet!R$2:R$7967,$A14),"-",1)),"")</f>
        <v/>
      </c>
      <c r="BI14" s="35" t="str">
        <f ca="1">IFERROR(VALUE(separ(INDEX(Sheet!S$2:S$7967,$A14),"-",1)),"")</f>
        <v/>
      </c>
      <c r="BJ14" s="35" t="str">
        <f ca="1">IFERROR(VALUE(separ(INDEX(Sheet!T$2:T$7967,$A14),"-",1)),"")</f>
        <v/>
      </c>
      <c r="BK14" s="35">
        <f ca="1">IFERROR(VALUE(separ(INDEX(Sheet!U$2:U$7967,$A14),"-",1)),"")</f>
        <v>43813</v>
      </c>
      <c r="BL14" s="35" t="str">
        <f ca="1">IFERROR(VALUE(separ(INDEX(Sheet!V$2:V$7967,$A14),"-",1)),"")</f>
        <v/>
      </c>
      <c r="BM14" s="35" t="str">
        <f ca="1">IFERROR(VALUE(separ(INDEX(Sheet!W$2:W$7967,$A14),"-",1)),"")</f>
        <v/>
      </c>
      <c r="BN14" s="35" t="str">
        <f ca="1">IFERROR(VALUE(separ(INDEX(Sheet!X$2:X$7967,$A14),"-",1)),"")</f>
        <v/>
      </c>
      <c r="BO14" s="35" t="str">
        <f ca="1">IFERROR(VALUE(separ(INDEX(Sheet!Y$2:Y$7967,$A14),"-",1)),"")</f>
        <v/>
      </c>
      <c r="BP14" s="35" t="str">
        <f ca="1">IFERROR(VALUE(separ(INDEX(Sheet!Z$2:Z$7967,$A14),"-",1)),"")</f>
        <v/>
      </c>
      <c r="BQ14" s="35" t="str">
        <f ca="1">IFERROR(VALUE(separ(INDEX(Sheet!AA$2:AA$7967,$A14),"-",1)),"")</f>
        <v/>
      </c>
      <c r="BR14" s="35" t="str">
        <f ca="1">IFERROR(VALUE(separ(INDEX(Sheet!AB$2:AB$7967,$A14),"-",1)),"")</f>
        <v/>
      </c>
      <c r="BS14" s="35" t="str">
        <f ca="1">IFERROR(VALUE(separ(INDEX(Sheet!AC$2:AC$7967,$A14),"-",1)),"")</f>
        <v/>
      </c>
      <c r="BT14" s="35" t="str">
        <f ca="1">IFERROR(VALUE(separ(INDEX(Sheet!AD$2:AD$7967,$A14),"-",1)),"")</f>
        <v/>
      </c>
      <c r="BU14" s="35" t="str">
        <f ca="1">IFERROR(VALUE(separ(INDEX(Sheet!AE$2:AE$7967,$A14),"-",1)),"")</f>
        <v/>
      </c>
      <c r="BV14" s="35"/>
      <c r="BW14" s="35" t="str">
        <f ca="1">IFERROR((separ(INDEX(Sheet!Q$2:Q$7967,$A14),"-",2)),"")</f>
        <v xml:space="preserve"> </v>
      </c>
      <c r="BX14" s="35" t="str">
        <f ca="1">IFERROR((separ(INDEX(Sheet!R$2:R$7967,$A14),"-",2)),"")</f>
        <v xml:space="preserve"> </v>
      </c>
      <c r="BY14" s="35" t="str">
        <f ca="1">IFERROR((separ(INDEX(Sheet!S$2:S$7967,$A14),"-",2)),"")</f>
        <v xml:space="preserve"> </v>
      </c>
      <c r="BZ14" s="35" t="str">
        <f ca="1">IFERROR((separ(INDEX(Sheet!T$2:T$7967,$A14),"-",2)),"")</f>
        <v xml:space="preserve"> </v>
      </c>
      <c r="CA14" s="35" t="str">
        <f ca="1">IFERROR((separ(INDEX(Sheet!U$2:U$7967,$A14),"-",2)),"")</f>
        <v xml:space="preserve"> </v>
      </c>
      <c r="CB14" s="35" t="str">
        <f ca="1">IFERROR((separ(INDEX(Sheet!V$2:V$7967,$A14),"-",2)),"")</f>
        <v xml:space="preserve"> </v>
      </c>
      <c r="CC14" s="35" t="str">
        <f ca="1">IFERROR((separ(INDEX(Sheet!W$2:W$7967,$A14),"-",2)),"")</f>
        <v xml:space="preserve"> </v>
      </c>
      <c r="CD14" s="35" t="str">
        <f ca="1">IFERROR((separ(INDEX(Sheet!X$2:X$7967,$A14),"-",2)),"")</f>
        <v xml:space="preserve"> </v>
      </c>
      <c r="CE14" s="35" t="str">
        <f ca="1">IFERROR((separ(INDEX(Sheet!Y$2:Y$7967,$A14),"-",2)),"")</f>
        <v xml:space="preserve"> </v>
      </c>
      <c r="CF14" s="35" t="str">
        <f ca="1">IFERROR((separ(INDEX(Sheet!Z$2:Z$7967,$A14),"-",2)),"")</f>
        <v xml:space="preserve"> </v>
      </c>
      <c r="CG14" s="35" t="str">
        <f ca="1">IFERROR((separ(INDEX(Sheet!AA$2:AA$7967,$A14),"-",2)),"")</f>
        <v xml:space="preserve"> </v>
      </c>
      <c r="CH14" s="35" t="str">
        <f ca="1">IFERROR((separ(INDEX(Sheet!AB$2:AB$7967,$A14),"-",2)),"")</f>
        <v xml:space="preserve"> </v>
      </c>
      <c r="CI14" s="35" t="str">
        <f ca="1">IFERROR((separ(INDEX(Sheet!AC$2:AC$7967,$A14),"-",2)),"")</f>
        <v xml:space="preserve"> </v>
      </c>
      <c r="CJ14" s="35" t="str">
        <f ca="1">IFERROR((separ(INDEX(Sheet!AD$2:AD$7967,$A14),"-",2)),"")</f>
        <v xml:space="preserve"> </v>
      </c>
      <c r="CK14" s="35" t="str">
        <f ca="1">IFERROR((separ(INDEX(Sheet!AE$2:AE$7967,$A14),"-",2)),"")</f>
        <v xml:space="preserve"> </v>
      </c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</row>
    <row r="15" spans="1:104" s="29" customFormat="1" ht="45">
      <c r="A15" s="45">
        <f ca="1">IFERROR(MATCH($B$3,OFFSET(Sheet!$D$2,A14,0):'Sheet'!$D$7657,0)+A14,"")</f>
        <v>8</v>
      </c>
      <c r="B15" s="29">
        <f ca="1">IF(ROW(A8)&lt;=COUNT($A$6:$A$800),INDEX(Sheet!$A$2:$A$7967,$A15),IF(ROW(A8)=COUNT($A$6:$A$800)+1," ",IF(ROW(A8)=COUNT($A$6:$A$800)+2,"  ","")))</f>
        <v>310206</v>
      </c>
      <c r="C15" s="67" t="str">
        <f ca="1">IF($A15="","",INDEX(Sheet!E$2:E$7967,$A15))</f>
        <v>MEC-ST-1000</v>
      </c>
      <c r="D15" s="31" t="str">
        <f ca="1">IF(B12=" ",$AR$1,IF(B15=" ",$AQ$1,IF(A15="","",INDEX(Sheet!G$2:G$7967,$A15))))</f>
        <v>Bộ chân lò nướng</v>
      </c>
      <c r="E15" s="32" t="str">
        <f ca="1">IF($A15="","",TEXT(INDEX(Sheet!J$2:J$7967,$A15),"#,#")&amp;" "&amp;INDEX(Sheet!AT$2:AT$7967,$A15))</f>
        <v>8,424 Bộ</v>
      </c>
      <c r="F15" s="53" t="str">
        <f ca="1">IF($A15="","",INDEX(Sheet!F$2:F$7967,$A15))</f>
        <v>Phụ kiên mã BBA-ST-0148 ( Pát 65*19*2)(NHÚNG ED)(ĐỢT 7)</v>
      </c>
      <c r="G15" s="32">
        <f ca="1">IF($A15="","",INDEX(Sheet!I$2:I$7967,$A15))</f>
        <v>1</v>
      </c>
      <c r="H15" s="32">
        <f ca="1">IF($A15="","",INDEX(Sheet!L$2:L$7967,$A15))</f>
        <v>8424</v>
      </c>
      <c r="I15" s="32" t="str">
        <f ca="1">IF($A15="","",INDEX(Sheet!N$2:N$7967,$A15))</f>
        <v>Bộ</v>
      </c>
      <c r="J15" s="53" t="str">
        <f ca="1">IF($A15="","",INDEX(Sheet!AS$2:AS$7967,$A15))</f>
        <v>Bản vẽ</v>
      </c>
      <c r="K15" s="33" t="str">
        <f ca="1">IF($A15="","",IF(INDEX(Sheet!S$2:S$7967,$A15)="","",INDEX(Sheet!S$2:S$7967,$A15)))</f>
        <v/>
      </c>
      <c r="L15" s="33" t="str">
        <f ca="1">IF($A15="","",IF(INDEX(Sheet!R$2:R$7967,$A15)="","",INDEX(Sheet!R$2:R$7967,$A15)))</f>
        <v/>
      </c>
      <c r="M15" s="33" t="str">
        <f ca="1">IF($A15="","",IF(INDEX(Sheet!AO$2:AO$7967,$A15)="","",INDEX(Sheet!AO$2:AO$7967,$A15)))</f>
        <v/>
      </c>
      <c r="N15" s="33">
        <f ca="1">IF($A15="","",IF(INDEX(Sheet!T$2:T$7967,$A15)="","",INDEX(Sheet!T$2:T$7967,$A15)))</f>
        <v>43801</v>
      </c>
      <c r="O15" s="33">
        <f ca="1">IF($A15="","",IF(INDEX(Sheet!U$2:U$7967,$A15)="","",INDEX(Sheet!U$2:U$7967,$A15)))</f>
        <v>43813</v>
      </c>
      <c r="P15" s="33" t="str">
        <f ca="1">IF($A15="","",IF(INDEX(Sheet!W$2:W$7967,$A15)="","",INDEX(Sheet!W$2:W$7967,$A15)))</f>
        <v/>
      </c>
      <c r="Q15" s="33" t="str">
        <f ca="1">IF($A15="","",IF(INDEX(Sheet!V$2:V$7967,$A15)="","",INDEX(Sheet!V$2:V$7967,$A15)))</f>
        <v/>
      </c>
      <c r="R15" s="33" t="str">
        <f ca="1">IF($A15="","",IF(INDEX(Sheet!Z$2:Z$7967,$A15)="","",INDEX(Sheet!Z$2:Z$7967,$A15)))</f>
        <v/>
      </c>
      <c r="S15" s="33" t="str">
        <f ca="1">IF($A15="","",IF(INDEX(Sheet!Y$2:Y$7967,$A15)="","",INDEX(Sheet!Y$2:Y$7967,$A15)))</f>
        <v/>
      </c>
      <c r="T15" s="33" t="str">
        <f ca="1">IF($A15="","",IF(INDEX(Sheet!X$2:X$7967,$A15)="","",INDEX(Sheet!X$2:X$7967,$A15)))</f>
        <v/>
      </c>
      <c r="U15" s="33" t="str">
        <f ca="1">IF($A15="","",IF(INDEX(Sheet!AA$2:AA$7967,$A15)="","",INDEX(Sheet!AA$2:AA$7967,$A15)))</f>
        <v/>
      </c>
      <c r="V15" s="33" t="str">
        <f ca="1">IF($A15="","",IF(INDEX(Sheet!AB$2:AB$7967,$A15)="","",INDEX(Sheet!AB$2:AB$7967,$A15)))</f>
        <v/>
      </c>
      <c r="W15" s="33" t="str">
        <f ca="1">IF($A15="","",IF(INDEX(Sheet!AH$2:AH$7967,$A15)="","",INDEX(Sheet!AH$2:AH$7967,$A15)))</f>
        <v/>
      </c>
      <c r="X15" s="33" t="str">
        <f ca="1">IF($A15="","",IF(INDEX(Sheet!AC$2:AC$7967,$A15)="","",INDEX(Sheet!AC$2:AC$7967,$A15)))</f>
        <v/>
      </c>
      <c r="Y15" s="33" t="str">
        <f ca="1">IF($A15="","",IF(INDEX(Sheet!AD$2:AD$7967,$A15)="","",INDEX(Sheet!AD$2:AD$7967,$A15)))</f>
        <v/>
      </c>
      <c r="Z15" s="33" t="str">
        <f ca="1">IF($A15="","",IF(INDEX(Sheet!AL$2:AL$7967,$A15)="","",INDEX(Sheet!AL$2:AL$7967,$A15)))</f>
        <v/>
      </c>
      <c r="AA15" s="33" t="str">
        <f ca="1">IF($A15="","",IF(INDEX(Sheet!AE$2:AE$7967,$A15)="","",INDEX(Sheet!AE$2:AE$7967,$A15)))</f>
        <v/>
      </c>
      <c r="AB15" s="33" t="str">
        <f ca="1">IF($A15="","",IF(INDEX(Sheet!AF$2:AF$7967,$A15)="","",INDEX(Sheet!AF$2:AF$7967,$A15)))</f>
        <v/>
      </c>
      <c r="AC15" s="33" t="str">
        <f ca="1">IF($A15="","",IF(INDEX(Sheet!AG$2:AG$7967,$A15)="","",INDEX(Sheet!AG$2:AG$7967,$A15)))</f>
        <v/>
      </c>
      <c r="AD15" s="33" t="str">
        <f ca="1">IF($A15="","",IF(INDEX(Sheet!AM$2:AM$7967,$A15)="","",INDEX(Sheet!AM$2:AM$7967,$A15)))</f>
        <v/>
      </c>
      <c r="AE15" s="33" t="str">
        <f ca="1">IF($A15="","",IF(INDEX(Sheet!AJ$2:AJ$7967,$A15)="","",INDEX(Sheet!AJ$2:AJ$7967,$A15)))</f>
        <v/>
      </c>
      <c r="AF15" s="33" t="str">
        <f ca="1">IF($A15="","",IF(INDEX(Sheet!AI$2:AI$7967,$A15)="","",INDEX(Sheet!AI$2:AI$7967,$A15)))</f>
        <v/>
      </c>
      <c r="AG15" s="33">
        <f ca="1">IF(D15="duyệt sản xuất"," Bảo Bảo, Ngày "&amp;DAY($J$4)&amp;" Tháng "&amp;MONTH($J$4)&amp;" Năm "&amp;YEAR($J$4),IF(D15="Phê duyệt","NGƯỜI LẬP",IF(D15="Nguyễn Ngọc Thắng","NGUYỄN THỊ MAI",IF($A15="","",INDEX(Sheet!AK$2:AK$7967,$A15)))))</f>
        <v>0</v>
      </c>
      <c r="AH15" s="58" t="str">
        <f ca="1">IF($A15="","",INDEX(Sheet!AR$2:AR$7967,$A15)&amp;" ; "&amp;INDEX(Sheet!M$2:M$7967,$A15))</f>
        <v xml:space="preserve"> ; STĐ Đen &amp; Xi trắng Cr3+ test 48h</v>
      </c>
      <c r="AI15" s="1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G15" s="35" t="str">
        <f ca="1">IFERROR(VALUE(separ(INDEX(Sheet!Q$2:Q$7967,$A15),"-",1)),"")</f>
        <v/>
      </c>
      <c r="BH15" s="35" t="str">
        <f ca="1">IFERROR(VALUE(separ(INDEX(Sheet!R$2:R$7967,$A15),"-",1)),"")</f>
        <v/>
      </c>
      <c r="BI15" s="35" t="str">
        <f ca="1">IFERROR(VALUE(separ(INDEX(Sheet!S$2:S$7967,$A15),"-",1)),"")</f>
        <v/>
      </c>
      <c r="BJ15" s="35">
        <f ca="1">IFERROR(VALUE(separ(INDEX(Sheet!T$2:T$7967,$A15),"-",1)),"")</f>
        <v>43801</v>
      </c>
      <c r="BK15" s="35">
        <f ca="1">IFERROR(VALUE(separ(INDEX(Sheet!U$2:U$7967,$A15),"-",1)),"")</f>
        <v>43813</v>
      </c>
      <c r="BL15" s="35" t="str">
        <f ca="1">IFERROR(VALUE(separ(INDEX(Sheet!V$2:V$7967,$A15),"-",1)),"")</f>
        <v/>
      </c>
      <c r="BM15" s="35" t="str">
        <f ca="1">IFERROR(VALUE(separ(INDEX(Sheet!W$2:W$7967,$A15),"-",1)),"")</f>
        <v/>
      </c>
      <c r="BN15" s="35" t="str">
        <f ca="1">IFERROR(VALUE(separ(INDEX(Sheet!X$2:X$7967,$A15),"-",1)),"")</f>
        <v/>
      </c>
      <c r="BO15" s="35" t="str">
        <f ca="1">IFERROR(VALUE(separ(INDEX(Sheet!Y$2:Y$7967,$A15),"-",1)),"")</f>
        <v/>
      </c>
      <c r="BP15" s="35" t="str">
        <f ca="1">IFERROR(VALUE(separ(INDEX(Sheet!Z$2:Z$7967,$A15),"-",1)),"")</f>
        <v/>
      </c>
      <c r="BQ15" s="35" t="str">
        <f ca="1">IFERROR(VALUE(separ(INDEX(Sheet!AA$2:AA$7967,$A15),"-",1)),"")</f>
        <v/>
      </c>
      <c r="BR15" s="35" t="str">
        <f ca="1">IFERROR(VALUE(separ(INDEX(Sheet!AB$2:AB$7967,$A15),"-",1)),"")</f>
        <v/>
      </c>
      <c r="BS15" s="35" t="str">
        <f ca="1">IFERROR(VALUE(separ(INDEX(Sheet!AC$2:AC$7967,$A15),"-",1)),"")</f>
        <v/>
      </c>
      <c r="BT15" s="35" t="str">
        <f ca="1">IFERROR(VALUE(separ(INDEX(Sheet!AD$2:AD$7967,$A15),"-",1)),"")</f>
        <v/>
      </c>
      <c r="BU15" s="35" t="str">
        <f ca="1">IFERROR(VALUE(separ(INDEX(Sheet!AE$2:AE$7967,$A15),"-",1)),"")</f>
        <v/>
      </c>
      <c r="BV15" s="35"/>
      <c r="BW15" s="35" t="str">
        <f ca="1">IFERROR((separ(INDEX(Sheet!Q$2:Q$7967,$A15),"-",2)),"")</f>
        <v xml:space="preserve"> </v>
      </c>
      <c r="BX15" s="35" t="str">
        <f ca="1">IFERROR((separ(INDEX(Sheet!R$2:R$7967,$A15),"-",2)),"")</f>
        <v xml:space="preserve"> </v>
      </c>
      <c r="BY15" s="35" t="str">
        <f ca="1">IFERROR((separ(INDEX(Sheet!S$2:S$7967,$A15),"-",2)),"")</f>
        <v xml:space="preserve"> </v>
      </c>
      <c r="BZ15" s="35" t="str">
        <f ca="1">IFERROR((separ(INDEX(Sheet!T$2:T$7967,$A15),"-",2)),"")</f>
        <v xml:space="preserve"> </v>
      </c>
      <c r="CA15" s="35" t="str">
        <f ca="1">IFERROR((separ(INDEX(Sheet!U$2:U$7967,$A15),"-",2)),"")</f>
        <v xml:space="preserve"> </v>
      </c>
      <c r="CB15" s="35" t="str">
        <f ca="1">IFERROR((separ(INDEX(Sheet!V$2:V$7967,$A15),"-",2)),"")</f>
        <v xml:space="preserve"> </v>
      </c>
      <c r="CC15" s="35" t="str">
        <f ca="1">IFERROR((separ(INDEX(Sheet!W$2:W$7967,$A15),"-",2)),"")</f>
        <v xml:space="preserve"> </v>
      </c>
      <c r="CD15" s="35" t="str">
        <f ca="1">IFERROR((separ(INDEX(Sheet!X$2:X$7967,$A15),"-",2)),"")</f>
        <v xml:space="preserve"> </v>
      </c>
      <c r="CE15" s="35" t="str">
        <f ca="1">IFERROR((separ(INDEX(Sheet!Y$2:Y$7967,$A15),"-",2)),"")</f>
        <v xml:space="preserve"> </v>
      </c>
      <c r="CF15" s="35" t="str">
        <f ca="1">IFERROR((separ(INDEX(Sheet!Z$2:Z$7967,$A15),"-",2)),"")</f>
        <v xml:space="preserve"> </v>
      </c>
      <c r="CG15" s="35" t="str">
        <f ca="1">IFERROR((separ(INDEX(Sheet!AA$2:AA$7967,$A15),"-",2)),"")</f>
        <v xml:space="preserve"> </v>
      </c>
      <c r="CH15" s="35" t="str">
        <f ca="1">IFERROR((separ(INDEX(Sheet!AB$2:AB$7967,$A15),"-",2)),"")</f>
        <v xml:space="preserve"> </v>
      </c>
      <c r="CI15" s="35" t="str">
        <f ca="1">IFERROR((separ(INDEX(Sheet!AC$2:AC$7967,$A15),"-",2)),"")</f>
        <v xml:space="preserve"> </v>
      </c>
      <c r="CJ15" s="35" t="str">
        <f ca="1">IFERROR((separ(INDEX(Sheet!AD$2:AD$7967,$A15),"-",2)),"")</f>
        <v xml:space="preserve"> </v>
      </c>
      <c r="CK15" s="35" t="str">
        <f ca="1">IFERROR((separ(INDEX(Sheet!AE$2:AE$7967,$A15),"-",2)),"")</f>
        <v xml:space="preserve"> </v>
      </c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</row>
    <row r="16" spans="1:104" s="29" customFormat="1" ht="30">
      <c r="A16" s="45">
        <f ca="1">IFERROR(MATCH($B$3,OFFSET(Sheet!$D$2,A15,0):'Sheet'!$D$7657,0)+A15,"")</f>
        <v>9</v>
      </c>
      <c r="B16" s="29">
        <f ca="1">IF(ROW(A9)&lt;=COUNT($A$6:$A$800),INDEX(Sheet!$A$2:$A$7967,$A16),IF(ROW(A9)=COUNT($A$6:$A$800)+1," ",IF(ROW(A9)=COUNT($A$6:$A$800)+2,"  ","")))</f>
        <v>310207</v>
      </c>
      <c r="C16" s="67" t="str">
        <f ca="1">IF($A16="","",INDEX(Sheet!E$2:E$7967,$A16))</f>
        <v>MEC-ST-1000</v>
      </c>
      <c r="D16" s="31" t="str">
        <f ca="1">IF(B13=" ",$AR$1,IF(B16=" ",$AQ$1,IF(A16="","",INDEX(Sheet!G$2:G$7967,$A16))))</f>
        <v>Bộ chân lò nướng</v>
      </c>
      <c r="E16" s="32" t="str">
        <f ca="1">IF($A16="","",TEXT(INDEX(Sheet!J$2:J$7967,$A16),"#,#")&amp;" "&amp;INDEX(Sheet!AT$2:AT$7967,$A16))</f>
        <v>8,424 Bộ</v>
      </c>
      <c r="F16" s="53" t="str">
        <f ca="1">IF($A16="","",INDEX(Sheet!F$2:F$7967,$A16))</f>
        <v>Phụ kiên mã BBA-ST-0150 ( Pát 3 chân)(ĐỢT 7)</v>
      </c>
      <c r="G16" s="32">
        <f ca="1">IF($A16="","",INDEX(Sheet!I$2:I$7967,$A16))</f>
        <v>4</v>
      </c>
      <c r="H16" s="32">
        <f ca="1">IF($A16="","",INDEX(Sheet!L$2:L$7967,$A16))</f>
        <v>33696</v>
      </c>
      <c r="I16" s="32" t="str">
        <f ca="1">IF($A16="","",INDEX(Sheet!N$2:N$7967,$A16))</f>
        <v>Bộ</v>
      </c>
      <c r="J16" s="53" t="str">
        <f ca="1">IF($A16="","",INDEX(Sheet!AS$2:AS$7967,$A16))</f>
        <v>Bản vẽ</v>
      </c>
      <c r="K16" s="33" t="str">
        <f ca="1">IF($A16="","",IF(INDEX(Sheet!S$2:S$7967,$A16)="","",INDEX(Sheet!S$2:S$7967,$A16)))</f>
        <v/>
      </c>
      <c r="L16" s="33" t="str">
        <f ca="1">IF($A16="","",IF(INDEX(Sheet!R$2:R$7967,$A16)="","",INDEX(Sheet!R$2:R$7967,$A16)))</f>
        <v/>
      </c>
      <c r="M16" s="33" t="str">
        <f ca="1">IF($A16="","",IF(INDEX(Sheet!AO$2:AO$7967,$A16)="","",INDEX(Sheet!AO$2:AO$7967,$A16)))</f>
        <v/>
      </c>
      <c r="N16" s="33">
        <f ca="1">IF($A16="","",IF(INDEX(Sheet!T$2:T$7967,$A16)="","",INDEX(Sheet!T$2:T$7967,$A16)))</f>
        <v>43806</v>
      </c>
      <c r="O16" s="33">
        <f ca="1">IF($A16="","",IF(INDEX(Sheet!U$2:U$7967,$A16)="","",INDEX(Sheet!U$2:U$7967,$A16)))</f>
        <v>43819</v>
      </c>
      <c r="P16" s="33" t="str">
        <f ca="1">IF($A16="","",IF(INDEX(Sheet!W$2:W$7967,$A16)="","",INDEX(Sheet!W$2:W$7967,$A16)))</f>
        <v/>
      </c>
      <c r="Q16" s="33" t="str">
        <f ca="1">IF($A16="","",IF(INDEX(Sheet!V$2:V$7967,$A16)="","",INDEX(Sheet!V$2:V$7967,$A16)))</f>
        <v/>
      </c>
      <c r="R16" s="33" t="str">
        <f ca="1">IF($A16="","",IF(INDEX(Sheet!Z$2:Z$7967,$A16)="","",INDEX(Sheet!Z$2:Z$7967,$A16)))</f>
        <v/>
      </c>
      <c r="S16" s="33" t="str">
        <f ca="1">IF($A16="","",IF(INDEX(Sheet!Y$2:Y$7967,$A16)="","",INDEX(Sheet!Y$2:Y$7967,$A16)))</f>
        <v/>
      </c>
      <c r="T16" s="33" t="str">
        <f ca="1">IF($A16="","",IF(INDEX(Sheet!X$2:X$7967,$A16)="","",INDEX(Sheet!X$2:X$7967,$A16)))</f>
        <v/>
      </c>
      <c r="U16" s="33" t="str">
        <f ca="1">IF($A16="","",IF(INDEX(Sheet!AA$2:AA$7967,$A16)="","",INDEX(Sheet!AA$2:AA$7967,$A16)))</f>
        <v/>
      </c>
      <c r="V16" s="33" t="str">
        <f ca="1">IF($A16="","",IF(INDEX(Sheet!AB$2:AB$7967,$A16)="","",INDEX(Sheet!AB$2:AB$7967,$A16)))</f>
        <v/>
      </c>
      <c r="W16" s="33" t="str">
        <f ca="1">IF($A16="","",IF(INDEX(Sheet!AH$2:AH$7967,$A16)="","",INDEX(Sheet!AH$2:AH$7967,$A16)))</f>
        <v/>
      </c>
      <c r="X16" s="33" t="str">
        <f ca="1">IF($A16="","",IF(INDEX(Sheet!AC$2:AC$7967,$A16)="","",INDEX(Sheet!AC$2:AC$7967,$A16)))</f>
        <v/>
      </c>
      <c r="Y16" s="33" t="str">
        <f ca="1">IF($A16="","",IF(INDEX(Sheet!AD$2:AD$7967,$A16)="","",INDEX(Sheet!AD$2:AD$7967,$A16)))</f>
        <v/>
      </c>
      <c r="Z16" s="33">
        <f ca="1">IF($A16="","",IF(INDEX(Sheet!AL$2:AL$7967,$A16)="","",INDEX(Sheet!AL$2:AL$7967,$A16)))</f>
        <v>43820</v>
      </c>
      <c r="AA16" s="33" t="str">
        <f ca="1">IF($A16="","",IF(INDEX(Sheet!AE$2:AE$7967,$A16)="","",INDEX(Sheet!AE$2:AE$7967,$A16)))</f>
        <v/>
      </c>
      <c r="AB16" s="33" t="str">
        <f ca="1">IF($A16="","",IF(INDEX(Sheet!AF$2:AF$7967,$A16)="","",INDEX(Sheet!AF$2:AF$7967,$A16)))</f>
        <v/>
      </c>
      <c r="AC16" s="33" t="str">
        <f ca="1">IF($A16="","",IF(INDEX(Sheet!AG$2:AG$7967,$A16)="","",INDEX(Sheet!AG$2:AG$7967,$A16)))</f>
        <v/>
      </c>
      <c r="AD16" s="33">
        <f ca="1">IF($A16="","",IF(INDEX(Sheet!AM$2:AM$7967,$A16)="","",INDEX(Sheet!AM$2:AM$7967,$A16)))</f>
        <v>43822</v>
      </c>
      <c r="AE16" s="33" t="str">
        <f ca="1">IF($A16="","",IF(INDEX(Sheet!AJ$2:AJ$7967,$A16)="","",INDEX(Sheet!AJ$2:AJ$7967,$A16)))</f>
        <v/>
      </c>
      <c r="AF16" s="33" t="str">
        <f ca="1">IF($A16="","",IF(INDEX(Sheet!AI$2:AI$7967,$A16)="","",INDEX(Sheet!AI$2:AI$7967,$A16)))</f>
        <v/>
      </c>
      <c r="AG16" s="33">
        <f ca="1">IF(D16="duyệt sản xuất"," Bảo Bảo, Ngày "&amp;DAY($J$4)&amp;" Tháng "&amp;MONTH($J$4)&amp;" Năm "&amp;YEAR($J$4),IF(D16="Phê duyệt","NGƯỜI LẬP",IF(D16="Nguyễn Ngọc Thắng","NGUYỄN THỊ MAI",IF($A16="","",INDEX(Sheet!AK$2:AK$7967,$A16)))))</f>
        <v>0</v>
      </c>
      <c r="AH16" s="58" t="str">
        <f ca="1">IF($A16="","",INDEX(Sheet!AR$2:AR$7967,$A16)&amp;" ; "&amp;INDEX(Sheet!M$2:M$7967,$A16))</f>
        <v xml:space="preserve"> ; STĐ Đen &amp; Xi trắng Cr3+ test 48h</v>
      </c>
      <c r="AI16" s="1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G16" s="35" t="str">
        <f ca="1">IFERROR(VALUE(separ(INDEX(Sheet!Q$2:Q$7967,$A16),"-",1)),"")</f>
        <v/>
      </c>
      <c r="BH16" s="35" t="str">
        <f ca="1">IFERROR(VALUE(separ(INDEX(Sheet!R$2:R$7967,$A16),"-",1)),"")</f>
        <v/>
      </c>
      <c r="BI16" s="35" t="str">
        <f ca="1">IFERROR(VALUE(separ(INDEX(Sheet!S$2:S$7967,$A16),"-",1)),"")</f>
        <v/>
      </c>
      <c r="BJ16" s="35">
        <f ca="1">IFERROR(VALUE(separ(INDEX(Sheet!T$2:T$7967,$A16),"-",1)),"")</f>
        <v>43806</v>
      </c>
      <c r="BK16" s="35">
        <f ca="1">IFERROR(VALUE(separ(INDEX(Sheet!U$2:U$7967,$A16),"-",1)),"")</f>
        <v>43819</v>
      </c>
      <c r="BL16" s="35" t="str">
        <f ca="1">IFERROR(VALUE(separ(INDEX(Sheet!V$2:V$7967,$A16),"-",1)),"")</f>
        <v/>
      </c>
      <c r="BM16" s="35" t="str">
        <f ca="1">IFERROR(VALUE(separ(INDEX(Sheet!W$2:W$7967,$A16),"-",1)),"")</f>
        <v/>
      </c>
      <c r="BN16" s="35" t="str">
        <f ca="1">IFERROR(VALUE(separ(INDEX(Sheet!X$2:X$7967,$A16),"-",1)),"")</f>
        <v/>
      </c>
      <c r="BO16" s="35" t="str">
        <f ca="1">IFERROR(VALUE(separ(INDEX(Sheet!Y$2:Y$7967,$A16),"-",1)),"")</f>
        <v/>
      </c>
      <c r="BP16" s="35" t="str">
        <f ca="1">IFERROR(VALUE(separ(INDEX(Sheet!Z$2:Z$7967,$A16),"-",1)),"")</f>
        <v/>
      </c>
      <c r="BQ16" s="35" t="str">
        <f ca="1">IFERROR(VALUE(separ(INDEX(Sheet!AA$2:AA$7967,$A16),"-",1)),"")</f>
        <v/>
      </c>
      <c r="BR16" s="35" t="str">
        <f ca="1">IFERROR(VALUE(separ(INDEX(Sheet!AB$2:AB$7967,$A16),"-",1)),"")</f>
        <v/>
      </c>
      <c r="BS16" s="35" t="str">
        <f ca="1">IFERROR(VALUE(separ(INDEX(Sheet!AC$2:AC$7967,$A16),"-",1)),"")</f>
        <v/>
      </c>
      <c r="BT16" s="35" t="str">
        <f ca="1">IFERROR(VALUE(separ(INDEX(Sheet!AD$2:AD$7967,$A16),"-",1)),"")</f>
        <v/>
      </c>
      <c r="BU16" s="35" t="str">
        <f ca="1">IFERROR(VALUE(separ(INDEX(Sheet!AE$2:AE$7967,$A16),"-",1)),"")</f>
        <v/>
      </c>
      <c r="BV16" s="35"/>
      <c r="BW16" s="35" t="str">
        <f ca="1">IFERROR((separ(INDEX(Sheet!Q$2:Q$7967,$A16),"-",2)),"")</f>
        <v xml:space="preserve"> </v>
      </c>
      <c r="BX16" s="35" t="str">
        <f ca="1">IFERROR((separ(INDEX(Sheet!R$2:R$7967,$A16),"-",2)),"")</f>
        <v xml:space="preserve"> </v>
      </c>
      <c r="BY16" s="35" t="str">
        <f ca="1">IFERROR((separ(INDEX(Sheet!S$2:S$7967,$A16),"-",2)),"")</f>
        <v xml:space="preserve"> </v>
      </c>
      <c r="BZ16" s="35" t="str">
        <f ca="1">IFERROR((separ(INDEX(Sheet!T$2:T$7967,$A16),"-",2)),"")</f>
        <v xml:space="preserve"> </v>
      </c>
      <c r="CA16" s="35" t="str">
        <f ca="1">IFERROR((separ(INDEX(Sheet!U$2:U$7967,$A16),"-",2)),"")</f>
        <v xml:space="preserve"> </v>
      </c>
      <c r="CB16" s="35" t="str">
        <f ca="1">IFERROR((separ(INDEX(Sheet!V$2:V$7967,$A16),"-",2)),"")</f>
        <v xml:space="preserve"> </v>
      </c>
      <c r="CC16" s="35" t="str">
        <f ca="1">IFERROR((separ(INDEX(Sheet!W$2:W$7967,$A16),"-",2)),"")</f>
        <v xml:space="preserve"> </v>
      </c>
      <c r="CD16" s="35" t="str">
        <f ca="1">IFERROR((separ(INDEX(Sheet!X$2:X$7967,$A16),"-",2)),"")</f>
        <v xml:space="preserve"> </v>
      </c>
      <c r="CE16" s="35" t="str">
        <f ca="1">IFERROR((separ(INDEX(Sheet!Y$2:Y$7967,$A16),"-",2)),"")</f>
        <v xml:space="preserve"> </v>
      </c>
      <c r="CF16" s="35" t="str">
        <f ca="1">IFERROR((separ(INDEX(Sheet!Z$2:Z$7967,$A16),"-",2)),"")</f>
        <v xml:space="preserve"> </v>
      </c>
      <c r="CG16" s="35" t="str">
        <f ca="1">IFERROR((separ(INDEX(Sheet!AA$2:AA$7967,$A16),"-",2)),"")</f>
        <v xml:space="preserve"> </v>
      </c>
      <c r="CH16" s="35" t="str">
        <f ca="1">IFERROR((separ(INDEX(Sheet!AB$2:AB$7967,$A16),"-",2)),"")</f>
        <v xml:space="preserve"> </v>
      </c>
      <c r="CI16" s="35" t="str">
        <f ca="1">IFERROR((separ(INDEX(Sheet!AC$2:AC$7967,$A16),"-",2)),"")</f>
        <v xml:space="preserve"> </v>
      </c>
      <c r="CJ16" s="35" t="str">
        <f ca="1">IFERROR((separ(INDEX(Sheet!AD$2:AD$7967,$A16),"-",2)),"")</f>
        <v xml:space="preserve"> </v>
      </c>
      <c r="CK16" s="35" t="str">
        <f ca="1">IFERROR((separ(INDEX(Sheet!AE$2:AE$7967,$A16),"-",2)),"")</f>
        <v xml:space="preserve"> </v>
      </c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</row>
    <row r="17" spans="1:104" s="29" customFormat="1" ht="45">
      <c r="A17" s="45">
        <f ca="1">IFERROR(MATCH($B$3,OFFSET(Sheet!$D$2,A16,0):'Sheet'!$D$7657,0)+A16,"")</f>
        <v>10</v>
      </c>
      <c r="B17" s="29">
        <f ca="1">IF(ROW(A10)&lt;=COUNT($A$6:$A$800),INDEX(Sheet!$A$2:$A$7967,$A17),IF(ROW(A10)=COUNT($A$6:$A$800)+1," ",IF(ROW(A10)=COUNT($A$6:$A$800)+2,"  ","")))</f>
        <v>310209</v>
      </c>
      <c r="C17" s="67" t="str">
        <f ca="1">IF($A17="","",INDEX(Sheet!E$2:E$7967,$A17))</f>
        <v>MEC-ST-1000</v>
      </c>
      <c r="D17" s="31" t="str">
        <f ca="1">IF(B14=" ",$AR$1,IF(B17=" ",$AQ$1,IF(A17="","",INDEX(Sheet!G$2:G$7967,$A17))))</f>
        <v>Bộ chân lò nướng</v>
      </c>
      <c r="E17" s="32" t="str">
        <f ca="1">IF($A17="","",TEXT(INDEX(Sheet!J$2:J$7967,$A17),"#,#")&amp;" "&amp;INDEX(Sheet!AT$2:AT$7967,$A17))</f>
        <v>8,424 Bộ</v>
      </c>
      <c r="F17" s="53" t="str">
        <f ca="1">IF($A17="","",INDEX(Sheet!F$2:F$7967,$A17))</f>
        <v>Phụ kiên mã BBA-ST-0152 ( Londen chén)(NHÚNG ED)(ĐỢT 7)</v>
      </c>
      <c r="G17" s="32">
        <f ca="1">IF($A17="","",INDEX(Sheet!I$2:I$7967,$A17))</f>
        <v>2</v>
      </c>
      <c r="H17" s="32">
        <f ca="1">IF($A17="","",INDEX(Sheet!L$2:L$7967,$A17))</f>
        <v>16848</v>
      </c>
      <c r="I17" s="32" t="str">
        <f ca="1">IF($A17="","",INDEX(Sheet!N$2:N$7967,$A17))</f>
        <v>Bộ</v>
      </c>
      <c r="J17" s="53" t="str">
        <f ca="1">IF($A17="","",INDEX(Sheet!AS$2:AS$7967,$A17))</f>
        <v>Bản vẽ</v>
      </c>
      <c r="K17" s="33" t="str">
        <f ca="1">IF($A17="","",IF(INDEX(Sheet!S$2:S$7967,$A17)="","",INDEX(Sheet!S$2:S$7967,$A17)))</f>
        <v/>
      </c>
      <c r="L17" s="33" t="str">
        <f ca="1">IF($A17="","",IF(INDEX(Sheet!R$2:R$7967,$A17)="","",INDEX(Sheet!R$2:R$7967,$A17)))</f>
        <v/>
      </c>
      <c r="M17" s="33" t="str">
        <f ca="1">IF($A17="","",IF(INDEX(Sheet!AO$2:AO$7967,$A17)="","",INDEX(Sheet!AO$2:AO$7967,$A17)))</f>
        <v/>
      </c>
      <c r="N17" s="33">
        <f ca="1">IF($A17="","",IF(INDEX(Sheet!T$2:T$7967,$A17)="","",INDEX(Sheet!T$2:T$7967,$A17)))</f>
        <v>43799</v>
      </c>
      <c r="O17" s="33">
        <f ca="1">IF($A17="","",IF(INDEX(Sheet!U$2:U$7967,$A17)="","",INDEX(Sheet!U$2:U$7967,$A17)))</f>
        <v>43804</v>
      </c>
      <c r="P17" s="33" t="str">
        <f ca="1">IF($A17="","",IF(INDEX(Sheet!W$2:W$7967,$A17)="","",INDEX(Sheet!W$2:W$7967,$A17)))</f>
        <v/>
      </c>
      <c r="Q17" s="33" t="str">
        <f ca="1">IF($A17="","",IF(INDEX(Sheet!V$2:V$7967,$A17)="","",INDEX(Sheet!V$2:V$7967,$A17)))</f>
        <v/>
      </c>
      <c r="R17" s="33" t="str">
        <f ca="1">IF($A17="","",IF(INDEX(Sheet!Z$2:Z$7967,$A17)="","",INDEX(Sheet!Z$2:Z$7967,$A17)))</f>
        <v/>
      </c>
      <c r="S17" s="33" t="str">
        <f ca="1">IF($A17="","",IF(INDEX(Sheet!Y$2:Y$7967,$A17)="","",INDEX(Sheet!Y$2:Y$7967,$A17)))</f>
        <v/>
      </c>
      <c r="T17" s="33" t="str">
        <f ca="1">IF($A17="","",IF(INDEX(Sheet!X$2:X$7967,$A17)="","",INDEX(Sheet!X$2:X$7967,$A17)))</f>
        <v/>
      </c>
      <c r="U17" s="33" t="str">
        <f ca="1">IF($A17="","",IF(INDEX(Sheet!AA$2:AA$7967,$A17)="","",INDEX(Sheet!AA$2:AA$7967,$A17)))</f>
        <v/>
      </c>
      <c r="V17" s="33" t="str">
        <f ca="1">IF($A17="","",IF(INDEX(Sheet!AB$2:AB$7967,$A17)="","",INDEX(Sheet!AB$2:AB$7967,$A17)))</f>
        <v/>
      </c>
      <c r="W17" s="33" t="str">
        <f ca="1">IF($A17="","",IF(INDEX(Sheet!AH$2:AH$7967,$A17)="","",INDEX(Sheet!AH$2:AH$7967,$A17)))</f>
        <v/>
      </c>
      <c r="X17" s="33" t="str">
        <f ca="1">IF($A17="","",IF(INDEX(Sheet!AC$2:AC$7967,$A17)="","",INDEX(Sheet!AC$2:AC$7967,$A17)))</f>
        <v/>
      </c>
      <c r="Y17" s="33" t="str">
        <f ca="1">IF($A17="","",IF(INDEX(Sheet!AD$2:AD$7967,$A17)="","",INDEX(Sheet!AD$2:AD$7967,$A17)))</f>
        <v/>
      </c>
      <c r="Z17" s="33" t="str">
        <f ca="1">IF($A17="","",IF(INDEX(Sheet!AL$2:AL$7967,$A17)="","",INDEX(Sheet!AL$2:AL$7967,$A17)))</f>
        <v/>
      </c>
      <c r="AA17" s="33" t="str">
        <f ca="1">IF($A17="","",IF(INDEX(Sheet!AE$2:AE$7967,$A17)="","",INDEX(Sheet!AE$2:AE$7967,$A17)))</f>
        <v/>
      </c>
      <c r="AB17" s="33" t="str">
        <f ca="1">IF($A17="","",IF(INDEX(Sheet!AF$2:AF$7967,$A17)="","",INDEX(Sheet!AF$2:AF$7967,$A17)))</f>
        <v/>
      </c>
      <c r="AC17" s="33" t="str">
        <f ca="1">IF($A17="","",IF(INDEX(Sheet!AG$2:AG$7967,$A17)="","",INDEX(Sheet!AG$2:AG$7967,$A17)))</f>
        <v/>
      </c>
      <c r="AD17" s="33" t="str">
        <f ca="1">IF($A17="","",IF(INDEX(Sheet!AM$2:AM$7967,$A17)="","",INDEX(Sheet!AM$2:AM$7967,$A17)))</f>
        <v/>
      </c>
      <c r="AE17" s="33" t="str">
        <f ca="1">IF($A17="","",IF(INDEX(Sheet!AJ$2:AJ$7967,$A17)="","",INDEX(Sheet!AJ$2:AJ$7967,$A17)))</f>
        <v/>
      </c>
      <c r="AF17" s="33" t="str">
        <f ca="1">IF($A17="","",IF(INDEX(Sheet!AI$2:AI$7967,$A17)="","",INDEX(Sheet!AI$2:AI$7967,$A17)))</f>
        <v/>
      </c>
      <c r="AG17" s="33">
        <f ca="1">IF(D17="duyệt sản xuất"," Bảo Bảo, Ngày "&amp;DAY($J$4)&amp;" Tháng "&amp;MONTH($J$4)&amp;" Năm "&amp;YEAR($J$4),IF(D17="Phê duyệt","NGƯỜI LẬP",IF(D17="Nguyễn Ngọc Thắng","NGUYỄN THỊ MAI",IF($A17="","",INDEX(Sheet!AK$2:AK$7967,$A17)))))</f>
        <v>0</v>
      </c>
      <c r="AH17" s="58" t="str">
        <f ca="1">IF($A17="","",INDEX(Sheet!AR$2:AR$7967,$A17)&amp;" ; "&amp;INDEX(Sheet!M$2:M$7967,$A17))</f>
        <v xml:space="preserve"> ; STĐ Đen &amp; Xi trắng Cr3+ test 48h</v>
      </c>
      <c r="AI17" s="1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G17" s="35" t="str">
        <f ca="1">IFERROR(VALUE(separ(INDEX(Sheet!Q$2:Q$7967,$A17),"-",1)),"")</f>
        <v/>
      </c>
      <c r="BH17" s="35" t="str">
        <f ca="1">IFERROR(VALUE(separ(INDEX(Sheet!R$2:R$7967,$A17),"-",1)),"")</f>
        <v/>
      </c>
      <c r="BI17" s="35" t="str">
        <f ca="1">IFERROR(VALUE(separ(INDEX(Sheet!S$2:S$7967,$A17),"-",1)),"")</f>
        <v/>
      </c>
      <c r="BJ17" s="35">
        <f ca="1">IFERROR(VALUE(separ(INDEX(Sheet!T$2:T$7967,$A17),"-",1)),"")</f>
        <v>43799</v>
      </c>
      <c r="BK17" s="35">
        <f ca="1">IFERROR(VALUE(separ(INDEX(Sheet!U$2:U$7967,$A17),"-",1)),"")</f>
        <v>43804</v>
      </c>
      <c r="BL17" s="35" t="str">
        <f ca="1">IFERROR(VALUE(separ(INDEX(Sheet!V$2:V$7967,$A17),"-",1)),"")</f>
        <v/>
      </c>
      <c r="BM17" s="35" t="str">
        <f ca="1">IFERROR(VALUE(separ(INDEX(Sheet!W$2:W$7967,$A17),"-",1)),"")</f>
        <v/>
      </c>
      <c r="BN17" s="35" t="str">
        <f ca="1">IFERROR(VALUE(separ(INDEX(Sheet!X$2:X$7967,$A17),"-",1)),"")</f>
        <v/>
      </c>
      <c r="BO17" s="35" t="str">
        <f ca="1">IFERROR(VALUE(separ(INDEX(Sheet!Y$2:Y$7967,$A17),"-",1)),"")</f>
        <v/>
      </c>
      <c r="BP17" s="35" t="str">
        <f ca="1">IFERROR(VALUE(separ(INDEX(Sheet!Z$2:Z$7967,$A17),"-",1)),"")</f>
        <v/>
      </c>
      <c r="BQ17" s="35" t="str">
        <f ca="1">IFERROR(VALUE(separ(INDEX(Sheet!AA$2:AA$7967,$A17),"-",1)),"")</f>
        <v/>
      </c>
      <c r="BR17" s="35" t="str">
        <f ca="1">IFERROR(VALUE(separ(INDEX(Sheet!AB$2:AB$7967,$A17),"-",1)),"")</f>
        <v/>
      </c>
      <c r="BS17" s="35" t="str">
        <f ca="1">IFERROR(VALUE(separ(INDEX(Sheet!AC$2:AC$7967,$A17),"-",1)),"")</f>
        <v/>
      </c>
      <c r="BT17" s="35" t="str">
        <f ca="1">IFERROR(VALUE(separ(INDEX(Sheet!AD$2:AD$7967,$A17),"-",1)),"")</f>
        <v/>
      </c>
      <c r="BU17" s="35" t="str">
        <f ca="1">IFERROR(VALUE(separ(INDEX(Sheet!AE$2:AE$7967,$A17),"-",1)),"")</f>
        <v/>
      </c>
      <c r="BV17" s="35"/>
      <c r="BW17" s="35" t="str">
        <f ca="1">IFERROR((separ(INDEX(Sheet!Q$2:Q$7967,$A17),"-",2)),"")</f>
        <v xml:space="preserve"> </v>
      </c>
      <c r="BX17" s="35" t="str">
        <f ca="1">IFERROR((separ(INDEX(Sheet!R$2:R$7967,$A17),"-",2)),"")</f>
        <v xml:space="preserve"> </v>
      </c>
      <c r="BY17" s="35" t="str">
        <f ca="1">IFERROR((separ(INDEX(Sheet!S$2:S$7967,$A17),"-",2)),"")</f>
        <v xml:space="preserve"> </v>
      </c>
      <c r="BZ17" s="35" t="str">
        <f ca="1">IFERROR((separ(INDEX(Sheet!T$2:T$7967,$A17),"-",2)),"")</f>
        <v xml:space="preserve"> </v>
      </c>
      <c r="CA17" s="35" t="str">
        <f ca="1">IFERROR((separ(INDEX(Sheet!U$2:U$7967,$A17),"-",2)),"")</f>
        <v xml:space="preserve"> </v>
      </c>
      <c r="CB17" s="35" t="str">
        <f ca="1">IFERROR((separ(INDEX(Sheet!V$2:V$7967,$A17),"-",2)),"")</f>
        <v xml:space="preserve"> </v>
      </c>
      <c r="CC17" s="35" t="str">
        <f ca="1">IFERROR((separ(INDEX(Sheet!W$2:W$7967,$A17),"-",2)),"")</f>
        <v xml:space="preserve"> </v>
      </c>
      <c r="CD17" s="35" t="str">
        <f ca="1">IFERROR((separ(INDEX(Sheet!X$2:X$7967,$A17),"-",2)),"")</f>
        <v xml:space="preserve"> </v>
      </c>
      <c r="CE17" s="35" t="str">
        <f ca="1">IFERROR((separ(INDEX(Sheet!Y$2:Y$7967,$A17),"-",2)),"")</f>
        <v xml:space="preserve"> </v>
      </c>
      <c r="CF17" s="35" t="str">
        <f ca="1">IFERROR((separ(INDEX(Sheet!Z$2:Z$7967,$A17),"-",2)),"")</f>
        <v xml:space="preserve"> </v>
      </c>
      <c r="CG17" s="35" t="str">
        <f ca="1">IFERROR((separ(INDEX(Sheet!AA$2:AA$7967,$A17),"-",2)),"")</f>
        <v xml:space="preserve"> </v>
      </c>
      <c r="CH17" s="35" t="str">
        <f ca="1">IFERROR((separ(INDEX(Sheet!AB$2:AB$7967,$A17),"-",2)),"")</f>
        <v xml:space="preserve"> </v>
      </c>
      <c r="CI17" s="35" t="str">
        <f ca="1">IFERROR((separ(INDEX(Sheet!AC$2:AC$7967,$A17),"-",2)),"")</f>
        <v xml:space="preserve"> </v>
      </c>
      <c r="CJ17" s="35" t="str">
        <f ca="1">IFERROR((separ(INDEX(Sheet!AD$2:AD$7967,$A17),"-",2)),"")</f>
        <v xml:space="preserve"> </v>
      </c>
      <c r="CK17" s="35" t="str">
        <f ca="1">IFERROR((separ(INDEX(Sheet!AE$2:AE$7967,$A17),"-",2)),"")</f>
        <v xml:space="preserve"> </v>
      </c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</row>
    <row r="18" spans="1:104" s="29" customFormat="1" ht="45">
      <c r="A18" s="45">
        <f ca="1">IFERROR(MATCH($B$3,OFFSET(Sheet!$D$2,A17,0):'Sheet'!$D$7657,0)+A17,"")</f>
        <v>11</v>
      </c>
      <c r="B18" s="29">
        <f ca="1">IF(ROW(A11)&lt;=COUNT($A$6:$A$800),INDEX(Sheet!$A$2:$A$7967,$A18),IF(ROW(A11)=COUNT($A$6:$A$800)+1," ",IF(ROW(A11)=COUNT($A$6:$A$800)+2,"  ","")))</f>
        <v>310210</v>
      </c>
      <c r="C18" s="67" t="str">
        <f ca="1">IF($A18="","",INDEX(Sheet!E$2:E$7967,$A18))</f>
        <v>MEC-ST-1000</v>
      </c>
      <c r="D18" s="31" t="str">
        <f ca="1">IF(B15=" ",$AR$1,IF(B18=" ",$AQ$1,IF(A18="","",INDEX(Sheet!G$2:G$7967,$A18))))</f>
        <v>Bộ chân lò nướng</v>
      </c>
      <c r="E18" s="32" t="str">
        <f ca="1">IF($A18="","",TEXT(INDEX(Sheet!J$2:J$7967,$A18),"#,#")&amp;" "&amp;INDEX(Sheet!AT$2:AT$7967,$A18))</f>
        <v>8,424 Bộ</v>
      </c>
      <c r="F18" s="53" t="str">
        <f ca="1">IF($A18="","",INDEX(Sheet!F$2:F$7967,$A18))</f>
        <v>Phụ kiên mã BBA-ST-0185 ( Pát gài )(NHÚNG ED)(ĐỢT 7)</v>
      </c>
      <c r="G18" s="32">
        <f ca="1">IF($A18="","",INDEX(Sheet!I$2:I$7967,$A18))</f>
        <v>1</v>
      </c>
      <c r="H18" s="32">
        <f ca="1">IF($A18="","",INDEX(Sheet!L$2:L$7967,$A18))</f>
        <v>8424</v>
      </c>
      <c r="I18" s="32" t="str">
        <f ca="1">IF($A18="","",INDEX(Sheet!N$2:N$7967,$A18))</f>
        <v>Bộ</v>
      </c>
      <c r="J18" s="53" t="str">
        <f ca="1">IF($A18="","",INDEX(Sheet!AS$2:AS$7967,$A18))</f>
        <v>Bản vẽ</v>
      </c>
      <c r="K18" s="33" t="str">
        <f ca="1">IF($A18="","",IF(INDEX(Sheet!S$2:S$7967,$A18)="","",INDEX(Sheet!S$2:S$7967,$A18)))</f>
        <v/>
      </c>
      <c r="L18" s="33" t="str">
        <f ca="1">IF($A18="","",IF(INDEX(Sheet!R$2:R$7967,$A18)="","",INDEX(Sheet!R$2:R$7967,$A18)))</f>
        <v/>
      </c>
      <c r="M18" s="33" t="str">
        <f ca="1">IF($A18="","",IF(INDEX(Sheet!AO$2:AO$7967,$A18)="","",INDEX(Sheet!AO$2:AO$7967,$A18)))</f>
        <v/>
      </c>
      <c r="N18" s="33">
        <f ca="1">IF($A18="","",IF(INDEX(Sheet!T$2:T$7967,$A18)="","",INDEX(Sheet!T$2:T$7967,$A18)))</f>
        <v>43801</v>
      </c>
      <c r="O18" s="33">
        <f ca="1">IF($A18="","",IF(INDEX(Sheet!U$2:U$7967,$A18)="","",INDEX(Sheet!U$2:U$7967,$A18)))</f>
        <v>43813</v>
      </c>
      <c r="P18" s="33" t="str">
        <f ca="1">IF($A18="","",IF(INDEX(Sheet!W$2:W$7967,$A18)="","",INDEX(Sheet!W$2:W$7967,$A18)))</f>
        <v/>
      </c>
      <c r="Q18" s="33" t="str">
        <f ca="1">IF($A18="","",IF(INDEX(Sheet!V$2:V$7967,$A18)="","",INDEX(Sheet!V$2:V$7967,$A18)))</f>
        <v/>
      </c>
      <c r="R18" s="33" t="str">
        <f ca="1">IF($A18="","",IF(INDEX(Sheet!Z$2:Z$7967,$A18)="","",INDEX(Sheet!Z$2:Z$7967,$A18)))</f>
        <v/>
      </c>
      <c r="S18" s="33" t="str">
        <f ca="1">IF($A18="","",IF(INDEX(Sheet!Y$2:Y$7967,$A18)="","",INDEX(Sheet!Y$2:Y$7967,$A18)))</f>
        <v/>
      </c>
      <c r="T18" s="33" t="str">
        <f ca="1">IF($A18="","",IF(INDEX(Sheet!X$2:X$7967,$A18)="","",INDEX(Sheet!X$2:X$7967,$A18)))</f>
        <v/>
      </c>
      <c r="U18" s="33" t="str">
        <f ca="1">IF($A18="","",IF(INDEX(Sheet!AA$2:AA$7967,$A18)="","",INDEX(Sheet!AA$2:AA$7967,$A18)))</f>
        <v/>
      </c>
      <c r="V18" s="33" t="str">
        <f ca="1">IF($A18="","",IF(INDEX(Sheet!AB$2:AB$7967,$A18)="","",INDEX(Sheet!AB$2:AB$7967,$A18)))</f>
        <v/>
      </c>
      <c r="W18" s="33" t="str">
        <f ca="1">IF($A18="","",IF(INDEX(Sheet!AH$2:AH$7967,$A18)="","",INDEX(Sheet!AH$2:AH$7967,$A18)))</f>
        <v/>
      </c>
      <c r="X18" s="33" t="str">
        <f ca="1">IF($A18="","",IF(INDEX(Sheet!AC$2:AC$7967,$A18)="","",INDEX(Sheet!AC$2:AC$7967,$A18)))</f>
        <v/>
      </c>
      <c r="Y18" s="33" t="str">
        <f ca="1">IF($A18="","",IF(INDEX(Sheet!AD$2:AD$7967,$A18)="","",INDEX(Sheet!AD$2:AD$7967,$A18)))</f>
        <v/>
      </c>
      <c r="Z18" s="33" t="str">
        <f ca="1">IF($A18="","",IF(INDEX(Sheet!AL$2:AL$7967,$A18)="","",INDEX(Sheet!AL$2:AL$7967,$A18)))</f>
        <v/>
      </c>
      <c r="AA18" s="33" t="str">
        <f ca="1">IF($A18="","",IF(INDEX(Sheet!AE$2:AE$7967,$A18)="","",INDEX(Sheet!AE$2:AE$7967,$A18)))</f>
        <v/>
      </c>
      <c r="AB18" s="33" t="str">
        <f ca="1">IF($A18="","",IF(INDEX(Sheet!AF$2:AF$7967,$A18)="","",INDEX(Sheet!AF$2:AF$7967,$A18)))</f>
        <v/>
      </c>
      <c r="AC18" s="33" t="str">
        <f ca="1">IF($A18="","",IF(INDEX(Sheet!AG$2:AG$7967,$A18)="","",INDEX(Sheet!AG$2:AG$7967,$A18)))</f>
        <v/>
      </c>
      <c r="AD18" s="33" t="str">
        <f ca="1">IF($A18="","",IF(INDEX(Sheet!AM$2:AM$7967,$A18)="","",INDEX(Sheet!AM$2:AM$7967,$A18)))</f>
        <v/>
      </c>
      <c r="AE18" s="33" t="str">
        <f ca="1">IF($A18="","",IF(INDEX(Sheet!AJ$2:AJ$7967,$A18)="","",INDEX(Sheet!AJ$2:AJ$7967,$A18)))</f>
        <v/>
      </c>
      <c r="AF18" s="33" t="str">
        <f ca="1">IF($A18="","",IF(INDEX(Sheet!AI$2:AI$7967,$A18)="","",INDEX(Sheet!AI$2:AI$7967,$A18)))</f>
        <v/>
      </c>
      <c r="AG18" s="33">
        <f ca="1">IF(D18="duyệt sản xuất"," Bảo Bảo, Ngày "&amp;DAY($J$4)&amp;" Tháng "&amp;MONTH($J$4)&amp;" Năm "&amp;YEAR($J$4),IF(D18="Phê duyệt","NGƯỜI LẬP",IF(D18="Nguyễn Ngọc Thắng","NGUYỄN THỊ MAI",IF($A18="","",INDEX(Sheet!AK$2:AK$7967,$A18)))))</f>
        <v>0</v>
      </c>
      <c r="AH18" s="58" t="str">
        <f ca="1">IF($A18="","",INDEX(Sheet!AR$2:AR$7967,$A18)&amp;" ; "&amp;INDEX(Sheet!M$2:M$7967,$A18))</f>
        <v xml:space="preserve"> ; STĐ Đen &amp; Xi trắng Cr3+ test 48h</v>
      </c>
      <c r="AI18" s="1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G18" s="35" t="str">
        <f ca="1">IFERROR(VALUE(separ(INDEX(Sheet!Q$2:Q$7967,$A18),"-",1)),"")</f>
        <v/>
      </c>
      <c r="BH18" s="35" t="str">
        <f ca="1">IFERROR(VALUE(separ(INDEX(Sheet!R$2:R$7967,$A18),"-",1)),"")</f>
        <v/>
      </c>
      <c r="BI18" s="35" t="str">
        <f ca="1">IFERROR(VALUE(separ(INDEX(Sheet!S$2:S$7967,$A18),"-",1)),"")</f>
        <v/>
      </c>
      <c r="BJ18" s="35">
        <f ca="1">IFERROR(VALUE(separ(INDEX(Sheet!T$2:T$7967,$A18),"-",1)),"")</f>
        <v>43801</v>
      </c>
      <c r="BK18" s="35">
        <f ca="1">IFERROR(VALUE(separ(INDEX(Sheet!U$2:U$7967,$A18),"-",1)),"")</f>
        <v>43813</v>
      </c>
      <c r="BL18" s="35" t="str">
        <f ca="1">IFERROR(VALUE(separ(INDEX(Sheet!V$2:V$7967,$A18),"-",1)),"")</f>
        <v/>
      </c>
      <c r="BM18" s="35" t="str">
        <f ca="1">IFERROR(VALUE(separ(INDEX(Sheet!W$2:W$7967,$A18),"-",1)),"")</f>
        <v/>
      </c>
      <c r="BN18" s="35" t="str">
        <f ca="1">IFERROR(VALUE(separ(INDEX(Sheet!X$2:X$7967,$A18),"-",1)),"")</f>
        <v/>
      </c>
      <c r="BO18" s="35" t="str">
        <f ca="1">IFERROR(VALUE(separ(INDEX(Sheet!Y$2:Y$7967,$A18),"-",1)),"")</f>
        <v/>
      </c>
      <c r="BP18" s="35" t="str">
        <f ca="1">IFERROR(VALUE(separ(INDEX(Sheet!Z$2:Z$7967,$A18),"-",1)),"")</f>
        <v/>
      </c>
      <c r="BQ18" s="35" t="str">
        <f ca="1">IFERROR(VALUE(separ(INDEX(Sheet!AA$2:AA$7967,$A18),"-",1)),"")</f>
        <v/>
      </c>
      <c r="BR18" s="35" t="str">
        <f ca="1">IFERROR(VALUE(separ(INDEX(Sheet!AB$2:AB$7967,$A18),"-",1)),"")</f>
        <v/>
      </c>
      <c r="BS18" s="35" t="str">
        <f ca="1">IFERROR(VALUE(separ(INDEX(Sheet!AC$2:AC$7967,$A18),"-",1)),"")</f>
        <v/>
      </c>
      <c r="BT18" s="35" t="str">
        <f ca="1">IFERROR(VALUE(separ(INDEX(Sheet!AD$2:AD$7967,$A18),"-",1)),"")</f>
        <v/>
      </c>
      <c r="BU18" s="35" t="str">
        <f ca="1">IFERROR(VALUE(separ(INDEX(Sheet!AE$2:AE$7967,$A18),"-",1)),"")</f>
        <v/>
      </c>
      <c r="BV18" s="35"/>
      <c r="BW18" s="35" t="str">
        <f ca="1">IFERROR((separ(INDEX(Sheet!Q$2:Q$7967,$A18),"-",2)),"")</f>
        <v xml:space="preserve"> </v>
      </c>
      <c r="BX18" s="35" t="str">
        <f ca="1">IFERROR((separ(INDEX(Sheet!R$2:R$7967,$A18),"-",2)),"")</f>
        <v xml:space="preserve"> </v>
      </c>
      <c r="BY18" s="35" t="str">
        <f ca="1">IFERROR((separ(INDEX(Sheet!S$2:S$7967,$A18),"-",2)),"")</f>
        <v xml:space="preserve"> </v>
      </c>
      <c r="BZ18" s="35" t="str">
        <f ca="1">IFERROR((separ(INDEX(Sheet!T$2:T$7967,$A18),"-",2)),"")</f>
        <v xml:space="preserve"> </v>
      </c>
      <c r="CA18" s="35" t="str">
        <f ca="1">IFERROR((separ(INDEX(Sheet!U$2:U$7967,$A18),"-",2)),"")</f>
        <v xml:space="preserve"> </v>
      </c>
      <c r="CB18" s="35" t="str">
        <f ca="1">IFERROR((separ(INDEX(Sheet!V$2:V$7967,$A18),"-",2)),"")</f>
        <v xml:space="preserve"> </v>
      </c>
      <c r="CC18" s="35" t="str">
        <f ca="1">IFERROR((separ(INDEX(Sheet!W$2:W$7967,$A18),"-",2)),"")</f>
        <v xml:space="preserve"> </v>
      </c>
      <c r="CD18" s="35" t="str">
        <f ca="1">IFERROR((separ(INDEX(Sheet!X$2:X$7967,$A18),"-",2)),"")</f>
        <v xml:space="preserve"> </v>
      </c>
      <c r="CE18" s="35" t="str">
        <f ca="1">IFERROR((separ(INDEX(Sheet!Y$2:Y$7967,$A18),"-",2)),"")</f>
        <v xml:space="preserve"> </v>
      </c>
      <c r="CF18" s="35" t="str">
        <f ca="1">IFERROR((separ(INDEX(Sheet!Z$2:Z$7967,$A18),"-",2)),"")</f>
        <v xml:space="preserve"> </v>
      </c>
      <c r="CG18" s="35" t="str">
        <f ca="1">IFERROR((separ(INDEX(Sheet!AA$2:AA$7967,$A18),"-",2)),"")</f>
        <v xml:space="preserve"> </v>
      </c>
      <c r="CH18" s="35" t="str">
        <f ca="1">IFERROR((separ(INDEX(Sheet!AB$2:AB$7967,$A18),"-",2)),"")</f>
        <v xml:space="preserve"> </v>
      </c>
      <c r="CI18" s="35" t="str">
        <f ca="1">IFERROR((separ(INDEX(Sheet!AC$2:AC$7967,$A18),"-",2)),"")</f>
        <v xml:space="preserve"> </v>
      </c>
      <c r="CJ18" s="35" t="str">
        <f ca="1">IFERROR((separ(INDEX(Sheet!AD$2:AD$7967,$A18),"-",2)),"")</f>
        <v xml:space="preserve"> </v>
      </c>
      <c r="CK18" s="35" t="str">
        <f ca="1">IFERROR((separ(INDEX(Sheet!AE$2:AE$7967,$A18),"-",2)),"")</f>
        <v xml:space="preserve"> </v>
      </c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</row>
    <row r="19" spans="1:104" s="29" customFormat="1" ht="60">
      <c r="A19" s="45">
        <f ca="1">IFERROR(MATCH($B$3,OFFSET(Sheet!$D$2,A18,0):'Sheet'!$D$7657,0)+A18,"")</f>
        <v>12</v>
      </c>
      <c r="B19" s="29">
        <f ca="1">IF(ROW(A12)&lt;=COUNT($A$6:$A$800),INDEX(Sheet!$A$2:$A$7967,$A19),IF(ROW(A12)=COUNT($A$6:$A$800)+1," ",IF(ROW(A12)=COUNT($A$6:$A$800)+2,"  ","")))</f>
        <v>310211</v>
      </c>
      <c r="C19" s="67" t="str">
        <f ca="1">IF($A19="","",INDEX(Sheet!E$2:E$7967,$A19))</f>
        <v>MEC-ST-1000</v>
      </c>
      <c r="D19" s="31" t="str">
        <f ca="1">IF(B16=" ",$AR$1,IF(B19=" ",$AQ$1,IF(A19="","",INDEX(Sheet!G$2:G$7967,$A19))))</f>
        <v>Bộ chân lò nướng</v>
      </c>
      <c r="E19" s="32" t="str">
        <f ca="1">IF($A19="","",TEXT(INDEX(Sheet!J$2:J$7967,$A19),"#,#")&amp;" "&amp;INDEX(Sheet!AT$2:AT$7967,$A19))</f>
        <v>8,424 Bộ</v>
      </c>
      <c r="F19" s="53" t="str">
        <f ca="1">IF($A19="","",INDEX(Sheet!F$2:F$7967,$A19))</f>
        <v>Phụ kiên mã BBA-ST-0149 ( Pát móc 154.5*19*2)(NHÚNG ED)(ĐỢT 7)</v>
      </c>
      <c r="G19" s="32">
        <f ca="1">IF($A19="","",INDEX(Sheet!I$2:I$7967,$A19))</f>
        <v>1</v>
      </c>
      <c r="H19" s="32">
        <f ca="1">IF($A19="","",INDEX(Sheet!L$2:L$7967,$A19))</f>
        <v>8424</v>
      </c>
      <c r="I19" s="32" t="str">
        <f ca="1">IF($A19="","",INDEX(Sheet!N$2:N$7967,$A19))</f>
        <v>Bộ</v>
      </c>
      <c r="J19" s="53" t="str">
        <f ca="1">IF($A19="","",INDEX(Sheet!AS$2:AS$7967,$A19))</f>
        <v>Bản vẽ</v>
      </c>
      <c r="K19" s="33" t="str">
        <f ca="1">IF($A19="","",IF(INDEX(Sheet!S$2:S$7967,$A19)="","",INDEX(Sheet!S$2:S$7967,$A19)))</f>
        <v/>
      </c>
      <c r="L19" s="33" t="str">
        <f ca="1">IF($A19="","",IF(INDEX(Sheet!R$2:R$7967,$A19)="","",INDEX(Sheet!R$2:R$7967,$A19)))</f>
        <v/>
      </c>
      <c r="M19" s="33" t="str">
        <f ca="1">IF($A19="","",IF(INDEX(Sheet!AO$2:AO$7967,$A19)="","",INDEX(Sheet!AO$2:AO$7967,$A19)))</f>
        <v/>
      </c>
      <c r="N19" s="33">
        <f ca="1">IF($A19="","",IF(INDEX(Sheet!T$2:T$7967,$A19)="","",INDEX(Sheet!T$2:T$7967,$A19)))</f>
        <v>43801</v>
      </c>
      <c r="O19" s="33">
        <f ca="1">IF($A19="","",IF(INDEX(Sheet!U$2:U$7967,$A19)="","",INDEX(Sheet!U$2:U$7967,$A19)))</f>
        <v>43813</v>
      </c>
      <c r="P19" s="33" t="str">
        <f ca="1">IF($A19="","",IF(INDEX(Sheet!W$2:W$7967,$A19)="","",INDEX(Sheet!W$2:W$7967,$A19)))</f>
        <v/>
      </c>
      <c r="Q19" s="33" t="str">
        <f ca="1">IF($A19="","",IF(INDEX(Sheet!V$2:V$7967,$A19)="","",INDEX(Sheet!V$2:V$7967,$A19)))</f>
        <v/>
      </c>
      <c r="R19" s="33" t="str">
        <f ca="1">IF($A19="","",IF(INDEX(Sheet!Z$2:Z$7967,$A19)="","",INDEX(Sheet!Z$2:Z$7967,$A19)))</f>
        <v/>
      </c>
      <c r="S19" s="33" t="str">
        <f ca="1">IF($A19="","",IF(INDEX(Sheet!Y$2:Y$7967,$A19)="","",INDEX(Sheet!Y$2:Y$7967,$A19)))</f>
        <v/>
      </c>
      <c r="T19" s="33" t="str">
        <f ca="1">IF($A19="","",IF(INDEX(Sheet!X$2:X$7967,$A19)="","",INDEX(Sheet!X$2:X$7967,$A19)))</f>
        <v/>
      </c>
      <c r="U19" s="33" t="str">
        <f ca="1">IF($A19="","",IF(INDEX(Sheet!AA$2:AA$7967,$A19)="","",INDEX(Sheet!AA$2:AA$7967,$A19)))</f>
        <v/>
      </c>
      <c r="V19" s="33" t="str">
        <f ca="1">IF($A19="","",IF(INDEX(Sheet!AB$2:AB$7967,$A19)="","",INDEX(Sheet!AB$2:AB$7967,$A19)))</f>
        <v/>
      </c>
      <c r="W19" s="33" t="str">
        <f ca="1">IF($A19="","",IF(INDEX(Sheet!AH$2:AH$7967,$A19)="","",INDEX(Sheet!AH$2:AH$7967,$A19)))</f>
        <v/>
      </c>
      <c r="X19" s="33" t="str">
        <f ca="1">IF($A19="","",IF(INDEX(Sheet!AC$2:AC$7967,$A19)="","",INDEX(Sheet!AC$2:AC$7967,$A19)))</f>
        <v/>
      </c>
      <c r="Y19" s="33" t="str">
        <f ca="1">IF($A19="","",IF(INDEX(Sheet!AD$2:AD$7967,$A19)="","",INDEX(Sheet!AD$2:AD$7967,$A19)))</f>
        <v/>
      </c>
      <c r="Z19" s="33" t="str">
        <f ca="1">IF($A19="","",IF(INDEX(Sheet!AL$2:AL$7967,$A19)="","",INDEX(Sheet!AL$2:AL$7967,$A19)))</f>
        <v/>
      </c>
      <c r="AA19" s="33" t="str">
        <f ca="1">IF($A19="","",IF(INDEX(Sheet!AE$2:AE$7967,$A19)="","",INDEX(Sheet!AE$2:AE$7967,$A19)))</f>
        <v/>
      </c>
      <c r="AB19" s="33" t="str">
        <f ca="1">IF($A19="","",IF(INDEX(Sheet!AF$2:AF$7967,$A19)="","",INDEX(Sheet!AF$2:AF$7967,$A19)))</f>
        <v/>
      </c>
      <c r="AC19" s="33" t="str">
        <f ca="1">IF($A19="","",IF(INDEX(Sheet!AG$2:AG$7967,$A19)="","",INDEX(Sheet!AG$2:AG$7967,$A19)))</f>
        <v/>
      </c>
      <c r="AD19" s="33" t="str">
        <f ca="1">IF($A19="","",IF(INDEX(Sheet!AM$2:AM$7967,$A19)="","",INDEX(Sheet!AM$2:AM$7967,$A19)))</f>
        <v/>
      </c>
      <c r="AE19" s="33" t="str">
        <f ca="1">IF($A19="","",IF(INDEX(Sheet!AJ$2:AJ$7967,$A19)="","",INDEX(Sheet!AJ$2:AJ$7967,$A19)))</f>
        <v/>
      </c>
      <c r="AF19" s="33" t="str">
        <f ca="1">IF($A19="","",IF(INDEX(Sheet!AI$2:AI$7967,$A19)="","",INDEX(Sheet!AI$2:AI$7967,$A19)))</f>
        <v/>
      </c>
      <c r="AG19" s="33">
        <f ca="1">IF(D19="duyệt sản xuất"," Bảo Bảo, Ngày "&amp;DAY($J$4)&amp;" Tháng "&amp;MONTH($J$4)&amp;" Năm "&amp;YEAR($J$4),IF(D19="Phê duyệt","NGƯỜI LẬP",IF(D19="Nguyễn Ngọc Thắng","NGUYỄN THỊ MAI",IF($A19="","",INDEX(Sheet!AK$2:AK$7967,$A19)))))</f>
        <v>0</v>
      </c>
      <c r="AH19" s="58" t="str">
        <f ca="1">IF($A19="","",INDEX(Sheet!AR$2:AR$7967,$A19)&amp;" ; "&amp;INDEX(Sheet!M$2:M$7967,$A19))</f>
        <v xml:space="preserve"> ; STĐ Đen &amp; Xi trắng Cr3+ test 48h</v>
      </c>
      <c r="AI19" s="1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G19" s="35" t="str">
        <f ca="1">IFERROR(VALUE(separ(INDEX(Sheet!Q$2:Q$7967,$A19),"-",1)),"")</f>
        <v/>
      </c>
      <c r="BH19" s="35" t="str">
        <f ca="1">IFERROR(VALUE(separ(INDEX(Sheet!R$2:R$7967,$A19),"-",1)),"")</f>
        <v/>
      </c>
      <c r="BI19" s="35" t="str">
        <f ca="1">IFERROR(VALUE(separ(INDEX(Sheet!S$2:S$7967,$A19),"-",1)),"")</f>
        <v/>
      </c>
      <c r="BJ19" s="35">
        <f ca="1">IFERROR(VALUE(separ(INDEX(Sheet!T$2:T$7967,$A19),"-",1)),"")</f>
        <v>43801</v>
      </c>
      <c r="BK19" s="35">
        <f ca="1">IFERROR(VALUE(separ(INDEX(Sheet!U$2:U$7967,$A19),"-",1)),"")</f>
        <v>43813</v>
      </c>
      <c r="BL19" s="35" t="str">
        <f ca="1">IFERROR(VALUE(separ(INDEX(Sheet!V$2:V$7967,$A19),"-",1)),"")</f>
        <v/>
      </c>
      <c r="BM19" s="35" t="str">
        <f ca="1">IFERROR(VALUE(separ(INDEX(Sheet!W$2:W$7967,$A19),"-",1)),"")</f>
        <v/>
      </c>
      <c r="BN19" s="35" t="str">
        <f ca="1">IFERROR(VALUE(separ(INDEX(Sheet!X$2:X$7967,$A19),"-",1)),"")</f>
        <v/>
      </c>
      <c r="BO19" s="35" t="str">
        <f ca="1">IFERROR(VALUE(separ(INDEX(Sheet!Y$2:Y$7967,$A19),"-",1)),"")</f>
        <v/>
      </c>
      <c r="BP19" s="35" t="str">
        <f ca="1">IFERROR(VALUE(separ(INDEX(Sheet!Z$2:Z$7967,$A19),"-",1)),"")</f>
        <v/>
      </c>
      <c r="BQ19" s="35" t="str">
        <f ca="1">IFERROR(VALUE(separ(INDEX(Sheet!AA$2:AA$7967,$A19),"-",1)),"")</f>
        <v/>
      </c>
      <c r="BR19" s="35" t="str">
        <f ca="1">IFERROR(VALUE(separ(INDEX(Sheet!AB$2:AB$7967,$A19),"-",1)),"")</f>
        <v/>
      </c>
      <c r="BS19" s="35" t="str">
        <f ca="1">IFERROR(VALUE(separ(INDEX(Sheet!AC$2:AC$7967,$A19),"-",1)),"")</f>
        <v/>
      </c>
      <c r="BT19" s="35" t="str">
        <f ca="1">IFERROR(VALUE(separ(INDEX(Sheet!AD$2:AD$7967,$A19),"-",1)),"")</f>
        <v/>
      </c>
      <c r="BU19" s="35" t="str">
        <f ca="1">IFERROR(VALUE(separ(INDEX(Sheet!AE$2:AE$7967,$A19),"-",1)),"")</f>
        <v/>
      </c>
      <c r="BV19" s="35"/>
      <c r="BW19" s="35" t="str">
        <f ca="1">IFERROR((separ(INDEX(Sheet!Q$2:Q$7967,$A19),"-",2)),"")</f>
        <v xml:space="preserve"> </v>
      </c>
      <c r="BX19" s="35" t="str">
        <f ca="1">IFERROR((separ(INDEX(Sheet!R$2:R$7967,$A19),"-",2)),"")</f>
        <v xml:space="preserve"> </v>
      </c>
      <c r="BY19" s="35" t="str">
        <f ca="1">IFERROR((separ(INDEX(Sheet!S$2:S$7967,$A19),"-",2)),"")</f>
        <v xml:space="preserve"> </v>
      </c>
      <c r="BZ19" s="35" t="str">
        <f ca="1">IFERROR((separ(INDEX(Sheet!T$2:T$7967,$A19),"-",2)),"")</f>
        <v xml:space="preserve"> </v>
      </c>
      <c r="CA19" s="35" t="str">
        <f ca="1">IFERROR((separ(INDEX(Sheet!U$2:U$7967,$A19),"-",2)),"")</f>
        <v xml:space="preserve"> </v>
      </c>
      <c r="CB19" s="35" t="str">
        <f ca="1">IFERROR((separ(INDEX(Sheet!V$2:V$7967,$A19),"-",2)),"")</f>
        <v xml:space="preserve"> </v>
      </c>
      <c r="CC19" s="35" t="str">
        <f ca="1">IFERROR((separ(INDEX(Sheet!W$2:W$7967,$A19),"-",2)),"")</f>
        <v xml:space="preserve"> </v>
      </c>
      <c r="CD19" s="35" t="str">
        <f ca="1">IFERROR((separ(INDEX(Sheet!X$2:X$7967,$A19),"-",2)),"")</f>
        <v xml:space="preserve"> </v>
      </c>
      <c r="CE19" s="35" t="str">
        <f ca="1">IFERROR((separ(INDEX(Sheet!Y$2:Y$7967,$A19),"-",2)),"")</f>
        <v xml:space="preserve"> </v>
      </c>
      <c r="CF19" s="35" t="str">
        <f ca="1">IFERROR((separ(INDEX(Sheet!Z$2:Z$7967,$A19),"-",2)),"")</f>
        <v xml:space="preserve"> </v>
      </c>
      <c r="CG19" s="35" t="str">
        <f ca="1">IFERROR((separ(INDEX(Sheet!AA$2:AA$7967,$A19),"-",2)),"")</f>
        <v xml:space="preserve"> </v>
      </c>
      <c r="CH19" s="35" t="str">
        <f ca="1">IFERROR((separ(INDEX(Sheet!AB$2:AB$7967,$A19),"-",2)),"")</f>
        <v xml:space="preserve"> </v>
      </c>
      <c r="CI19" s="35" t="str">
        <f ca="1">IFERROR((separ(INDEX(Sheet!AC$2:AC$7967,$A19),"-",2)),"")</f>
        <v xml:space="preserve"> </v>
      </c>
      <c r="CJ19" s="35" t="str">
        <f ca="1">IFERROR((separ(INDEX(Sheet!AD$2:AD$7967,$A19),"-",2)),"")</f>
        <v xml:space="preserve"> </v>
      </c>
      <c r="CK19" s="35" t="str">
        <f ca="1">IFERROR((separ(INDEX(Sheet!AE$2:AE$7967,$A19),"-",2)),"")</f>
        <v xml:space="preserve"> </v>
      </c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</row>
    <row r="20" spans="1:104" s="29" customFormat="1" ht="30">
      <c r="A20" s="45" t="str">
        <f ca="1">IFERROR(MATCH($B$3,OFFSET(Sheet!$D$2,A19,0):'Sheet'!$D$7657,0)+A19,"")</f>
        <v/>
      </c>
      <c r="B20" s="29" t="str">
        <f ca="1">IF(ROW(A13)&lt;=COUNT($A$6:$A$800),INDEX(Sheet!$A$2:$A$7967,$A20),IF(ROW(A13)=COUNT($A$6:$A$800)+1," ",IF(ROW(A13)=COUNT($A$6:$A$800)+2,"  ","")))</f>
        <v> </v>
      </c>
      <c r="C20" s="67" t="str">
        <f ca="1">IF($A20="","",INDEX(Sheet!E$2:E$7967,$A20))</f>
        <v/>
      </c>
      <c r="D20" s="31" t="str">
        <f ca="1">IF(B17=" ",$AR$1,IF(B20=" ",$AQ$1,IF(A20="","",INDEX(Sheet!G$2:G$7967,$A20))))</f>
        <v>DUYỆT SẢN XUẤT</v>
      </c>
      <c r="E20" s="32" t="str">
        <f ca="1">IF($A20="","",TEXT(INDEX(Sheet!J$2:J$7967,$A20),"#,#")&amp;" "&amp;INDEX(Sheet!AT$2:AT$7967,$A20))</f>
        <v/>
      </c>
      <c r="F20" s="53" t="str">
        <f ca="1">IF($A20="","",INDEX(Sheet!F$2:F$7967,$A20))</f>
        <v/>
      </c>
      <c r="G20" s="32" t="str">
        <f ca="1">IF($A20="","",INDEX(Sheet!I$2:I$7967,$A20))</f>
        <v/>
      </c>
      <c r="H20" s="32" t="str">
        <f ca="1">IF($A20="","",INDEX(Sheet!L$2:L$7967,$A20))</f>
        <v/>
      </c>
      <c r="I20" s="32" t="str">
        <f ca="1">IF($A20="","",INDEX(Sheet!N$2:N$7967,$A20))</f>
        <v/>
      </c>
      <c r="J20" s="53" t="str">
        <f ca="1">IF($A20="","",INDEX(Sheet!AS$2:AS$7967,$A20))</f>
        <v/>
      </c>
      <c r="K20" s="33" t="str">
        <f ca="1">IF($A20="","",IF(INDEX(Sheet!S$2:S$7967,$A20)="","",INDEX(Sheet!S$2:S$7967,$A20)))</f>
        <v/>
      </c>
      <c r="L20" s="33" t="str">
        <f ca="1">IF($A20="","",IF(INDEX(Sheet!R$2:R$7967,$A20)="","",INDEX(Sheet!R$2:R$7967,$A20)))</f>
        <v/>
      </c>
      <c r="M20" s="33" t="str">
        <f ca="1">IF($A20="","",IF(INDEX(Sheet!AO$2:AO$7967,$A20)="","",INDEX(Sheet!AO$2:AO$7967,$A20)))</f>
        <v/>
      </c>
      <c r="N20" s="33" t="str">
        <f ca="1">IF($A20="","",IF(INDEX(Sheet!T$2:T$7967,$A20)="","",INDEX(Sheet!T$2:T$7967,$A20)))</f>
        <v/>
      </c>
      <c r="O20" s="33" t="str">
        <f ca="1">IF($A20="","",IF(INDEX(Sheet!U$2:U$7967,$A20)="","",INDEX(Sheet!U$2:U$7967,$A20)))</f>
        <v/>
      </c>
      <c r="P20" s="33" t="str">
        <f ca="1">IF($A20="","",IF(INDEX(Sheet!W$2:W$7967,$A20)="","",INDEX(Sheet!W$2:W$7967,$A20)))</f>
        <v/>
      </c>
      <c r="Q20" s="33" t="str">
        <f ca="1">IF($A20="","",IF(INDEX(Sheet!V$2:V$7967,$A20)="","",INDEX(Sheet!V$2:V$7967,$A20)))</f>
        <v/>
      </c>
      <c r="R20" s="33" t="str">
        <f ca="1">IF($A20="","",IF(INDEX(Sheet!Z$2:Z$7967,$A20)="","",INDEX(Sheet!Z$2:Z$7967,$A20)))</f>
        <v/>
      </c>
      <c r="S20" s="33" t="str">
        <f ca="1">IF($A20="","",IF(INDEX(Sheet!Y$2:Y$7967,$A20)="","",INDEX(Sheet!Y$2:Y$7967,$A20)))</f>
        <v/>
      </c>
      <c r="T20" s="33" t="str">
        <f ca="1">IF($A20="","",IF(INDEX(Sheet!X$2:X$7967,$A20)="","",INDEX(Sheet!X$2:X$7967,$A20)))</f>
        <v/>
      </c>
      <c r="U20" s="33" t="str">
        <f ca="1">IF($A20="","",IF(INDEX(Sheet!AA$2:AA$7967,$A20)="","",INDEX(Sheet!AA$2:AA$7967,$A20)))</f>
        <v/>
      </c>
      <c r="V20" s="33" t="str">
        <f ca="1">IF($A20="","",IF(INDEX(Sheet!AB$2:AB$7967,$A20)="","",INDEX(Sheet!AB$2:AB$7967,$A20)))</f>
        <v/>
      </c>
      <c r="W20" s="33" t="str">
        <f ca="1">IF($A20="","",IF(INDEX(Sheet!AH$2:AH$7967,$A20)="","",INDEX(Sheet!AH$2:AH$7967,$A20)))</f>
        <v/>
      </c>
      <c r="X20" s="33" t="str">
        <f ca="1">IF($A20="","",IF(INDEX(Sheet!AC$2:AC$7967,$A20)="","",INDEX(Sheet!AC$2:AC$7967,$A20)))</f>
        <v/>
      </c>
      <c r="Y20" s="33" t="str">
        <f ca="1">IF($A20="","",IF(INDEX(Sheet!AD$2:AD$7967,$A20)="","",INDEX(Sheet!AD$2:AD$7967,$A20)))</f>
        <v/>
      </c>
      <c r="Z20" s="33" t="str">
        <f ca="1">IF($A20="","",IF(INDEX(Sheet!AL$2:AL$7967,$A20)="","",INDEX(Sheet!AL$2:AL$7967,$A20)))</f>
        <v/>
      </c>
      <c r="AA20" s="33" t="str">
        <f ca="1">IF($A20="","",IF(INDEX(Sheet!AE$2:AE$7967,$A20)="","",INDEX(Sheet!AE$2:AE$7967,$A20)))</f>
        <v/>
      </c>
      <c r="AB20" s="33" t="str">
        <f ca="1">IF($A20="","",IF(INDEX(Sheet!AF$2:AF$7967,$A20)="","",INDEX(Sheet!AF$2:AF$7967,$A20)))</f>
        <v/>
      </c>
      <c r="AC20" s="33" t="str">
        <f ca="1">IF($A20="","",IF(INDEX(Sheet!AG$2:AG$7967,$A20)="","",INDEX(Sheet!AG$2:AG$7967,$A20)))</f>
        <v/>
      </c>
      <c r="AD20" s="33" t="str">
        <f ca="1">IF($A20="","",IF(INDEX(Sheet!AM$2:AM$7967,$A20)="","",INDEX(Sheet!AM$2:AM$7967,$A20)))</f>
        <v/>
      </c>
      <c r="AE20" s="33" t="str">
        <f ca="1">IF($A20="","",IF(INDEX(Sheet!AJ$2:AJ$7967,$A20)="","",INDEX(Sheet!AJ$2:AJ$7967,$A20)))</f>
        <v/>
      </c>
      <c r="AF20" s="33" t="str">
        <f ca="1">IF($A20="","",IF(INDEX(Sheet!AI$2:AI$7967,$A20)="","",INDEX(Sheet!AI$2:AI$7967,$A20)))</f>
        <v/>
      </c>
      <c r="AG20" s="33" t="str">
        <f ca="1">IF(D20="duyệt sản xuất"," Bảo Bảo, Ngày "&amp;DAY($J$4)&amp;" Tháng "&amp;MONTH($J$4)&amp;" Năm "&amp;YEAR($J$4),IF(D20="Phê duyệt","NGƯỜI LẬP",IF(D20="Nguyễn Ngọc Thắng","NGUYỄN THỊ MAI",IF($A20="","",INDEX(Sheet!AK$2:AK$7967,$A20)))))</f>
        <v xml:space="preserve"> Bảo Bảo, Ngày 8 Tháng 11 Năm 2019</v>
      </c>
      <c r="AH20" s="58" t="str">
        <f ca="1">IF($A20="","",INDEX(Sheet!AR$2:AR$7967,$A20)&amp;" ; "&amp;INDEX(Sheet!M$2:M$7967,$A20))</f>
        <v/>
      </c>
      <c r="AI20" s="1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G20" s="35" t="str">
        <f ca="1">IFERROR(VALUE(separ(INDEX(Sheet!Q$2:Q$7967,$A20),"-",1)),"")</f>
        <v/>
      </c>
      <c r="BH20" s="35" t="str">
        <f ca="1">IFERROR(VALUE(separ(INDEX(Sheet!R$2:R$7967,$A20),"-",1)),"")</f>
        <v/>
      </c>
      <c r="BI20" s="35" t="str">
        <f ca="1">IFERROR(VALUE(separ(INDEX(Sheet!S$2:S$7967,$A20),"-",1)),"")</f>
        <v/>
      </c>
      <c r="BJ20" s="35" t="str">
        <f ca="1">IFERROR(VALUE(separ(INDEX(Sheet!T$2:T$7967,$A20),"-",1)),"")</f>
        <v/>
      </c>
      <c r="BK20" s="35" t="str">
        <f ca="1">IFERROR(VALUE(separ(INDEX(Sheet!U$2:U$7967,$A20),"-",1)),"")</f>
        <v/>
      </c>
      <c r="BL20" s="35" t="str">
        <f ca="1">IFERROR(VALUE(separ(INDEX(Sheet!V$2:V$7967,$A20),"-",1)),"")</f>
        <v/>
      </c>
      <c r="BM20" s="35" t="str">
        <f ca="1">IFERROR(VALUE(separ(INDEX(Sheet!W$2:W$7967,$A20),"-",1)),"")</f>
        <v/>
      </c>
      <c r="BN20" s="35" t="str">
        <f ca="1">IFERROR(VALUE(separ(INDEX(Sheet!X$2:X$7967,$A20),"-",1)),"")</f>
        <v/>
      </c>
      <c r="BO20" s="35" t="str">
        <f ca="1">IFERROR(VALUE(separ(INDEX(Sheet!Y$2:Y$7967,$A20),"-",1)),"")</f>
        <v/>
      </c>
      <c r="BP20" s="35" t="str">
        <f ca="1">IFERROR(VALUE(separ(INDEX(Sheet!Z$2:Z$7967,$A20),"-",1)),"")</f>
        <v/>
      </c>
      <c r="BQ20" s="35" t="str">
        <f ca="1">IFERROR(VALUE(separ(INDEX(Sheet!AA$2:AA$7967,$A20),"-",1)),"")</f>
        <v/>
      </c>
      <c r="BR20" s="35" t="str">
        <f ca="1">IFERROR(VALUE(separ(INDEX(Sheet!AB$2:AB$7967,$A20),"-",1)),"")</f>
        <v/>
      </c>
      <c r="BS20" s="35" t="str">
        <f ca="1">IFERROR(VALUE(separ(INDEX(Sheet!AC$2:AC$7967,$A20),"-",1)),"")</f>
        <v/>
      </c>
      <c r="BT20" s="35" t="str">
        <f ca="1">IFERROR(VALUE(separ(INDEX(Sheet!AD$2:AD$7967,$A20),"-",1)),"")</f>
        <v/>
      </c>
      <c r="BU20" s="35" t="str">
        <f ca="1">IFERROR(VALUE(separ(INDEX(Sheet!AE$2:AE$7967,$A20),"-",1)),"")</f>
        <v/>
      </c>
      <c r="BV20" s="35"/>
      <c r="BW20" s="35" t="str">
        <f ca="1">IFERROR((separ(INDEX(Sheet!Q$2:Q$7967,$A20),"-",2)),"")</f>
        <v/>
      </c>
      <c r="BX20" s="35" t="str">
        <f ca="1">IFERROR((separ(INDEX(Sheet!R$2:R$7967,$A20),"-",2)),"")</f>
        <v/>
      </c>
      <c r="BY20" s="35" t="str">
        <f ca="1">IFERROR((separ(INDEX(Sheet!S$2:S$7967,$A20),"-",2)),"")</f>
        <v/>
      </c>
      <c r="BZ20" s="35" t="str">
        <f ca="1">IFERROR((separ(INDEX(Sheet!T$2:T$7967,$A20),"-",2)),"")</f>
        <v/>
      </c>
      <c r="CA20" s="35" t="str">
        <f ca="1">IFERROR((separ(INDEX(Sheet!U$2:U$7967,$A20),"-",2)),"")</f>
        <v/>
      </c>
      <c r="CB20" s="35" t="str">
        <f ca="1">IFERROR((separ(INDEX(Sheet!V$2:V$7967,$A20),"-",2)),"")</f>
        <v/>
      </c>
      <c r="CC20" s="35" t="str">
        <f ca="1">IFERROR((separ(INDEX(Sheet!W$2:W$7967,$A20),"-",2)),"")</f>
        <v/>
      </c>
      <c r="CD20" s="35" t="str">
        <f ca="1">IFERROR((separ(INDEX(Sheet!X$2:X$7967,$A20),"-",2)),"")</f>
        <v/>
      </c>
      <c r="CE20" s="35" t="str">
        <f ca="1">IFERROR((separ(INDEX(Sheet!Y$2:Y$7967,$A20),"-",2)),"")</f>
        <v/>
      </c>
      <c r="CF20" s="35" t="str">
        <f ca="1">IFERROR((separ(INDEX(Sheet!Z$2:Z$7967,$A20),"-",2)),"")</f>
        <v/>
      </c>
      <c r="CG20" s="35" t="str">
        <f ca="1">IFERROR((separ(INDEX(Sheet!AA$2:AA$7967,$A20),"-",2)),"")</f>
        <v/>
      </c>
      <c r="CH20" s="35" t="str">
        <f ca="1">IFERROR((separ(INDEX(Sheet!AB$2:AB$7967,$A20),"-",2)),"")</f>
        <v/>
      </c>
      <c r="CI20" s="35" t="str">
        <f ca="1">IFERROR((separ(INDEX(Sheet!AC$2:AC$7967,$A20),"-",2)),"")</f>
        <v/>
      </c>
      <c r="CJ20" s="35" t="str">
        <f ca="1">IFERROR((separ(INDEX(Sheet!AD$2:AD$7967,$A20),"-",2)),"")</f>
        <v/>
      </c>
      <c r="CK20" s="35" t="str">
        <f ca="1">IFERROR((separ(INDEX(Sheet!AE$2:AE$7967,$A20),"-",2)),"")</f>
        <v/>
      </c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</row>
    <row r="21" spans="1:104" s="29" customFormat="1">
      <c r="A21" s="45" t="str">
        <f ca="1">IFERROR(MATCH($B$3,OFFSET(Sheet!$D$2,A20,0):'Sheet'!$D$7657,0)+A20,"")</f>
        <v/>
      </c>
      <c r="B21" s="29" t="str">
        <f ca="1">IF(ROW(A14)&lt;=COUNT($A$6:$A$800),INDEX(Sheet!$A$2:$A$7967,$A21),IF(ROW(A14)=COUNT($A$6:$A$800)+1," ",IF(ROW(A14)=COUNT($A$6:$A$800)+2,"  ","")))</f>
        <v>  </v>
      </c>
      <c r="C21" s="67" t="str">
        <f ca="1">IF($A21="","",INDEX(Sheet!E$2:E$7967,$A21))</f>
        <v/>
      </c>
      <c r="D21" s="31" t="str">
        <f ca="1">IF(B18=" ",$AR$1,IF(B21=" ",$AQ$1,IF(A21="","",INDEX(Sheet!G$2:G$7967,$A21))))</f>
        <v/>
      </c>
      <c r="E21" s="32" t="str">
        <f ca="1">IF($A21="","",TEXT(INDEX(Sheet!J$2:J$7967,$A21),"#,#")&amp;" "&amp;INDEX(Sheet!AT$2:AT$7967,$A21))</f>
        <v/>
      </c>
      <c r="F21" s="53" t="str">
        <f ca="1">IF($A21="","",INDEX(Sheet!F$2:F$7967,$A21))</f>
        <v/>
      </c>
      <c r="G21" s="32" t="str">
        <f ca="1">IF($A21="","",INDEX(Sheet!I$2:I$7967,$A21))</f>
        <v/>
      </c>
      <c r="H21" s="32" t="str">
        <f ca="1">IF($A21="","",INDEX(Sheet!L$2:L$7967,$A21))</f>
        <v/>
      </c>
      <c r="I21" s="32" t="str">
        <f ca="1">IF($A21="","",INDEX(Sheet!N$2:N$7967,$A21))</f>
        <v/>
      </c>
      <c r="J21" s="53" t="str">
        <f ca="1">IF($A21="","",INDEX(Sheet!AS$2:AS$7967,$A21))</f>
        <v/>
      </c>
      <c r="K21" s="33" t="str">
        <f ca="1">IF($A21="","",IF(INDEX(Sheet!S$2:S$7967,$A21)="","",INDEX(Sheet!S$2:S$7967,$A21)))</f>
        <v/>
      </c>
      <c r="L21" s="33" t="str">
        <f ca="1">IF($A21="","",IF(INDEX(Sheet!R$2:R$7967,$A21)="","",INDEX(Sheet!R$2:R$7967,$A21)))</f>
        <v/>
      </c>
      <c r="M21" s="33" t="str">
        <f ca="1">IF($A21="","",IF(INDEX(Sheet!AO$2:AO$7967,$A21)="","",INDEX(Sheet!AO$2:AO$7967,$A21)))</f>
        <v/>
      </c>
      <c r="N21" s="33" t="str">
        <f ca="1">IF($A21="","",IF(INDEX(Sheet!T$2:T$7967,$A21)="","",INDEX(Sheet!T$2:T$7967,$A21)))</f>
        <v/>
      </c>
      <c r="O21" s="33" t="str">
        <f ca="1">IF($A21="","",IF(INDEX(Sheet!U$2:U$7967,$A21)="","",INDEX(Sheet!U$2:U$7967,$A21)))</f>
        <v/>
      </c>
      <c r="P21" s="33" t="str">
        <f ca="1">IF($A21="","",IF(INDEX(Sheet!W$2:W$7967,$A21)="","",INDEX(Sheet!W$2:W$7967,$A21)))</f>
        <v/>
      </c>
      <c r="Q21" s="33" t="str">
        <f ca="1">IF($A21="","",IF(INDEX(Sheet!V$2:V$7967,$A21)="","",INDEX(Sheet!V$2:V$7967,$A21)))</f>
        <v/>
      </c>
      <c r="R21" s="33" t="str">
        <f ca="1">IF($A21="","",IF(INDEX(Sheet!Z$2:Z$7967,$A21)="","",INDEX(Sheet!Z$2:Z$7967,$A21)))</f>
        <v/>
      </c>
      <c r="S21" s="33" t="str">
        <f ca="1">IF($A21="","",IF(INDEX(Sheet!Y$2:Y$7967,$A21)="","",INDEX(Sheet!Y$2:Y$7967,$A21)))</f>
        <v/>
      </c>
      <c r="T21" s="33" t="str">
        <f ca="1">IF($A21="","",IF(INDEX(Sheet!X$2:X$7967,$A21)="","",INDEX(Sheet!X$2:X$7967,$A21)))</f>
        <v/>
      </c>
      <c r="U21" s="33" t="str">
        <f ca="1">IF($A21="","",IF(INDEX(Sheet!AA$2:AA$7967,$A21)="","",INDEX(Sheet!AA$2:AA$7967,$A21)))</f>
        <v/>
      </c>
      <c r="V21" s="33" t="str">
        <f ca="1">IF($A21="","",IF(INDEX(Sheet!AB$2:AB$7967,$A21)="","",INDEX(Sheet!AB$2:AB$7967,$A21)))</f>
        <v/>
      </c>
      <c r="W21" s="33" t="str">
        <f ca="1">IF($A21="","",IF(INDEX(Sheet!AH$2:AH$7967,$A21)="","",INDEX(Sheet!AH$2:AH$7967,$A21)))</f>
        <v/>
      </c>
      <c r="X21" s="33" t="str">
        <f ca="1">IF($A21="","",IF(INDEX(Sheet!AC$2:AC$7967,$A21)="","",INDEX(Sheet!AC$2:AC$7967,$A21)))</f>
        <v/>
      </c>
      <c r="Y21" s="33" t="str">
        <f ca="1">IF($A21="","",IF(INDEX(Sheet!AD$2:AD$7967,$A21)="","",INDEX(Sheet!AD$2:AD$7967,$A21)))</f>
        <v/>
      </c>
      <c r="Z21" s="33" t="str">
        <f ca="1">IF($A21="","",IF(INDEX(Sheet!AL$2:AL$7967,$A21)="","",INDEX(Sheet!AL$2:AL$7967,$A21)))</f>
        <v/>
      </c>
      <c r="AA21" s="33" t="str">
        <f ca="1">IF($A21="","",IF(INDEX(Sheet!AE$2:AE$7967,$A21)="","",INDEX(Sheet!AE$2:AE$7967,$A21)))</f>
        <v/>
      </c>
      <c r="AB21" s="33" t="str">
        <f ca="1">IF($A21="","",IF(INDEX(Sheet!AF$2:AF$7967,$A21)="","",INDEX(Sheet!AF$2:AF$7967,$A21)))</f>
        <v/>
      </c>
      <c r="AC21" s="33" t="str">
        <f ca="1">IF($A21="","",IF(INDEX(Sheet!AG$2:AG$7967,$A21)="","",INDEX(Sheet!AG$2:AG$7967,$A21)))</f>
        <v/>
      </c>
      <c r="AD21" s="33" t="str">
        <f ca="1">IF($A21="","",IF(INDEX(Sheet!AM$2:AM$7967,$A21)="","",INDEX(Sheet!AM$2:AM$7967,$A21)))</f>
        <v/>
      </c>
      <c r="AE21" s="33" t="str">
        <f ca="1">IF($A21="","",IF(INDEX(Sheet!AJ$2:AJ$7967,$A21)="","",INDEX(Sheet!AJ$2:AJ$7967,$A21)))</f>
        <v/>
      </c>
      <c r="AF21" s="33" t="str">
        <f ca="1">IF($A21="","",IF(INDEX(Sheet!AI$2:AI$7967,$A21)="","",INDEX(Sheet!AI$2:AI$7967,$A21)))</f>
        <v/>
      </c>
      <c r="AG21" s="33" t="str">
        <f ca="1">IF(D21="duyệt sản xuất"," Bảo Bảo, Ngày "&amp;DAY($J$4)&amp;" Tháng "&amp;MONTH($J$4)&amp;" Năm "&amp;YEAR($J$4),IF(D21="Phê duyệt","NGƯỜI LẬP",IF(D21="Nguyễn Ngọc Thắng","NGUYỄN THỊ MAI",IF($A21="","",INDEX(Sheet!AK$2:AK$7967,$A21)))))</f>
        <v/>
      </c>
      <c r="AH21" s="58" t="str">
        <f ca="1">IF($A21="","",INDEX(Sheet!AR$2:AR$7967,$A21)&amp;" ; "&amp;INDEX(Sheet!M$2:M$7967,$A21))</f>
        <v/>
      </c>
      <c r="AI21" s="1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G21" s="35" t="str">
        <f ca="1">IFERROR(VALUE(separ(INDEX(Sheet!Q$2:Q$7967,$A21),"-",1)),"")</f>
        <v/>
      </c>
      <c r="BH21" s="35" t="str">
        <f ca="1">IFERROR(VALUE(separ(INDEX(Sheet!R$2:R$7967,$A21),"-",1)),"")</f>
        <v/>
      </c>
      <c r="BI21" s="35" t="str">
        <f ca="1">IFERROR(VALUE(separ(INDEX(Sheet!S$2:S$7967,$A21),"-",1)),"")</f>
        <v/>
      </c>
      <c r="BJ21" s="35" t="str">
        <f ca="1">IFERROR(VALUE(separ(INDEX(Sheet!T$2:T$7967,$A21),"-",1)),"")</f>
        <v/>
      </c>
      <c r="BK21" s="35" t="str">
        <f ca="1">IFERROR(VALUE(separ(INDEX(Sheet!U$2:U$7967,$A21),"-",1)),"")</f>
        <v/>
      </c>
      <c r="BL21" s="35" t="str">
        <f ca="1">IFERROR(VALUE(separ(INDEX(Sheet!V$2:V$7967,$A21),"-",1)),"")</f>
        <v/>
      </c>
      <c r="BM21" s="35" t="str">
        <f ca="1">IFERROR(VALUE(separ(INDEX(Sheet!W$2:W$7967,$A21),"-",1)),"")</f>
        <v/>
      </c>
      <c r="BN21" s="35" t="str">
        <f ca="1">IFERROR(VALUE(separ(INDEX(Sheet!X$2:X$7967,$A21),"-",1)),"")</f>
        <v/>
      </c>
      <c r="BO21" s="35" t="str">
        <f ca="1">IFERROR(VALUE(separ(INDEX(Sheet!Y$2:Y$7967,$A21),"-",1)),"")</f>
        <v/>
      </c>
      <c r="BP21" s="35" t="str">
        <f ca="1">IFERROR(VALUE(separ(INDEX(Sheet!Z$2:Z$7967,$A21),"-",1)),"")</f>
        <v/>
      </c>
      <c r="BQ21" s="35" t="str">
        <f ca="1">IFERROR(VALUE(separ(INDEX(Sheet!AA$2:AA$7967,$A21),"-",1)),"")</f>
        <v/>
      </c>
      <c r="BR21" s="35" t="str">
        <f ca="1">IFERROR(VALUE(separ(INDEX(Sheet!AB$2:AB$7967,$A21),"-",1)),"")</f>
        <v/>
      </c>
      <c r="BS21" s="35" t="str">
        <f ca="1">IFERROR(VALUE(separ(INDEX(Sheet!AC$2:AC$7967,$A21),"-",1)),"")</f>
        <v/>
      </c>
      <c r="BT21" s="35" t="str">
        <f ca="1">IFERROR(VALUE(separ(INDEX(Sheet!AD$2:AD$7967,$A21),"-",1)),"")</f>
        <v/>
      </c>
      <c r="BU21" s="35" t="str">
        <f ca="1">IFERROR(VALUE(separ(INDEX(Sheet!AE$2:AE$7967,$A21),"-",1)),"")</f>
        <v/>
      </c>
      <c r="BV21" s="35"/>
      <c r="BW21" s="35" t="str">
        <f ca="1">IFERROR((separ(INDEX(Sheet!Q$2:Q$7967,$A21),"-",2)),"")</f>
        <v/>
      </c>
      <c r="BX21" s="35" t="str">
        <f ca="1">IFERROR((separ(INDEX(Sheet!R$2:R$7967,$A21),"-",2)),"")</f>
        <v/>
      </c>
      <c r="BY21" s="35" t="str">
        <f ca="1">IFERROR((separ(INDEX(Sheet!S$2:S$7967,$A21),"-",2)),"")</f>
        <v/>
      </c>
      <c r="BZ21" s="35" t="str">
        <f ca="1">IFERROR((separ(INDEX(Sheet!T$2:T$7967,$A21),"-",2)),"")</f>
        <v/>
      </c>
      <c r="CA21" s="35" t="str">
        <f ca="1">IFERROR((separ(INDEX(Sheet!U$2:U$7967,$A21),"-",2)),"")</f>
        <v/>
      </c>
      <c r="CB21" s="35" t="str">
        <f ca="1">IFERROR((separ(INDEX(Sheet!V$2:V$7967,$A21),"-",2)),"")</f>
        <v/>
      </c>
      <c r="CC21" s="35" t="str">
        <f ca="1">IFERROR((separ(INDEX(Sheet!W$2:W$7967,$A21),"-",2)),"")</f>
        <v/>
      </c>
      <c r="CD21" s="35" t="str">
        <f ca="1">IFERROR((separ(INDEX(Sheet!X$2:X$7967,$A21),"-",2)),"")</f>
        <v/>
      </c>
      <c r="CE21" s="35" t="str">
        <f ca="1">IFERROR((separ(INDEX(Sheet!Y$2:Y$7967,$A21),"-",2)),"")</f>
        <v/>
      </c>
      <c r="CF21" s="35" t="str">
        <f ca="1">IFERROR((separ(INDEX(Sheet!Z$2:Z$7967,$A21),"-",2)),"")</f>
        <v/>
      </c>
      <c r="CG21" s="35" t="str">
        <f ca="1">IFERROR((separ(INDEX(Sheet!AA$2:AA$7967,$A21),"-",2)),"")</f>
        <v/>
      </c>
      <c r="CH21" s="35" t="str">
        <f ca="1">IFERROR((separ(INDEX(Sheet!AB$2:AB$7967,$A21),"-",2)),"")</f>
        <v/>
      </c>
      <c r="CI21" s="35" t="str">
        <f ca="1">IFERROR((separ(INDEX(Sheet!AC$2:AC$7967,$A21),"-",2)),"")</f>
        <v/>
      </c>
      <c r="CJ21" s="35" t="str">
        <f ca="1">IFERROR((separ(INDEX(Sheet!AD$2:AD$7967,$A21),"-",2)),"")</f>
        <v/>
      </c>
      <c r="CK21" s="35" t="str">
        <f ca="1">IFERROR((separ(INDEX(Sheet!AE$2:AE$7967,$A21),"-",2)),"")</f>
        <v/>
      </c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</row>
    <row r="22" spans="1:104" s="29" customFormat="1">
      <c r="A22" s="45" t="str">
        <f ca="1">IFERROR(MATCH($B$3,OFFSET(Sheet!$D$2,A21,0):'Sheet'!$D$7657,0)+A21,"")</f>
        <v/>
      </c>
      <c r="B22" s="29" t="str">
        <f ca="1">IF(ROW(A15)&lt;=COUNT($A$6:$A$800),INDEX(Sheet!$A$2:$A$7967,$A22),IF(ROW(A15)=COUNT($A$6:$A$800)+1," ",IF(ROW(A15)=COUNT($A$6:$A$800)+2,"  ","")))</f>
        <v/>
      </c>
      <c r="C22" s="67" t="str">
        <f ca="1">IF($A22="","",INDEX(Sheet!E$2:E$7967,$A22))</f>
        <v/>
      </c>
      <c r="D22" s="31" t="str">
        <f ca="1">IF(B19=" ",$AR$1,IF(B22=" ",$AQ$1,IF(A22="","",INDEX(Sheet!G$2:G$7967,$A22))))</f>
        <v/>
      </c>
      <c r="E22" s="32" t="str">
        <f ca="1">IF($A22="","",TEXT(INDEX(Sheet!J$2:J$7967,$A22),"#,#")&amp;" "&amp;INDEX(Sheet!AT$2:AT$7967,$A22))</f>
        <v/>
      </c>
      <c r="F22" s="53" t="str">
        <f ca="1">IF($A22="","",INDEX(Sheet!F$2:F$7967,$A22))</f>
        <v/>
      </c>
      <c r="G22" s="32" t="str">
        <f ca="1">IF($A22="","",INDEX(Sheet!I$2:I$7967,$A22))</f>
        <v/>
      </c>
      <c r="H22" s="32" t="str">
        <f ca="1">IF($A22="","",INDEX(Sheet!L$2:L$7967,$A22))</f>
        <v/>
      </c>
      <c r="I22" s="32" t="str">
        <f ca="1">IF($A22="","",INDEX(Sheet!N$2:N$7967,$A22))</f>
        <v/>
      </c>
      <c r="J22" s="53" t="str">
        <f ca="1">IF($A22="","",INDEX(Sheet!AS$2:AS$7967,$A22))</f>
        <v/>
      </c>
      <c r="K22" s="33" t="str">
        <f ca="1">IF($A22="","",IF(INDEX(Sheet!S$2:S$7967,$A22)="","",INDEX(Sheet!S$2:S$7967,$A22)))</f>
        <v/>
      </c>
      <c r="L22" s="33" t="str">
        <f ca="1">IF($A22="","",IF(INDEX(Sheet!R$2:R$7967,$A22)="","",INDEX(Sheet!R$2:R$7967,$A22)))</f>
        <v/>
      </c>
      <c r="M22" s="33" t="str">
        <f ca="1">IF($A22="","",IF(INDEX(Sheet!AO$2:AO$7967,$A22)="","",INDEX(Sheet!AO$2:AO$7967,$A22)))</f>
        <v/>
      </c>
      <c r="N22" s="33" t="str">
        <f ca="1">IF($A22="","",IF(INDEX(Sheet!T$2:T$7967,$A22)="","",INDEX(Sheet!T$2:T$7967,$A22)))</f>
        <v/>
      </c>
      <c r="O22" s="33" t="str">
        <f ca="1">IF($A22="","",IF(INDEX(Sheet!U$2:U$7967,$A22)="","",INDEX(Sheet!U$2:U$7967,$A22)))</f>
        <v/>
      </c>
      <c r="P22" s="33" t="str">
        <f ca="1">IF($A22="","",IF(INDEX(Sheet!W$2:W$7967,$A22)="","",INDEX(Sheet!W$2:W$7967,$A22)))</f>
        <v/>
      </c>
      <c r="Q22" s="33" t="str">
        <f ca="1">IF($A22="","",IF(INDEX(Sheet!V$2:V$7967,$A22)="","",INDEX(Sheet!V$2:V$7967,$A22)))</f>
        <v/>
      </c>
      <c r="R22" s="33" t="str">
        <f ca="1">IF($A22="","",IF(INDEX(Sheet!Z$2:Z$7967,$A22)="","",INDEX(Sheet!Z$2:Z$7967,$A22)))</f>
        <v/>
      </c>
      <c r="S22" s="33" t="str">
        <f ca="1">IF($A22="","",IF(INDEX(Sheet!Y$2:Y$7967,$A22)="","",INDEX(Sheet!Y$2:Y$7967,$A22)))</f>
        <v/>
      </c>
      <c r="T22" s="33" t="str">
        <f ca="1">IF($A22="","",IF(INDEX(Sheet!X$2:X$7967,$A22)="","",INDEX(Sheet!X$2:X$7967,$A22)))</f>
        <v/>
      </c>
      <c r="U22" s="33" t="str">
        <f ca="1">IF($A22="","",IF(INDEX(Sheet!AA$2:AA$7967,$A22)="","",INDEX(Sheet!AA$2:AA$7967,$A22)))</f>
        <v/>
      </c>
      <c r="V22" s="33" t="str">
        <f ca="1">IF($A22="","",IF(INDEX(Sheet!AB$2:AB$7967,$A22)="","",INDEX(Sheet!AB$2:AB$7967,$A22)))</f>
        <v/>
      </c>
      <c r="W22" s="33" t="str">
        <f ca="1">IF($A22="","",IF(INDEX(Sheet!AH$2:AH$7967,$A22)="","",INDEX(Sheet!AH$2:AH$7967,$A22)))</f>
        <v/>
      </c>
      <c r="X22" s="33" t="str">
        <f ca="1">IF($A22="","",IF(INDEX(Sheet!AC$2:AC$7967,$A22)="","",INDEX(Sheet!AC$2:AC$7967,$A22)))</f>
        <v/>
      </c>
      <c r="Y22" s="33" t="str">
        <f ca="1">IF($A22="","",IF(INDEX(Sheet!AD$2:AD$7967,$A22)="","",INDEX(Sheet!AD$2:AD$7967,$A22)))</f>
        <v/>
      </c>
      <c r="Z22" s="33" t="str">
        <f ca="1">IF($A22="","",IF(INDEX(Sheet!AL$2:AL$7967,$A22)="","",INDEX(Sheet!AL$2:AL$7967,$A22)))</f>
        <v/>
      </c>
      <c r="AA22" s="33" t="str">
        <f ca="1">IF($A22="","",IF(INDEX(Sheet!AE$2:AE$7967,$A22)="","",INDEX(Sheet!AE$2:AE$7967,$A22)))</f>
        <v/>
      </c>
      <c r="AB22" s="33" t="str">
        <f ca="1">IF($A22="","",IF(INDEX(Sheet!AF$2:AF$7967,$A22)="","",INDEX(Sheet!AF$2:AF$7967,$A22)))</f>
        <v/>
      </c>
      <c r="AC22" s="33" t="str">
        <f ca="1">IF($A22="","",IF(INDEX(Sheet!AG$2:AG$7967,$A22)="","",INDEX(Sheet!AG$2:AG$7967,$A22)))</f>
        <v/>
      </c>
      <c r="AD22" s="33" t="str">
        <f ca="1">IF($A22="","",IF(INDEX(Sheet!AM$2:AM$7967,$A22)="","",INDEX(Sheet!AM$2:AM$7967,$A22)))</f>
        <v/>
      </c>
      <c r="AE22" s="33" t="str">
        <f ca="1">IF($A22="","",IF(INDEX(Sheet!AJ$2:AJ$7967,$A22)="","",INDEX(Sheet!AJ$2:AJ$7967,$A22)))</f>
        <v/>
      </c>
      <c r="AF22" s="33" t="str">
        <f ca="1">IF($A22="","",IF(INDEX(Sheet!AI$2:AI$7967,$A22)="","",INDEX(Sheet!AI$2:AI$7967,$A22)))</f>
        <v/>
      </c>
      <c r="AG22" s="33" t="str">
        <f ca="1">IF(D22="duyệt sản xuất"," Bảo Bảo, Ngày "&amp;DAY($J$4)&amp;" Tháng "&amp;MONTH($J$4)&amp;" Năm "&amp;YEAR($J$4),IF(D22="Phê duyệt","NGƯỜI LẬP",IF(D22="Nguyễn Ngọc Thắng","NGUYỄN THỊ MAI",IF($A22="","",INDEX(Sheet!AK$2:AK$7967,$A22)))))</f>
        <v/>
      </c>
      <c r="AH22" s="58" t="str">
        <f ca="1">IF($A22="","",INDEX(Sheet!AR$2:AR$7967,$A22)&amp;" ; "&amp;INDEX(Sheet!M$2:M$7967,$A22))</f>
        <v/>
      </c>
      <c r="AI22" s="1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G22" s="35" t="str">
        <f ca="1">IFERROR(VALUE(separ(INDEX(Sheet!Q$2:Q$7967,$A22),"-",1)),"")</f>
        <v/>
      </c>
      <c r="BH22" s="35" t="str">
        <f ca="1">IFERROR(VALUE(separ(INDEX(Sheet!R$2:R$7967,$A22),"-",1)),"")</f>
        <v/>
      </c>
      <c r="BI22" s="35" t="str">
        <f ca="1">IFERROR(VALUE(separ(INDEX(Sheet!S$2:S$7967,$A22),"-",1)),"")</f>
        <v/>
      </c>
      <c r="BJ22" s="35" t="str">
        <f ca="1">IFERROR(VALUE(separ(INDEX(Sheet!T$2:T$7967,$A22),"-",1)),"")</f>
        <v/>
      </c>
      <c r="BK22" s="35" t="str">
        <f ca="1">IFERROR(VALUE(separ(INDEX(Sheet!U$2:U$7967,$A22),"-",1)),"")</f>
        <v/>
      </c>
      <c r="BL22" s="35" t="str">
        <f ca="1">IFERROR(VALUE(separ(INDEX(Sheet!V$2:V$7967,$A22),"-",1)),"")</f>
        <v/>
      </c>
      <c r="BM22" s="35" t="str">
        <f ca="1">IFERROR(VALUE(separ(INDEX(Sheet!W$2:W$7967,$A22),"-",1)),"")</f>
        <v/>
      </c>
      <c r="BN22" s="35" t="str">
        <f ca="1">IFERROR(VALUE(separ(INDEX(Sheet!X$2:X$7967,$A22),"-",1)),"")</f>
        <v/>
      </c>
      <c r="BO22" s="35" t="str">
        <f ca="1">IFERROR(VALUE(separ(INDEX(Sheet!Y$2:Y$7967,$A22),"-",1)),"")</f>
        <v/>
      </c>
      <c r="BP22" s="35" t="str">
        <f ca="1">IFERROR(VALUE(separ(INDEX(Sheet!Z$2:Z$7967,$A22),"-",1)),"")</f>
        <v/>
      </c>
      <c r="BQ22" s="35" t="str">
        <f ca="1">IFERROR(VALUE(separ(INDEX(Sheet!AA$2:AA$7967,$A22),"-",1)),"")</f>
        <v/>
      </c>
      <c r="BR22" s="35" t="str">
        <f ca="1">IFERROR(VALUE(separ(INDEX(Sheet!AB$2:AB$7967,$A22),"-",1)),"")</f>
        <v/>
      </c>
      <c r="BS22" s="35" t="str">
        <f ca="1">IFERROR(VALUE(separ(INDEX(Sheet!AC$2:AC$7967,$A22),"-",1)),"")</f>
        <v/>
      </c>
      <c r="BT22" s="35" t="str">
        <f ca="1">IFERROR(VALUE(separ(INDEX(Sheet!AD$2:AD$7967,$A22),"-",1)),"")</f>
        <v/>
      </c>
      <c r="BU22" s="35" t="str">
        <f ca="1">IFERROR(VALUE(separ(INDEX(Sheet!AE$2:AE$7967,$A22),"-",1)),"")</f>
        <v/>
      </c>
      <c r="BV22" s="35"/>
      <c r="BW22" s="35" t="str">
        <f ca="1">IFERROR((separ(INDEX(Sheet!Q$2:Q$7967,$A22),"-",2)),"")</f>
        <v/>
      </c>
      <c r="BX22" s="35" t="str">
        <f ca="1">IFERROR((separ(INDEX(Sheet!R$2:R$7967,$A22),"-",2)),"")</f>
        <v/>
      </c>
      <c r="BY22" s="35" t="str">
        <f ca="1">IFERROR((separ(INDEX(Sheet!S$2:S$7967,$A22),"-",2)),"")</f>
        <v/>
      </c>
      <c r="BZ22" s="35" t="str">
        <f ca="1">IFERROR((separ(INDEX(Sheet!T$2:T$7967,$A22),"-",2)),"")</f>
        <v/>
      </c>
      <c r="CA22" s="35" t="str">
        <f ca="1">IFERROR((separ(INDEX(Sheet!U$2:U$7967,$A22),"-",2)),"")</f>
        <v/>
      </c>
      <c r="CB22" s="35" t="str">
        <f ca="1">IFERROR((separ(INDEX(Sheet!V$2:V$7967,$A22),"-",2)),"")</f>
        <v/>
      </c>
      <c r="CC22" s="35" t="str">
        <f ca="1">IFERROR((separ(INDEX(Sheet!W$2:W$7967,$A22),"-",2)),"")</f>
        <v/>
      </c>
      <c r="CD22" s="35" t="str">
        <f ca="1">IFERROR((separ(INDEX(Sheet!X$2:X$7967,$A22),"-",2)),"")</f>
        <v/>
      </c>
      <c r="CE22" s="35" t="str">
        <f ca="1">IFERROR((separ(INDEX(Sheet!Y$2:Y$7967,$A22),"-",2)),"")</f>
        <v/>
      </c>
      <c r="CF22" s="35" t="str">
        <f ca="1">IFERROR((separ(INDEX(Sheet!Z$2:Z$7967,$A22),"-",2)),"")</f>
        <v/>
      </c>
      <c r="CG22" s="35" t="str">
        <f ca="1">IFERROR((separ(INDEX(Sheet!AA$2:AA$7967,$A22),"-",2)),"")</f>
        <v/>
      </c>
      <c r="CH22" s="35" t="str">
        <f ca="1">IFERROR((separ(INDEX(Sheet!AB$2:AB$7967,$A22),"-",2)),"")</f>
        <v/>
      </c>
      <c r="CI22" s="35" t="str">
        <f ca="1">IFERROR((separ(INDEX(Sheet!AC$2:AC$7967,$A22),"-",2)),"")</f>
        <v/>
      </c>
      <c r="CJ22" s="35" t="str">
        <f ca="1">IFERROR((separ(INDEX(Sheet!AD$2:AD$7967,$A22),"-",2)),"")</f>
        <v/>
      </c>
      <c r="CK22" s="35" t="str">
        <f ca="1">IFERROR((separ(INDEX(Sheet!AE$2:AE$7967,$A22),"-",2)),"")</f>
        <v/>
      </c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</row>
    <row r="23" spans="1:104" s="29" customFormat="1">
      <c r="A23" s="45" t="str">
        <f ca="1">IFERROR(MATCH($B$3,OFFSET(Sheet!$D$2,A22,0):'Sheet'!$D$7657,0)+A22,"")</f>
        <v/>
      </c>
      <c r="B23" s="29" t="str">
        <f ca="1">IF(ROW(A16)&lt;=COUNT($A$6:$A$800),INDEX(Sheet!$A$2:$A$7967,$A23),IF(ROW(A16)=COUNT($A$6:$A$800)+1," ",IF(ROW(A16)=COUNT($A$6:$A$800)+2,"  ","")))</f>
        <v/>
      </c>
      <c r="C23" s="67" t="str">
        <f ca="1">IF($A23="","",INDEX(Sheet!E$2:E$7967,$A23))</f>
        <v/>
      </c>
      <c r="D23" s="31">
        <f ca="1">IF(B20=" ",$AR$1,IF(B23=" ",$AQ$1,IF(A23="","",INDEX(Sheet!G$2:G$7967,$A23))))</f>
        <v>0</v>
      </c>
      <c r="E23" s="32" t="str">
        <f ca="1">IF($A23="","",TEXT(INDEX(Sheet!J$2:J$7967,$A23),"#,#")&amp;" "&amp;INDEX(Sheet!AT$2:AT$7967,$A23))</f>
        <v/>
      </c>
      <c r="F23" s="53" t="str">
        <f ca="1">IF($A23="","",INDEX(Sheet!F$2:F$7967,$A23))</f>
        <v/>
      </c>
      <c r="G23" s="32" t="str">
        <f ca="1">IF($A23="","",INDEX(Sheet!I$2:I$7967,$A23))</f>
        <v/>
      </c>
      <c r="H23" s="32" t="str">
        <f ca="1">IF($A23="","",INDEX(Sheet!L$2:L$7967,$A23))</f>
        <v/>
      </c>
      <c r="I23" s="32" t="str">
        <f ca="1">IF($A23="","",INDEX(Sheet!N$2:N$7967,$A23))</f>
        <v/>
      </c>
      <c r="J23" s="53" t="str">
        <f ca="1">IF($A23="","",INDEX(Sheet!AS$2:AS$7967,$A23))</f>
        <v/>
      </c>
      <c r="K23" s="33" t="str">
        <f ca="1">IF($A23="","",IF(INDEX(Sheet!S$2:S$7967,$A23)="","",INDEX(Sheet!S$2:S$7967,$A23)))</f>
        <v/>
      </c>
      <c r="L23" s="33" t="str">
        <f ca="1">IF($A23="","",IF(INDEX(Sheet!R$2:R$7967,$A23)="","",INDEX(Sheet!R$2:R$7967,$A23)))</f>
        <v/>
      </c>
      <c r="M23" s="33" t="str">
        <f ca="1">IF($A23="","",IF(INDEX(Sheet!AO$2:AO$7967,$A23)="","",INDEX(Sheet!AO$2:AO$7967,$A23)))</f>
        <v/>
      </c>
      <c r="N23" s="33" t="str">
        <f ca="1">IF($A23="","",IF(INDEX(Sheet!T$2:T$7967,$A23)="","",INDEX(Sheet!T$2:T$7967,$A23)))</f>
        <v/>
      </c>
      <c r="O23" s="33" t="str">
        <f ca="1">IF($A23="","",IF(INDEX(Sheet!U$2:U$7967,$A23)="","",INDEX(Sheet!U$2:U$7967,$A23)))</f>
        <v/>
      </c>
      <c r="P23" s="33" t="str">
        <f ca="1">IF($A23="","",IF(INDEX(Sheet!W$2:W$7967,$A23)="","",INDEX(Sheet!W$2:W$7967,$A23)))</f>
        <v/>
      </c>
      <c r="Q23" s="33" t="str">
        <f ca="1">IF($A23="","",IF(INDEX(Sheet!V$2:V$7967,$A23)="","",INDEX(Sheet!V$2:V$7967,$A23)))</f>
        <v/>
      </c>
      <c r="R23" s="33" t="str">
        <f ca="1">IF($A23="","",IF(INDEX(Sheet!Z$2:Z$7967,$A23)="","",INDEX(Sheet!Z$2:Z$7967,$A23)))</f>
        <v/>
      </c>
      <c r="S23" s="33" t="str">
        <f ca="1">IF($A23="","",IF(INDEX(Sheet!Y$2:Y$7967,$A23)="","",INDEX(Sheet!Y$2:Y$7967,$A23)))</f>
        <v/>
      </c>
      <c r="T23" s="33" t="str">
        <f ca="1">IF($A23="","",IF(INDEX(Sheet!X$2:X$7967,$A23)="","",INDEX(Sheet!X$2:X$7967,$A23)))</f>
        <v/>
      </c>
      <c r="U23" s="33" t="str">
        <f ca="1">IF($A23="","",IF(INDEX(Sheet!AA$2:AA$7967,$A23)="","",INDEX(Sheet!AA$2:AA$7967,$A23)))</f>
        <v/>
      </c>
      <c r="V23" s="33" t="str">
        <f ca="1">IF($A23="","",IF(INDEX(Sheet!AB$2:AB$7967,$A23)="","",INDEX(Sheet!AB$2:AB$7967,$A23)))</f>
        <v/>
      </c>
      <c r="W23" s="33" t="str">
        <f ca="1">IF($A23="","",IF(INDEX(Sheet!AH$2:AH$7967,$A23)="","",INDEX(Sheet!AH$2:AH$7967,$A23)))</f>
        <v/>
      </c>
      <c r="X23" s="33" t="str">
        <f ca="1">IF($A23="","",IF(INDEX(Sheet!AC$2:AC$7967,$A23)="","",INDEX(Sheet!AC$2:AC$7967,$A23)))</f>
        <v/>
      </c>
      <c r="Y23" s="33" t="str">
        <f ca="1">IF($A23="","",IF(INDEX(Sheet!AD$2:AD$7967,$A23)="","",INDEX(Sheet!AD$2:AD$7967,$A23)))</f>
        <v/>
      </c>
      <c r="Z23" s="33" t="str">
        <f ca="1">IF($A23="","",IF(INDEX(Sheet!AL$2:AL$7967,$A23)="","",INDEX(Sheet!AL$2:AL$7967,$A23)))</f>
        <v/>
      </c>
      <c r="AA23" s="33" t="str">
        <f ca="1">IF($A23="","",IF(INDEX(Sheet!AE$2:AE$7967,$A23)="","",INDEX(Sheet!AE$2:AE$7967,$A23)))</f>
        <v/>
      </c>
      <c r="AB23" s="33" t="str">
        <f ca="1">IF($A23="","",IF(INDEX(Sheet!AF$2:AF$7967,$A23)="","",INDEX(Sheet!AF$2:AF$7967,$A23)))</f>
        <v/>
      </c>
      <c r="AC23" s="33" t="str">
        <f ca="1">IF($A23="","",IF(INDEX(Sheet!AG$2:AG$7967,$A23)="","",INDEX(Sheet!AG$2:AG$7967,$A23)))</f>
        <v/>
      </c>
      <c r="AD23" s="33" t="str">
        <f ca="1">IF($A23="","",IF(INDEX(Sheet!AM$2:AM$7967,$A23)="","",INDEX(Sheet!AM$2:AM$7967,$A23)))</f>
        <v/>
      </c>
      <c r="AE23" s="33" t="str">
        <f ca="1">IF($A23="","",IF(INDEX(Sheet!AJ$2:AJ$7967,$A23)="","",INDEX(Sheet!AJ$2:AJ$7967,$A23)))</f>
        <v/>
      </c>
      <c r="AF23" s="33" t="str">
        <f ca="1">IF($A23="","",IF(INDEX(Sheet!AI$2:AI$7967,$A23)="","",INDEX(Sheet!AI$2:AI$7967,$A23)))</f>
        <v/>
      </c>
      <c r="AG23" s="33" t="str">
        <f ca="1">IF(D23="duyệt sản xuất"," Bảo Bảo, Ngày "&amp;DAY($J$4)&amp;" Tháng "&amp;MONTH($J$4)&amp;" Năm "&amp;YEAR($J$4),IF(D23="Phê duyệt","NGƯỜI LẬP",IF(D23="Nguyễn Ngọc Thắng","NGUYỄN THỊ MAI",IF($A23="","",INDEX(Sheet!AK$2:AK$7967,$A23)))))</f>
        <v/>
      </c>
      <c r="AH23" s="58" t="str">
        <f ca="1">IF($A23="","",INDEX(Sheet!AR$2:AR$7967,$A23)&amp;" ; "&amp;INDEX(Sheet!M$2:M$7967,$A23))</f>
        <v/>
      </c>
      <c r="AI23" s="1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G23" s="35" t="str">
        <f ca="1">IFERROR(VALUE(separ(INDEX(Sheet!Q$2:Q$7967,$A23),"-",1)),"")</f>
        <v/>
      </c>
      <c r="BH23" s="35" t="str">
        <f ca="1">IFERROR(VALUE(separ(INDEX(Sheet!R$2:R$7967,$A23),"-",1)),"")</f>
        <v/>
      </c>
      <c r="BI23" s="35" t="str">
        <f ca="1">IFERROR(VALUE(separ(INDEX(Sheet!S$2:S$7967,$A23),"-",1)),"")</f>
        <v/>
      </c>
      <c r="BJ23" s="35" t="str">
        <f ca="1">IFERROR(VALUE(separ(INDEX(Sheet!T$2:T$7967,$A23),"-",1)),"")</f>
        <v/>
      </c>
      <c r="BK23" s="35" t="str">
        <f ca="1">IFERROR(VALUE(separ(INDEX(Sheet!U$2:U$7967,$A23),"-",1)),"")</f>
        <v/>
      </c>
      <c r="BL23" s="35" t="str">
        <f ca="1">IFERROR(VALUE(separ(INDEX(Sheet!V$2:V$7967,$A23),"-",1)),"")</f>
        <v/>
      </c>
      <c r="BM23" s="35" t="str">
        <f ca="1">IFERROR(VALUE(separ(INDEX(Sheet!W$2:W$7967,$A23),"-",1)),"")</f>
        <v/>
      </c>
      <c r="BN23" s="35" t="str">
        <f ca="1">IFERROR(VALUE(separ(INDEX(Sheet!X$2:X$7967,$A23),"-",1)),"")</f>
        <v/>
      </c>
      <c r="BO23" s="35" t="str">
        <f ca="1">IFERROR(VALUE(separ(INDEX(Sheet!Y$2:Y$7967,$A23),"-",1)),"")</f>
        <v/>
      </c>
      <c r="BP23" s="35" t="str">
        <f ca="1">IFERROR(VALUE(separ(INDEX(Sheet!Z$2:Z$7967,$A23),"-",1)),"")</f>
        <v/>
      </c>
      <c r="BQ23" s="35" t="str">
        <f ca="1">IFERROR(VALUE(separ(INDEX(Sheet!AA$2:AA$7967,$A23),"-",1)),"")</f>
        <v/>
      </c>
      <c r="BR23" s="35" t="str">
        <f ca="1">IFERROR(VALUE(separ(INDEX(Sheet!AB$2:AB$7967,$A23),"-",1)),"")</f>
        <v/>
      </c>
      <c r="BS23" s="35" t="str">
        <f ca="1">IFERROR(VALUE(separ(INDEX(Sheet!AC$2:AC$7967,$A23),"-",1)),"")</f>
        <v/>
      </c>
      <c r="BT23" s="35" t="str">
        <f ca="1">IFERROR(VALUE(separ(INDEX(Sheet!AD$2:AD$7967,$A23),"-",1)),"")</f>
        <v/>
      </c>
      <c r="BU23" s="35" t="str">
        <f ca="1">IFERROR(VALUE(separ(INDEX(Sheet!AE$2:AE$7967,$A23),"-",1)),"")</f>
        <v/>
      </c>
      <c r="BV23" s="35"/>
      <c r="BW23" s="35" t="str">
        <f ca="1">IFERROR((separ(INDEX(Sheet!Q$2:Q$7967,$A23),"-",2)),"")</f>
        <v/>
      </c>
      <c r="BX23" s="35" t="str">
        <f ca="1">IFERROR((separ(INDEX(Sheet!R$2:R$7967,$A23),"-",2)),"")</f>
        <v/>
      </c>
      <c r="BY23" s="35" t="str">
        <f ca="1">IFERROR((separ(INDEX(Sheet!S$2:S$7967,$A23),"-",2)),"")</f>
        <v/>
      </c>
      <c r="BZ23" s="35" t="str">
        <f ca="1">IFERROR((separ(INDEX(Sheet!T$2:T$7967,$A23),"-",2)),"")</f>
        <v/>
      </c>
      <c r="CA23" s="35" t="str">
        <f ca="1">IFERROR((separ(INDEX(Sheet!U$2:U$7967,$A23),"-",2)),"")</f>
        <v/>
      </c>
      <c r="CB23" s="35" t="str">
        <f ca="1">IFERROR((separ(INDEX(Sheet!V$2:V$7967,$A23),"-",2)),"")</f>
        <v/>
      </c>
      <c r="CC23" s="35" t="str">
        <f ca="1">IFERROR((separ(INDEX(Sheet!W$2:W$7967,$A23),"-",2)),"")</f>
        <v/>
      </c>
      <c r="CD23" s="35" t="str">
        <f ca="1">IFERROR((separ(INDEX(Sheet!X$2:X$7967,$A23),"-",2)),"")</f>
        <v/>
      </c>
      <c r="CE23" s="35" t="str">
        <f ca="1">IFERROR((separ(INDEX(Sheet!Y$2:Y$7967,$A23),"-",2)),"")</f>
        <v/>
      </c>
      <c r="CF23" s="35" t="str">
        <f ca="1">IFERROR((separ(INDEX(Sheet!Z$2:Z$7967,$A23),"-",2)),"")</f>
        <v/>
      </c>
      <c r="CG23" s="35" t="str">
        <f ca="1">IFERROR((separ(INDEX(Sheet!AA$2:AA$7967,$A23),"-",2)),"")</f>
        <v/>
      </c>
      <c r="CH23" s="35" t="str">
        <f ca="1">IFERROR((separ(INDEX(Sheet!AB$2:AB$7967,$A23),"-",2)),"")</f>
        <v/>
      </c>
      <c r="CI23" s="35" t="str">
        <f ca="1">IFERROR((separ(INDEX(Sheet!AC$2:AC$7967,$A23),"-",2)),"")</f>
        <v/>
      </c>
      <c r="CJ23" s="35" t="str">
        <f ca="1">IFERROR((separ(INDEX(Sheet!AD$2:AD$7967,$A23),"-",2)),"")</f>
        <v/>
      </c>
      <c r="CK23" s="35" t="str">
        <f ca="1">IFERROR((separ(INDEX(Sheet!AE$2:AE$7967,$A23),"-",2)),"")</f>
        <v/>
      </c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</row>
    <row r="24" spans="1:104" s="29" customFormat="1">
      <c r="A24" s="45" t="str">
        <f ca="1">IFERROR(MATCH($B$3,OFFSET(Sheet!$D$2,A23,0):'Sheet'!$D$7657,0)+A23,"")</f>
        <v/>
      </c>
      <c r="B24" s="29" t="str">
        <f ca="1">IF(ROW(A17)&lt;=COUNT($A$6:$A$800),INDEX(Sheet!$A$2:$A$7967,$A24),IF(ROW(A17)=COUNT($A$6:$A$800)+1," ",IF(ROW(A17)=COUNT($A$6:$A$800)+2,"  ","")))</f>
        <v/>
      </c>
      <c r="C24" s="67" t="str">
        <f ca="1">IF($A24="","",INDEX(Sheet!E$2:E$7967,$A24))</f>
        <v/>
      </c>
      <c r="D24" s="31" t="str">
        <f ca="1">IF(B21=" ",$AR$1,IF(B24=" ",$AQ$1,IF(A24="","",INDEX(Sheet!G$2:G$7967,$A24))))</f>
        <v/>
      </c>
      <c r="E24" s="32" t="str">
        <f ca="1">IF($A24="","",TEXT(INDEX(Sheet!J$2:J$7967,$A24),"#,#")&amp;" "&amp;INDEX(Sheet!AT$2:AT$7967,$A24))</f>
        <v/>
      </c>
      <c r="F24" s="53" t="str">
        <f ca="1">IF($A24="","",INDEX(Sheet!F$2:F$7967,$A24))</f>
        <v/>
      </c>
      <c r="G24" s="32" t="str">
        <f ca="1">IF($A24="","",INDEX(Sheet!I$2:I$7967,$A24))</f>
        <v/>
      </c>
      <c r="H24" s="32" t="str">
        <f ca="1">IF($A24="","",INDEX(Sheet!L$2:L$7967,$A24))</f>
        <v/>
      </c>
      <c r="I24" s="32" t="str">
        <f ca="1">IF($A24="","",INDEX(Sheet!N$2:N$7967,$A24))</f>
        <v/>
      </c>
      <c r="J24" s="53" t="str">
        <f ca="1">IF($A24="","",INDEX(Sheet!AS$2:AS$7967,$A24))</f>
        <v/>
      </c>
      <c r="K24" s="33" t="str">
        <f ca="1">IF($A24="","",IF(INDEX(Sheet!S$2:S$7967,$A24)="","",INDEX(Sheet!S$2:S$7967,$A24)))</f>
        <v/>
      </c>
      <c r="L24" s="33" t="str">
        <f ca="1">IF($A24="","",IF(INDEX(Sheet!R$2:R$7967,$A24)="","",INDEX(Sheet!R$2:R$7967,$A24)))</f>
        <v/>
      </c>
      <c r="M24" s="33" t="str">
        <f ca="1">IF($A24="","",IF(INDEX(Sheet!AO$2:AO$7967,$A24)="","",INDEX(Sheet!AO$2:AO$7967,$A24)))</f>
        <v/>
      </c>
      <c r="N24" s="33" t="str">
        <f ca="1">IF($A24="","",IF(INDEX(Sheet!T$2:T$7967,$A24)="","",INDEX(Sheet!T$2:T$7967,$A24)))</f>
        <v/>
      </c>
      <c r="O24" s="33" t="str">
        <f ca="1">IF($A24="","",IF(INDEX(Sheet!U$2:U$7967,$A24)="","",INDEX(Sheet!U$2:U$7967,$A24)))</f>
        <v/>
      </c>
      <c r="P24" s="33" t="str">
        <f ca="1">IF($A24="","",IF(INDEX(Sheet!W$2:W$7967,$A24)="","",INDEX(Sheet!W$2:W$7967,$A24)))</f>
        <v/>
      </c>
      <c r="Q24" s="33" t="str">
        <f ca="1">IF($A24="","",IF(INDEX(Sheet!V$2:V$7967,$A24)="","",INDEX(Sheet!V$2:V$7967,$A24)))</f>
        <v/>
      </c>
      <c r="R24" s="33" t="str">
        <f ca="1">IF($A24="","",IF(INDEX(Sheet!Z$2:Z$7967,$A24)="","",INDEX(Sheet!Z$2:Z$7967,$A24)))</f>
        <v/>
      </c>
      <c r="S24" s="33" t="str">
        <f ca="1">IF($A24="","",IF(INDEX(Sheet!Y$2:Y$7967,$A24)="","",INDEX(Sheet!Y$2:Y$7967,$A24)))</f>
        <v/>
      </c>
      <c r="T24" s="33" t="str">
        <f ca="1">IF($A24="","",IF(INDEX(Sheet!X$2:X$7967,$A24)="","",INDEX(Sheet!X$2:X$7967,$A24)))</f>
        <v/>
      </c>
      <c r="U24" s="33" t="str">
        <f ca="1">IF($A24="","",IF(INDEX(Sheet!AA$2:AA$7967,$A24)="","",INDEX(Sheet!AA$2:AA$7967,$A24)))</f>
        <v/>
      </c>
      <c r="V24" s="33" t="str">
        <f ca="1">IF($A24="","",IF(INDEX(Sheet!AB$2:AB$7967,$A24)="","",INDEX(Sheet!AB$2:AB$7967,$A24)))</f>
        <v/>
      </c>
      <c r="W24" s="33" t="str">
        <f ca="1">IF($A24="","",IF(INDEX(Sheet!AH$2:AH$7967,$A24)="","",INDEX(Sheet!AH$2:AH$7967,$A24)))</f>
        <v/>
      </c>
      <c r="X24" s="33" t="str">
        <f ca="1">IF($A24="","",IF(INDEX(Sheet!AC$2:AC$7967,$A24)="","",INDEX(Sheet!AC$2:AC$7967,$A24)))</f>
        <v/>
      </c>
      <c r="Y24" s="33" t="str">
        <f ca="1">IF($A24="","",IF(INDEX(Sheet!AD$2:AD$7967,$A24)="","",INDEX(Sheet!AD$2:AD$7967,$A24)))</f>
        <v/>
      </c>
      <c r="Z24" s="33" t="str">
        <f ca="1">IF($A24="","",IF(INDEX(Sheet!AL$2:AL$7967,$A24)="","",INDEX(Sheet!AL$2:AL$7967,$A24)))</f>
        <v/>
      </c>
      <c r="AA24" s="33" t="str">
        <f ca="1">IF($A24="","",IF(INDEX(Sheet!AE$2:AE$7967,$A24)="","",INDEX(Sheet!AE$2:AE$7967,$A24)))</f>
        <v/>
      </c>
      <c r="AB24" s="33" t="str">
        <f ca="1">IF($A24="","",IF(INDEX(Sheet!AF$2:AF$7967,$A24)="","",INDEX(Sheet!AF$2:AF$7967,$A24)))</f>
        <v/>
      </c>
      <c r="AC24" s="33" t="str">
        <f ca="1">IF($A24="","",IF(INDEX(Sheet!AG$2:AG$7967,$A24)="","",INDEX(Sheet!AG$2:AG$7967,$A24)))</f>
        <v/>
      </c>
      <c r="AD24" s="33" t="str">
        <f ca="1">IF($A24="","",IF(INDEX(Sheet!AM$2:AM$7967,$A24)="","",INDEX(Sheet!AM$2:AM$7967,$A24)))</f>
        <v/>
      </c>
      <c r="AE24" s="33" t="str">
        <f ca="1">IF($A24="","",IF(INDEX(Sheet!AJ$2:AJ$7967,$A24)="","",INDEX(Sheet!AJ$2:AJ$7967,$A24)))</f>
        <v/>
      </c>
      <c r="AF24" s="33" t="str">
        <f ca="1">IF($A24="","",IF(INDEX(Sheet!AI$2:AI$7967,$A24)="","",INDEX(Sheet!AI$2:AI$7967,$A24)))</f>
        <v/>
      </c>
      <c r="AG24" s="33" t="str">
        <f ca="1">IF(D24="duyệt sản xuất"," Bảo Bảo, Ngày "&amp;DAY($J$4)&amp;" Tháng "&amp;MONTH($J$4)&amp;" Năm "&amp;YEAR($J$4),IF(D24="Phê duyệt","NGƯỜI LẬP",IF(D24="Nguyễn Ngọc Thắng","NGUYỄN THỊ MAI",IF($A24="","",INDEX(Sheet!AK$2:AK$7967,$A24)))))</f>
        <v/>
      </c>
      <c r="AH24" s="58" t="str">
        <f ca="1">IF($A24="","",INDEX(Sheet!AR$2:AR$7967,$A24)&amp;" ; "&amp;INDEX(Sheet!M$2:M$7967,$A24))</f>
        <v/>
      </c>
      <c r="AI24" s="1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G24" s="35" t="str">
        <f ca="1">IFERROR(VALUE(separ(INDEX(Sheet!Q$2:Q$7967,$A24),"-",1)),"")</f>
        <v/>
      </c>
      <c r="BH24" s="35" t="str">
        <f ca="1">IFERROR(VALUE(separ(INDEX(Sheet!R$2:R$7967,$A24),"-",1)),"")</f>
        <v/>
      </c>
      <c r="BI24" s="35" t="str">
        <f ca="1">IFERROR(VALUE(separ(INDEX(Sheet!S$2:S$7967,$A24),"-",1)),"")</f>
        <v/>
      </c>
      <c r="BJ24" s="35" t="str">
        <f ca="1">IFERROR(VALUE(separ(INDEX(Sheet!T$2:T$7967,$A24),"-",1)),"")</f>
        <v/>
      </c>
      <c r="BK24" s="35" t="str">
        <f ca="1">IFERROR(VALUE(separ(INDEX(Sheet!U$2:U$7967,$A24),"-",1)),"")</f>
        <v/>
      </c>
      <c r="BL24" s="35" t="str">
        <f ca="1">IFERROR(VALUE(separ(INDEX(Sheet!V$2:V$7967,$A24),"-",1)),"")</f>
        <v/>
      </c>
      <c r="BM24" s="35" t="str">
        <f ca="1">IFERROR(VALUE(separ(INDEX(Sheet!W$2:W$7967,$A24),"-",1)),"")</f>
        <v/>
      </c>
      <c r="BN24" s="35" t="str">
        <f ca="1">IFERROR(VALUE(separ(INDEX(Sheet!X$2:X$7967,$A24),"-",1)),"")</f>
        <v/>
      </c>
      <c r="BO24" s="35" t="str">
        <f ca="1">IFERROR(VALUE(separ(INDEX(Sheet!Y$2:Y$7967,$A24),"-",1)),"")</f>
        <v/>
      </c>
      <c r="BP24" s="35" t="str">
        <f ca="1">IFERROR(VALUE(separ(INDEX(Sheet!Z$2:Z$7967,$A24),"-",1)),"")</f>
        <v/>
      </c>
      <c r="BQ24" s="35" t="str">
        <f ca="1">IFERROR(VALUE(separ(INDEX(Sheet!AA$2:AA$7967,$A24),"-",1)),"")</f>
        <v/>
      </c>
      <c r="BR24" s="35" t="str">
        <f ca="1">IFERROR(VALUE(separ(INDEX(Sheet!AB$2:AB$7967,$A24),"-",1)),"")</f>
        <v/>
      </c>
      <c r="BS24" s="35" t="str">
        <f ca="1">IFERROR(VALUE(separ(INDEX(Sheet!AC$2:AC$7967,$A24),"-",1)),"")</f>
        <v/>
      </c>
      <c r="BT24" s="35" t="str">
        <f ca="1">IFERROR(VALUE(separ(INDEX(Sheet!AD$2:AD$7967,$A24),"-",1)),"")</f>
        <v/>
      </c>
      <c r="BU24" s="35" t="str">
        <f ca="1">IFERROR(VALUE(separ(INDEX(Sheet!AE$2:AE$7967,$A24),"-",1)),"")</f>
        <v/>
      </c>
      <c r="BV24" s="35"/>
      <c r="BW24" s="35" t="str">
        <f ca="1">IFERROR((separ(INDEX(Sheet!Q$2:Q$7967,$A24),"-",2)),"")</f>
        <v/>
      </c>
      <c r="BX24" s="35" t="str">
        <f ca="1">IFERROR((separ(INDEX(Sheet!R$2:R$7967,$A24),"-",2)),"")</f>
        <v/>
      </c>
      <c r="BY24" s="35" t="str">
        <f ca="1">IFERROR((separ(INDEX(Sheet!S$2:S$7967,$A24),"-",2)),"")</f>
        <v/>
      </c>
      <c r="BZ24" s="35" t="str">
        <f ca="1">IFERROR((separ(INDEX(Sheet!T$2:T$7967,$A24),"-",2)),"")</f>
        <v/>
      </c>
      <c r="CA24" s="35" t="str">
        <f ca="1">IFERROR((separ(INDEX(Sheet!U$2:U$7967,$A24),"-",2)),"")</f>
        <v/>
      </c>
      <c r="CB24" s="35" t="str">
        <f ca="1">IFERROR((separ(INDEX(Sheet!V$2:V$7967,$A24),"-",2)),"")</f>
        <v/>
      </c>
      <c r="CC24" s="35" t="str">
        <f ca="1">IFERROR((separ(INDEX(Sheet!W$2:W$7967,$A24),"-",2)),"")</f>
        <v/>
      </c>
      <c r="CD24" s="35" t="str">
        <f ca="1">IFERROR((separ(INDEX(Sheet!X$2:X$7967,$A24),"-",2)),"")</f>
        <v/>
      </c>
      <c r="CE24" s="35" t="str">
        <f ca="1">IFERROR((separ(INDEX(Sheet!Y$2:Y$7967,$A24),"-",2)),"")</f>
        <v/>
      </c>
      <c r="CF24" s="35" t="str">
        <f ca="1">IFERROR((separ(INDEX(Sheet!Z$2:Z$7967,$A24),"-",2)),"")</f>
        <v/>
      </c>
      <c r="CG24" s="35" t="str">
        <f ca="1">IFERROR((separ(INDEX(Sheet!AA$2:AA$7967,$A24),"-",2)),"")</f>
        <v/>
      </c>
      <c r="CH24" s="35" t="str">
        <f ca="1">IFERROR((separ(INDEX(Sheet!AB$2:AB$7967,$A24),"-",2)),"")</f>
        <v/>
      </c>
      <c r="CI24" s="35" t="str">
        <f ca="1">IFERROR((separ(INDEX(Sheet!AC$2:AC$7967,$A24),"-",2)),"")</f>
        <v/>
      </c>
      <c r="CJ24" s="35" t="str">
        <f ca="1">IFERROR((separ(INDEX(Sheet!AD$2:AD$7967,$A24),"-",2)),"")</f>
        <v/>
      </c>
      <c r="CK24" s="35" t="str">
        <f ca="1">IFERROR((separ(INDEX(Sheet!AE$2:AE$7967,$A24),"-",2)),"")</f>
        <v/>
      </c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</row>
    <row r="25" spans="1:104" s="29" customFormat="1">
      <c r="A25" s="45" t="str">
        <f ca="1">IFERROR(MATCH($B$3,OFFSET(Sheet!$D$2,A24,0):'Sheet'!$D$7657,0)+A24,"")</f>
        <v/>
      </c>
      <c r="B25" s="29" t="str">
        <f ca="1">IF(ROW(A18)&lt;=COUNT($A$6:$A$800),INDEX(Sheet!$A$2:$A$7967,$A25),IF(ROW(A18)=COUNT($A$6:$A$800)+1," ",IF(ROW(A18)=COUNT($A$6:$A$800)+2,"  ","")))</f>
        <v/>
      </c>
      <c r="C25" s="67" t="str">
        <f ca="1">IF($A25="","",INDEX(Sheet!E$2:E$7967,$A25))</f>
        <v/>
      </c>
      <c r="D25" s="31" t="str">
        <f ca="1">IF(B22=" ",$AR$1,IF(B25=" ",$AQ$1,IF(A25="","",INDEX(Sheet!G$2:G$7967,$A25))))</f>
        <v/>
      </c>
      <c r="E25" s="32" t="str">
        <f ca="1">IF($A25="","",TEXT(INDEX(Sheet!J$2:J$7967,$A25),"#,#")&amp;" "&amp;INDEX(Sheet!AT$2:AT$7967,$A25))</f>
        <v/>
      </c>
      <c r="F25" s="53" t="str">
        <f ca="1">IF($A25="","",INDEX(Sheet!F$2:F$7967,$A25))</f>
        <v/>
      </c>
      <c r="G25" s="32" t="str">
        <f ca="1">IF($A25="","",INDEX(Sheet!I$2:I$7967,$A25))</f>
        <v/>
      </c>
      <c r="H25" s="32" t="str">
        <f ca="1">IF($A25="","",INDEX(Sheet!L$2:L$7967,$A25))</f>
        <v/>
      </c>
      <c r="I25" s="32" t="str">
        <f ca="1">IF($A25="","",INDEX(Sheet!N$2:N$7967,$A25))</f>
        <v/>
      </c>
      <c r="J25" s="53" t="str">
        <f ca="1">IF($A25="","",INDEX(Sheet!AS$2:AS$7967,$A25))</f>
        <v/>
      </c>
      <c r="K25" s="33" t="str">
        <f ca="1">IF($A25="","",IF(INDEX(Sheet!S$2:S$7967,$A25)="","",INDEX(Sheet!S$2:S$7967,$A25)))</f>
        <v/>
      </c>
      <c r="L25" s="33" t="str">
        <f ca="1">IF($A25="","",IF(INDEX(Sheet!R$2:R$7967,$A25)="","",INDEX(Sheet!R$2:R$7967,$A25)))</f>
        <v/>
      </c>
      <c r="M25" s="33" t="str">
        <f ca="1">IF($A25="","",IF(INDEX(Sheet!AO$2:AO$7967,$A25)="","",INDEX(Sheet!AO$2:AO$7967,$A25)))</f>
        <v/>
      </c>
      <c r="N25" s="33" t="str">
        <f ca="1">IF($A25="","",IF(INDEX(Sheet!T$2:T$7967,$A25)="","",INDEX(Sheet!T$2:T$7967,$A25)))</f>
        <v/>
      </c>
      <c r="O25" s="33" t="str">
        <f ca="1">IF($A25="","",IF(INDEX(Sheet!U$2:U$7967,$A25)="","",INDEX(Sheet!U$2:U$7967,$A25)))</f>
        <v/>
      </c>
      <c r="P25" s="33" t="str">
        <f ca="1">IF($A25="","",IF(INDEX(Sheet!W$2:W$7967,$A25)="","",INDEX(Sheet!W$2:W$7967,$A25)))</f>
        <v/>
      </c>
      <c r="Q25" s="33" t="str">
        <f ca="1">IF($A25="","",IF(INDEX(Sheet!V$2:V$7967,$A25)="","",INDEX(Sheet!V$2:V$7967,$A25)))</f>
        <v/>
      </c>
      <c r="R25" s="33" t="str">
        <f ca="1">IF($A25="","",IF(INDEX(Sheet!Z$2:Z$7967,$A25)="","",INDEX(Sheet!Z$2:Z$7967,$A25)))</f>
        <v/>
      </c>
      <c r="S25" s="33" t="str">
        <f ca="1">IF($A25="","",IF(INDEX(Sheet!Y$2:Y$7967,$A25)="","",INDEX(Sheet!Y$2:Y$7967,$A25)))</f>
        <v/>
      </c>
      <c r="T25" s="33" t="str">
        <f ca="1">IF($A25="","",IF(INDEX(Sheet!X$2:X$7967,$A25)="","",INDEX(Sheet!X$2:X$7967,$A25)))</f>
        <v/>
      </c>
      <c r="U25" s="33" t="str">
        <f ca="1">IF($A25="","",IF(INDEX(Sheet!AA$2:AA$7967,$A25)="","",INDEX(Sheet!AA$2:AA$7967,$A25)))</f>
        <v/>
      </c>
      <c r="V25" s="33" t="str">
        <f ca="1">IF($A25="","",IF(INDEX(Sheet!AB$2:AB$7967,$A25)="","",INDEX(Sheet!AB$2:AB$7967,$A25)))</f>
        <v/>
      </c>
      <c r="W25" s="33" t="str">
        <f ca="1">IF($A25="","",IF(INDEX(Sheet!AH$2:AH$7967,$A25)="","",INDEX(Sheet!AH$2:AH$7967,$A25)))</f>
        <v/>
      </c>
      <c r="X25" s="33" t="str">
        <f ca="1">IF($A25="","",IF(INDEX(Sheet!AC$2:AC$7967,$A25)="","",INDEX(Sheet!AC$2:AC$7967,$A25)))</f>
        <v/>
      </c>
      <c r="Y25" s="33" t="str">
        <f ca="1">IF($A25="","",IF(INDEX(Sheet!AD$2:AD$7967,$A25)="","",INDEX(Sheet!AD$2:AD$7967,$A25)))</f>
        <v/>
      </c>
      <c r="Z25" s="33" t="str">
        <f ca="1">IF($A25="","",IF(INDEX(Sheet!AL$2:AL$7967,$A25)="","",INDEX(Sheet!AL$2:AL$7967,$A25)))</f>
        <v/>
      </c>
      <c r="AA25" s="33" t="str">
        <f ca="1">IF($A25="","",IF(INDEX(Sheet!AE$2:AE$7967,$A25)="","",INDEX(Sheet!AE$2:AE$7967,$A25)))</f>
        <v/>
      </c>
      <c r="AB25" s="33" t="str">
        <f ca="1">IF($A25="","",IF(INDEX(Sheet!AF$2:AF$7967,$A25)="","",INDEX(Sheet!AF$2:AF$7967,$A25)))</f>
        <v/>
      </c>
      <c r="AC25" s="33" t="str">
        <f ca="1">IF($A25="","",IF(INDEX(Sheet!AG$2:AG$7967,$A25)="","",INDEX(Sheet!AG$2:AG$7967,$A25)))</f>
        <v/>
      </c>
      <c r="AD25" s="33" t="str">
        <f ca="1">IF($A25="","",IF(INDEX(Sheet!AM$2:AM$7967,$A25)="","",INDEX(Sheet!AM$2:AM$7967,$A25)))</f>
        <v/>
      </c>
      <c r="AE25" s="33" t="str">
        <f ca="1">IF($A25="","",IF(INDEX(Sheet!AJ$2:AJ$7967,$A25)="","",INDEX(Sheet!AJ$2:AJ$7967,$A25)))</f>
        <v/>
      </c>
      <c r="AF25" s="33" t="str">
        <f ca="1">IF($A25="","",IF(INDEX(Sheet!AI$2:AI$7967,$A25)="","",INDEX(Sheet!AI$2:AI$7967,$A25)))</f>
        <v/>
      </c>
      <c r="AG25" s="33" t="str">
        <f ca="1">IF(D25="duyệt sản xuất"," Bảo Bảo, Ngày "&amp;DAY($J$4)&amp;" Tháng "&amp;MONTH($J$4)&amp;" Năm "&amp;YEAR($J$4),IF(D25="Phê duyệt","NGƯỜI LẬP",IF(D25="Nguyễn Ngọc Thắng","NGUYỄN THỊ MAI",IF($A25="","",INDEX(Sheet!AK$2:AK$7967,$A25)))))</f>
        <v/>
      </c>
      <c r="AH25" s="58" t="str">
        <f ca="1">IF($A25="","",INDEX(Sheet!AR$2:AR$7967,$A25)&amp;" ; "&amp;INDEX(Sheet!M$2:M$7967,$A25))</f>
        <v/>
      </c>
      <c r="AI25" s="1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G25" s="35" t="str">
        <f ca="1">IFERROR(VALUE(separ(INDEX(Sheet!Q$2:Q$7967,$A25),"-",1)),"")</f>
        <v/>
      </c>
      <c r="BH25" s="35" t="str">
        <f ca="1">IFERROR(VALUE(separ(INDEX(Sheet!R$2:R$7967,$A25),"-",1)),"")</f>
        <v/>
      </c>
      <c r="BI25" s="35" t="str">
        <f ca="1">IFERROR(VALUE(separ(INDEX(Sheet!S$2:S$7967,$A25),"-",1)),"")</f>
        <v/>
      </c>
      <c r="BJ25" s="35" t="str">
        <f ca="1">IFERROR(VALUE(separ(INDEX(Sheet!T$2:T$7967,$A25),"-",1)),"")</f>
        <v/>
      </c>
      <c r="BK25" s="35" t="str">
        <f ca="1">IFERROR(VALUE(separ(INDEX(Sheet!U$2:U$7967,$A25),"-",1)),"")</f>
        <v/>
      </c>
      <c r="BL25" s="35" t="str">
        <f ca="1">IFERROR(VALUE(separ(INDEX(Sheet!V$2:V$7967,$A25),"-",1)),"")</f>
        <v/>
      </c>
      <c r="BM25" s="35" t="str">
        <f ca="1">IFERROR(VALUE(separ(INDEX(Sheet!W$2:W$7967,$A25),"-",1)),"")</f>
        <v/>
      </c>
      <c r="BN25" s="35" t="str">
        <f ca="1">IFERROR(VALUE(separ(INDEX(Sheet!X$2:X$7967,$A25),"-",1)),"")</f>
        <v/>
      </c>
      <c r="BO25" s="35" t="str">
        <f ca="1">IFERROR(VALUE(separ(INDEX(Sheet!Y$2:Y$7967,$A25),"-",1)),"")</f>
        <v/>
      </c>
      <c r="BP25" s="35" t="str">
        <f ca="1">IFERROR(VALUE(separ(INDEX(Sheet!Z$2:Z$7967,$A25),"-",1)),"")</f>
        <v/>
      </c>
      <c r="BQ25" s="35" t="str">
        <f ca="1">IFERROR(VALUE(separ(INDEX(Sheet!AA$2:AA$7967,$A25),"-",1)),"")</f>
        <v/>
      </c>
      <c r="BR25" s="35" t="str">
        <f ca="1">IFERROR(VALUE(separ(INDEX(Sheet!AB$2:AB$7967,$A25),"-",1)),"")</f>
        <v/>
      </c>
      <c r="BS25" s="35" t="str">
        <f ca="1">IFERROR(VALUE(separ(INDEX(Sheet!AC$2:AC$7967,$A25),"-",1)),"")</f>
        <v/>
      </c>
      <c r="BT25" s="35" t="str">
        <f ca="1">IFERROR(VALUE(separ(INDEX(Sheet!AD$2:AD$7967,$A25),"-",1)),"")</f>
        <v/>
      </c>
      <c r="BU25" s="35" t="str">
        <f ca="1">IFERROR(VALUE(separ(INDEX(Sheet!AE$2:AE$7967,$A25),"-",1)),"")</f>
        <v/>
      </c>
      <c r="BV25" s="35"/>
      <c r="BW25" s="35" t="str">
        <f ca="1">IFERROR((separ(INDEX(Sheet!Q$2:Q$7967,$A25),"-",2)),"")</f>
        <v/>
      </c>
      <c r="BX25" s="35" t="str">
        <f ca="1">IFERROR((separ(INDEX(Sheet!R$2:R$7967,$A25),"-",2)),"")</f>
        <v/>
      </c>
      <c r="BY25" s="35" t="str">
        <f ca="1">IFERROR((separ(INDEX(Sheet!S$2:S$7967,$A25),"-",2)),"")</f>
        <v/>
      </c>
      <c r="BZ25" s="35" t="str">
        <f ca="1">IFERROR((separ(INDEX(Sheet!T$2:T$7967,$A25),"-",2)),"")</f>
        <v/>
      </c>
      <c r="CA25" s="35" t="str">
        <f ca="1">IFERROR((separ(INDEX(Sheet!U$2:U$7967,$A25),"-",2)),"")</f>
        <v/>
      </c>
      <c r="CB25" s="35" t="str">
        <f ca="1">IFERROR((separ(INDEX(Sheet!V$2:V$7967,$A25),"-",2)),"")</f>
        <v/>
      </c>
      <c r="CC25" s="35" t="str">
        <f ca="1">IFERROR((separ(INDEX(Sheet!W$2:W$7967,$A25),"-",2)),"")</f>
        <v/>
      </c>
      <c r="CD25" s="35" t="str">
        <f ca="1">IFERROR((separ(INDEX(Sheet!X$2:X$7967,$A25),"-",2)),"")</f>
        <v/>
      </c>
      <c r="CE25" s="35" t="str">
        <f ca="1">IFERROR((separ(INDEX(Sheet!Y$2:Y$7967,$A25),"-",2)),"")</f>
        <v/>
      </c>
      <c r="CF25" s="35" t="str">
        <f ca="1">IFERROR((separ(INDEX(Sheet!Z$2:Z$7967,$A25),"-",2)),"")</f>
        <v/>
      </c>
      <c r="CG25" s="35" t="str">
        <f ca="1">IFERROR((separ(INDEX(Sheet!AA$2:AA$7967,$A25),"-",2)),"")</f>
        <v/>
      </c>
      <c r="CH25" s="35" t="str">
        <f ca="1">IFERROR((separ(INDEX(Sheet!AB$2:AB$7967,$A25),"-",2)),"")</f>
        <v/>
      </c>
      <c r="CI25" s="35" t="str">
        <f ca="1">IFERROR((separ(INDEX(Sheet!AC$2:AC$7967,$A25),"-",2)),"")</f>
        <v/>
      </c>
      <c r="CJ25" s="35" t="str">
        <f ca="1">IFERROR((separ(INDEX(Sheet!AD$2:AD$7967,$A25),"-",2)),"")</f>
        <v/>
      </c>
      <c r="CK25" s="35" t="str">
        <f ca="1">IFERROR((separ(INDEX(Sheet!AE$2:AE$7967,$A25),"-",2)),"")</f>
        <v/>
      </c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</row>
    <row r="26" spans="1:104" s="29" customFormat="1">
      <c r="A26" s="45" t="str">
        <f ca="1">IFERROR(MATCH($B$3,OFFSET(Sheet!$D$2,A25,0):'Sheet'!$D$7657,0)+A25,"")</f>
        <v/>
      </c>
      <c r="B26" s="29" t="str">
        <f ca="1">IF(ROW(A19)&lt;=COUNT($A$6:$A$800),INDEX(Sheet!$A$2:$A$7967,$A26),IF(ROW(A19)=COUNT($A$6:$A$800)+1," ",IF(ROW(A19)=COUNT($A$6:$A$800)+2,"  ","")))</f>
        <v/>
      </c>
      <c r="C26" s="67" t="str">
        <f ca="1">IF($A26="","",INDEX(Sheet!E$2:E$7967,$A26))</f>
        <v/>
      </c>
      <c r="D26" s="31" t="str">
        <f ca="1">IF(B23=" ",$AR$1,IF(B26=" ",$AQ$1,IF(A26="","",INDEX(Sheet!G$2:G$7967,$A26))))</f>
        <v/>
      </c>
      <c r="E26" s="32" t="str">
        <f ca="1">IF($A26="","",TEXT(INDEX(Sheet!J$2:J$7967,$A26),"#,#")&amp;" "&amp;INDEX(Sheet!AT$2:AT$7967,$A26))</f>
        <v/>
      </c>
      <c r="F26" s="53" t="str">
        <f ca="1">IF($A26="","",INDEX(Sheet!F$2:F$7967,$A26))</f>
        <v/>
      </c>
      <c r="G26" s="32" t="str">
        <f ca="1">IF($A26="","",INDEX(Sheet!I$2:I$7967,$A26))</f>
        <v/>
      </c>
      <c r="H26" s="32" t="str">
        <f ca="1">IF($A26="","",INDEX(Sheet!L$2:L$7967,$A26))</f>
        <v/>
      </c>
      <c r="I26" s="32" t="str">
        <f ca="1">IF($A26="","",INDEX(Sheet!N$2:N$7967,$A26))</f>
        <v/>
      </c>
      <c r="J26" s="53" t="str">
        <f ca="1">IF($A26="","",INDEX(Sheet!AS$2:AS$7967,$A26))</f>
        <v/>
      </c>
      <c r="K26" s="33" t="str">
        <f ca="1">IF($A26="","",IF(INDEX(Sheet!S$2:S$7967,$A26)="","",INDEX(Sheet!S$2:S$7967,$A26)))</f>
        <v/>
      </c>
      <c r="L26" s="33" t="str">
        <f ca="1">IF($A26="","",IF(INDEX(Sheet!R$2:R$7967,$A26)="","",INDEX(Sheet!R$2:R$7967,$A26)))</f>
        <v/>
      </c>
      <c r="M26" s="33" t="str">
        <f ca="1">IF($A26="","",IF(INDEX(Sheet!AO$2:AO$7967,$A26)="","",INDEX(Sheet!AO$2:AO$7967,$A26)))</f>
        <v/>
      </c>
      <c r="N26" s="33" t="str">
        <f ca="1">IF($A26="","",IF(INDEX(Sheet!T$2:T$7967,$A26)="","",INDEX(Sheet!T$2:T$7967,$A26)))</f>
        <v/>
      </c>
      <c r="O26" s="33" t="str">
        <f ca="1">IF($A26="","",IF(INDEX(Sheet!U$2:U$7967,$A26)="","",INDEX(Sheet!U$2:U$7967,$A26)))</f>
        <v/>
      </c>
      <c r="P26" s="33" t="str">
        <f ca="1">IF($A26="","",IF(INDEX(Sheet!W$2:W$7967,$A26)="","",INDEX(Sheet!W$2:W$7967,$A26)))</f>
        <v/>
      </c>
      <c r="Q26" s="33" t="str">
        <f ca="1">IF($A26="","",IF(INDEX(Sheet!V$2:V$7967,$A26)="","",INDEX(Sheet!V$2:V$7967,$A26)))</f>
        <v/>
      </c>
      <c r="R26" s="33" t="str">
        <f ca="1">IF($A26="","",IF(INDEX(Sheet!Z$2:Z$7967,$A26)="","",INDEX(Sheet!Z$2:Z$7967,$A26)))</f>
        <v/>
      </c>
      <c r="S26" s="33" t="str">
        <f ca="1">IF($A26="","",IF(INDEX(Sheet!Y$2:Y$7967,$A26)="","",INDEX(Sheet!Y$2:Y$7967,$A26)))</f>
        <v/>
      </c>
      <c r="T26" s="33" t="str">
        <f ca="1">IF($A26="","",IF(INDEX(Sheet!X$2:X$7967,$A26)="","",INDEX(Sheet!X$2:X$7967,$A26)))</f>
        <v/>
      </c>
      <c r="U26" s="33" t="str">
        <f ca="1">IF($A26="","",IF(INDEX(Sheet!AA$2:AA$7967,$A26)="","",INDEX(Sheet!AA$2:AA$7967,$A26)))</f>
        <v/>
      </c>
      <c r="V26" s="33" t="str">
        <f ca="1">IF($A26="","",IF(INDEX(Sheet!AB$2:AB$7967,$A26)="","",INDEX(Sheet!AB$2:AB$7967,$A26)))</f>
        <v/>
      </c>
      <c r="W26" s="33" t="str">
        <f ca="1">IF($A26="","",IF(INDEX(Sheet!AH$2:AH$7967,$A26)="","",INDEX(Sheet!AH$2:AH$7967,$A26)))</f>
        <v/>
      </c>
      <c r="X26" s="33" t="str">
        <f ca="1">IF($A26="","",IF(INDEX(Sheet!AC$2:AC$7967,$A26)="","",INDEX(Sheet!AC$2:AC$7967,$A26)))</f>
        <v/>
      </c>
      <c r="Y26" s="33" t="str">
        <f ca="1">IF($A26="","",IF(INDEX(Sheet!AD$2:AD$7967,$A26)="","",INDEX(Sheet!AD$2:AD$7967,$A26)))</f>
        <v/>
      </c>
      <c r="Z26" s="33" t="str">
        <f ca="1">IF($A26="","",IF(INDEX(Sheet!AL$2:AL$7967,$A26)="","",INDEX(Sheet!AL$2:AL$7967,$A26)))</f>
        <v/>
      </c>
      <c r="AA26" s="33" t="str">
        <f ca="1">IF($A26="","",IF(INDEX(Sheet!AE$2:AE$7967,$A26)="","",INDEX(Sheet!AE$2:AE$7967,$A26)))</f>
        <v/>
      </c>
      <c r="AB26" s="33" t="str">
        <f ca="1">IF($A26="","",IF(INDEX(Sheet!AF$2:AF$7967,$A26)="","",INDEX(Sheet!AF$2:AF$7967,$A26)))</f>
        <v/>
      </c>
      <c r="AC26" s="33" t="str">
        <f ca="1">IF($A26="","",IF(INDEX(Sheet!AG$2:AG$7967,$A26)="","",INDEX(Sheet!AG$2:AG$7967,$A26)))</f>
        <v/>
      </c>
      <c r="AD26" s="33" t="str">
        <f ca="1">IF($A26="","",IF(INDEX(Sheet!AM$2:AM$7967,$A26)="","",INDEX(Sheet!AM$2:AM$7967,$A26)))</f>
        <v/>
      </c>
      <c r="AE26" s="33" t="str">
        <f ca="1">IF($A26="","",IF(INDEX(Sheet!AJ$2:AJ$7967,$A26)="","",INDEX(Sheet!AJ$2:AJ$7967,$A26)))</f>
        <v/>
      </c>
      <c r="AF26" s="33" t="str">
        <f ca="1">IF($A26="","",IF(INDEX(Sheet!AI$2:AI$7967,$A26)="","",INDEX(Sheet!AI$2:AI$7967,$A26)))</f>
        <v/>
      </c>
      <c r="AG26" s="33" t="str">
        <f ca="1">IF(D26="duyệt sản xuất"," Bảo Bảo, Ngày "&amp;DAY($J$4)&amp;" Tháng "&amp;MONTH($J$4)&amp;" Năm "&amp;YEAR($J$4),IF(D26="Phê duyệt","NGƯỜI LẬP",IF(D26="Nguyễn Ngọc Thắng","NGUYỄN THỊ MAI",IF($A26="","",INDEX(Sheet!AK$2:AK$7967,$A26)))))</f>
        <v/>
      </c>
      <c r="AH26" s="58" t="str">
        <f ca="1">IF($A26="","",INDEX(Sheet!AR$2:AR$7967,$A26)&amp;" ; "&amp;INDEX(Sheet!M$2:M$7967,$A26))</f>
        <v/>
      </c>
      <c r="AI26" s="1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G26" s="35" t="str">
        <f ca="1">IFERROR(VALUE(separ(INDEX(Sheet!Q$2:Q$7967,$A26),"-",1)),"")</f>
        <v/>
      </c>
      <c r="BH26" s="35" t="str">
        <f ca="1">IFERROR(VALUE(separ(INDEX(Sheet!R$2:R$7967,$A26),"-",1)),"")</f>
        <v/>
      </c>
      <c r="BI26" s="35" t="str">
        <f ca="1">IFERROR(VALUE(separ(INDEX(Sheet!S$2:S$7967,$A26),"-",1)),"")</f>
        <v/>
      </c>
      <c r="BJ26" s="35" t="str">
        <f ca="1">IFERROR(VALUE(separ(INDEX(Sheet!T$2:T$7967,$A26),"-",1)),"")</f>
        <v/>
      </c>
      <c r="BK26" s="35" t="str">
        <f ca="1">IFERROR(VALUE(separ(INDEX(Sheet!U$2:U$7967,$A26),"-",1)),"")</f>
        <v/>
      </c>
      <c r="BL26" s="35" t="str">
        <f ca="1">IFERROR(VALUE(separ(INDEX(Sheet!V$2:V$7967,$A26),"-",1)),"")</f>
        <v/>
      </c>
      <c r="BM26" s="35" t="str">
        <f ca="1">IFERROR(VALUE(separ(INDEX(Sheet!W$2:W$7967,$A26),"-",1)),"")</f>
        <v/>
      </c>
      <c r="BN26" s="35" t="str">
        <f ca="1">IFERROR(VALUE(separ(INDEX(Sheet!X$2:X$7967,$A26),"-",1)),"")</f>
        <v/>
      </c>
      <c r="BO26" s="35" t="str">
        <f ca="1">IFERROR(VALUE(separ(INDEX(Sheet!Y$2:Y$7967,$A26),"-",1)),"")</f>
        <v/>
      </c>
      <c r="BP26" s="35" t="str">
        <f ca="1">IFERROR(VALUE(separ(INDEX(Sheet!Z$2:Z$7967,$A26),"-",1)),"")</f>
        <v/>
      </c>
      <c r="BQ26" s="35" t="str">
        <f ca="1">IFERROR(VALUE(separ(INDEX(Sheet!AA$2:AA$7967,$A26),"-",1)),"")</f>
        <v/>
      </c>
      <c r="BR26" s="35" t="str">
        <f ca="1">IFERROR(VALUE(separ(INDEX(Sheet!AB$2:AB$7967,$A26),"-",1)),"")</f>
        <v/>
      </c>
      <c r="BS26" s="35" t="str">
        <f ca="1">IFERROR(VALUE(separ(INDEX(Sheet!AC$2:AC$7967,$A26),"-",1)),"")</f>
        <v/>
      </c>
      <c r="BT26" s="35" t="str">
        <f ca="1">IFERROR(VALUE(separ(INDEX(Sheet!AD$2:AD$7967,$A26),"-",1)),"")</f>
        <v/>
      </c>
      <c r="BU26" s="35" t="str">
        <f ca="1">IFERROR(VALUE(separ(INDEX(Sheet!AE$2:AE$7967,$A26),"-",1)),"")</f>
        <v/>
      </c>
      <c r="BV26" s="35"/>
      <c r="BW26" s="35" t="str">
        <f ca="1">IFERROR((separ(INDEX(Sheet!Q$2:Q$7967,$A26),"-",2)),"")</f>
        <v/>
      </c>
      <c r="BX26" s="35" t="str">
        <f ca="1">IFERROR((separ(INDEX(Sheet!R$2:R$7967,$A26),"-",2)),"")</f>
        <v/>
      </c>
      <c r="BY26" s="35" t="str">
        <f ca="1">IFERROR((separ(INDEX(Sheet!S$2:S$7967,$A26),"-",2)),"")</f>
        <v/>
      </c>
      <c r="BZ26" s="35" t="str">
        <f ca="1">IFERROR((separ(INDEX(Sheet!T$2:T$7967,$A26),"-",2)),"")</f>
        <v/>
      </c>
      <c r="CA26" s="35" t="str">
        <f ca="1">IFERROR((separ(INDEX(Sheet!U$2:U$7967,$A26),"-",2)),"")</f>
        <v/>
      </c>
      <c r="CB26" s="35" t="str">
        <f ca="1">IFERROR((separ(INDEX(Sheet!V$2:V$7967,$A26),"-",2)),"")</f>
        <v/>
      </c>
      <c r="CC26" s="35" t="str">
        <f ca="1">IFERROR((separ(INDEX(Sheet!W$2:W$7967,$A26),"-",2)),"")</f>
        <v/>
      </c>
      <c r="CD26" s="35" t="str">
        <f ca="1">IFERROR((separ(INDEX(Sheet!X$2:X$7967,$A26),"-",2)),"")</f>
        <v/>
      </c>
      <c r="CE26" s="35" t="str">
        <f ca="1">IFERROR((separ(INDEX(Sheet!Y$2:Y$7967,$A26),"-",2)),"")</f>
        <v/>
      </c>
      <c r="CF26" s="35" t="str">
        <f ca="1">IFERROR((separ(INDEX(Sheet!Z$2:Z$7967,$A26),"-",2)),"")</f>
        <v/>
      </c>
      <c r="CG26" s="35" t="str">
        <f ca="1">IFERROR((separ(INDEX(Sheet!AA$2:AA$7967,$A26),"-",2)),"")</f>
        <v/>
      </c>
      <c r="CH26" s="35" t="str">
        <f ca="1">IFERROR((separ(INDEX(Sheet!AB$2:AB$7967,$A26),"-",2)),"")</f>
        <v/>
      </c>
      <c r="CI26" s="35" t="str">
        <f ca="1">IFERROR((separ(INDEX(Sheet!AC$2:AC$7967,$A26),"-",2)),"")</f>
        <v/>
      </c>
      <c r="CJ26" s="35" t="str">
        <f ca="1">IFERROR((separ(INDEX(Sheet!AD$2:AD$7967,$A26),"-",2)),"")</f>
        <v/>
      </c>
      <c r="CK26" s="35" t="str">
        <f ca="1">IFERROR((separ(INDEX(Sheet!AE$2:AE$7967,$A26),"-",2)),"")</f>
        <v/>
      </c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</row>
    <row r="27" spans="1:104" s="29" customFormat="1">
      <c r="A27" s="45" t="str">
        <f ca="1">IFERROR(MATCH($B$3,OFFSET(Sheet!$D$2,A26,0):'Sheet'!$D$7657,0)+A26,"")</f>
        <v/>
      </c>
      <c r="B27" s="29" t="str">
        <f ca="1">IF(ROW(A20)&lt;=COUNT($A$6:$A$800),INDEX(Sheet!$A$2:$A$7967,$A27),IF(ROW(A20)=COUNT($A$6:$A$800)+1," ",IF(ROW(A20)=COUNT($A$6:$A$800)+2,"  ","")))</f>
        <v/>
      </c>
      <c r="C27" s="67" t="str">
        <f ca="1">IF($A27="","",INDEX(Sheet!E$2:E$7967,$A27))</f>
        <v/>
      </c>
      <c r="D27" s="31" t="str">
        <f ca="1">IF(B24=" ",$AR$1,IF(B27=" ",$AQ$1,IF(A27="","",INDEX(Sheet!G$2:G$7967,$A27))))</f>
        <v/>
      </c>
      <c r="E27" s="32" t="str">
        <f ca="1">IF($A27="","",TEXT(INDEX(Sheet!J$2:J$7967,$A27),"#,#")&amp;" "&amp;INDEX(Sheet!AT$2:AT$7967,$A27))</f>
        <v/>
      </c>
      <c r="F27" s="53" t="str">
        <f ca="1">IF($A27="","",INDEX(Sheet!F$2:F$7967,$A27))</f>
        <v/>
      </c>
      <c r="G27" s="32" t="str">
        <f ca="1">IF($A27="","",INDEX(Sheet!I$2:I$7967,$A27))</f>
        <v/>
      </c>
      <c r="H27" s="32" t="str">
        <f ca="1">IF($A27="","",INDEX(Sheet!L$2:L$7967,$A27))</f>
        <v/>
      </c>
      <c r="I27" s="32" t="str">
        <f ca="1">IF($A27="","",INDEX(Sheet!N$2:N$7967,$A27))</f>
        <v/>
      </c>
      <c r="J27" s="53" t="str">
        <f ca="1">IF($A27="","",INDEX(Sheet!AS$2:AS$7967,$A27))</f>
        <v/>
      </c>
      <c r="K27" s="33" t="str">
        <f ca="1">IF($A27="","",IF(INDEX(Sheet!S$2:S$7967,$A27)="","",INDEX(Sheet!S$2:S$7967,$A27)))</f>
        <v/>
      </c>
      <c r="L27" s="33" t="str">
        <f ca="1">IF($A27="","",IF(INDEX(Sheet!R$2:R$7967,$A27)="","",INDEX(Sheet!R$2:R$7967,$A27)))</f>
        <v/>
      </c>
      <c r="M27" s="33" t="str">
        <f ca="1">IF($A27="","",IF(INDEX(Sheet!AO$2:AO$7967,$A27)="","",INDEX(Sheet!AO$2:AO$7967,$A27)))</f>
        <v/>
      </c>
      <c r="N27" s="33" t="str">
        <f ca="1">IF($A27="","",IF(INDEX(Sheet!T$2:T$7967,$A27)="","",INDEX(Sheet!T$2:T$7967,$A27)))</f>
        <v/>
      </c>
      <c r="O27" s="33" t="str">
        <f ca="1">IF($A27="","",IF(INDEX(Sheet!U$2:U$7967,$A27)="","",INDEX(Sheet!U$2:U$7967,$A27)))</f>
        <v/>
      </c>
      <c r="P27" s="33" t="str">
        <f ca="1">IF($A27="","",IF(INDEX(Sheet!W$2:W$7967,$A27)="","",INDEX(Sheet!W$2:W$7967,$A27)))</f>
        <v/>
      </c>
      <c r="Q27" s="33" t="str">
        <f ca="1">IF($A27="","",IF(INDEX(Sheet!V$2:V$7967,$A27)="","",INDEX(Sheet!V$2:V$7967,$A27)))</f>
        <v/>
      </c>
      <c r="R27" s="33" t="str">
        <f ca="1">IF($A27="","",IF(INDEX(Sheet!Z$2:Z$7967,$A27)="","",INDEX(Sheet!Z$2:Z$7967,$A27)))</f>
        <v/>
      </c>
      <c r="S27" s="33" t="str">
        <f ca="1">IF($A27="","",IF(INDEX(Sheet!Y$2:Y$7967,$A27)="","",INDEX(Sheet!Y$2:Y$7967,$A27)))</f>
        <v/>
      </c>
      <c r="T27" s="33" t="str">
        <f ca="1">IF($A27="","",IF(INDEX(Sheet!X$2:X$7967,$A27)="","",INDEX(Sheet!X$2:X$7967,$A27)))</f>
        <v/>
      </c>
      <c r="U27" s="33" t="str">
        <f ca="1">IF($A27="","",IF(INDEX(Sheet!AA$2:AA$7967,$A27)="","",INDEX(Sheet!AA$2:AA$7967,$A27)))</f>
        <v/>
      </c>
      <c r="V27" s="33" t="str">
        <f ca="1">IF($A27="","",IF(INDEX(Sheet!AB$2:AB$7967,$A27)="","",INDEX(Sheet!AB$2:AB$7967,$A27)))</f>
        <v/>
      </c>
      <c r="W27" s="33" t="str">
        <f ca="1">IF($A27="","",IF(INDEX(Sheet!AH$2:AH$7967,$A27)="","",INDEX(Sheet!AH$2:AH$7967,$A27)))</f>
        <v/>
      </c>
      <c r="X27" s="33" t="str">
        <f ca="1">IF($A27="","",IF(INDEX(Sheet!AC$2:AC$7967,$A27)="","",INDEX(Sheet!AC$2:AC$7967,$A27)))</f>
        <v/>
      </c>
      <c r="Y27" s="33" t="str">
        <f ca="1">IF($A27="","",IF(INDEX(Sheet!AD$2:AD$7967,$A27)="","",INDEX(Sheet!AD$2:AD$7967,$A27)))</f>
        <v/>
      </c>
      <c r="Z27" s="33" t="str">
        <f ca="1">IF($A27="","",IF(INDEX(Sheet!AL$2:AL$7967,$A27)="","",INDEX(Sheet!AL$2:AL$7967,$A27)))</f>
        <v/>
      </c>
      <c r="AA27" s="33" t="str">
        <f ca="1">IF($A27="","",IF(INDEX(Sheet!AE$2:AE$7967,$A27)="","",INDEX(Sheet!AE$2:AE$7967,$A27)))</f>
        <v/>
      </c>
      <c r="AB27" s="33" t="str">
        <f ca="1">IF($A27="","",IF(INDEX(Sheet!AF$2:AF$7967,$A27)="","",INDEX(Sheet!AF$2:AF$7967,$A27)))</f>
        <v/>
      </c>
      <c r="AC27" s="33" t="str">
        <f ca="1">IF($A27="","",IF(INDEX(Sheet!AG$2:AG$7967,$A27)="","",INDEX(Sheet!AG$2:AG$7967,$A27)))</f>
        <v/>
      </c>
      <c r="AD27" s="33" t="str">
        <f ca="1">IF($A27="","",IF(INDEX(Sheet!AM$2:AM$7967,$A27)="","",INDEX(Sheet!AM$2:AM$7967,$A27)))</f>
        <v/>
      </c>
      <c r="AE27" s="33" t="str">
        <f ca="1">IF($A27="","",IF(INDEX(Sheet!AJ$2:AJ$7967,$A27)="","",INDEX(Sheet!AJ$2:AJ$7967,$A27)))</f>
        <v/>
      </c>
      <c r="AF27" s="33" t="str">
        <f ca="1">IF($A27="","",IF(INDEX(Sheet!AI$2:AI$7967,$A27)="","",INDEX(Sheet!AI$2:AI$7967,$A27)))</f>
        <v/>
      </c>
      <c r="AG27" s="33" t="str">
        <f ca="1">IF(D27="duyệt sản xuất"," Bảo Bảo, Ngày "&amp;DAY($J$4)&amp;" Tháng "&amp;MONTH($J$4)&amp;" Năm "&amp;YEAR($J$4),IF(D27="Phê duyệt","NGƯỜI LẬP",IF(D27="Nguyễn Ngọc Thắng","NGUYỄN THỊ MAI",IF($A27="","",INDEX(Sheet!AK$2:AK$7967,$A27)))))</f>
        <v/>
      </c>
      <c r="AH27" s="58" t="str">
        <f ca="1">IF($A27="","",INDEX(Sheet!AR$2:AR$7967,$A27)&amp;" ; "&amp;INDEX(Sheet!M$2:M$7967,$A27))</f>
        <v/>
      </c>
      <c r="AI27" s="1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G27" s="35" t="str">
        <f ca="1">IFERROR(VALUE(separ(INDEX(Sheet!Q$2:Q$7967,$A27),"-",1)),"")</f>
        <v/>
      </c>
      <c r="BH27" s="35" t="str">
        <f ca="1">IFERROR(VALUE(separ(INDEX(Sheet!R$2:R$7967,$A27),"-",1)),"")</f>
        <v/>
      </c>
      <c r="BI27" s="35" t="str">
        <f ca="1">IFERROR(VALUE(separ(INDEX(Sheet!S$2:S$7967,$A27),"-",1)),"")</f>
        <v/>
      </c>
      <c r="BJ27" s="35" t="str">
        <f ca="1">IFERROR(VALUE(separ(INDEX(Sheet!T$2:T$7967,$A27),"-",1)),"")</f>
        <v/>
      </c>
      <c r="BK27" s="35" t="str">
        <f ca="1">IFERROR(VALUE(separ(INDEX(Sheet!U$2:U$7967,$A27),"-",1)),"")</f>
        <v/>
      </c>
      <c r="BL27" s="35" t="str">
        <f ca="1">IFERROR(VALUE(separ(INDEX(Sheet!V$2:V$7967,$A27),"-",1)),"")</f>
        <v/>
      </c>
      <c r="BM27" s="35" t="str">
        <f ca="1">IFERROR(VALUE(separ(INDEX(Sheet!W$2:W$7967,$A27),"-",1)),"")</f>
        <v/>
      </c>
      <c r="BN27" s="35" t="str">
        <f ca="1">IFERROR(VALUE(separ(INDEX(Sheet!X$2:X$7967,$A27),"-",1)),"")</f>
        <v/>
      </c>
      <c r="BO27" s="35" t="str">
        <f ca="1">IFERROR(VALUE(separ(INDEX(Sheet!Y$2:Y$7967,$A27),"-",1)),"")</f>
        <v/>
      </c>
      <c r="BP27" s="35" t="str">
        <f ca="1">IFERROR(VALUE(separ(INDEX(Sheet!Z$2:Z$7967,$A27),"-",1)),"")</f>
        <v/>
      </c>
      <c r="BQ27" s="35" t="str">
        <f ca="1">IFERROR(VALUE(separ(INDEX(Sheet!AA$2:AA$7967,$A27),"-",1)),"")</f>
        <v/>
      </c>
      <c r="BR27" s="35" t="str">
        <f ca="1">IFERROR(VALUE(separ(INDEX(Sheet!AB$2:AB$7967,$A27),"-",1)),"")</f>
        <v/>
      </c>
      <c r="BS27" s="35" t="str">
        <f ca="1">IFERROR(VALUE(separ(INDEX(Sheet!AC$2:AC$7967,$A27),"-",1)),"")</f>
        <v/>
      </c>
      <c r="BT27" s="35" t="str">
        <f ca="1">IFERROR(VALUE(separ(INDEX(Sheet!AD$2:AD$7967,$A27),"-",1)),"")</f>
        <v/>
      </c>
      <c r="BU27" s="35" t="str">
        <f ca="1">IFERROR(VALUE(separ(INDEX(Sheet!AE$2:AE$7967,$A27),"-",1)),"")</f>
        <v/>
      </c>
      <c r="BV27" s="35"/>
      <c r="BW27" s="35" t="str">
        <f ca="1">IFERROR((separ(INDEX(Sheet!Q$2:Q$7967,$A27),"-",2)),"")</f>
        <v/>
      </c>
      <c r="BX27" s="35" t="str">
        <f ca="1">IFERROR((separ(INDEX(Sheet!R$2:R$7967,$A27),"-",2)),"")</f>
        <v/>
      </c>
      <c r="BY27" s="35" t="str">
        <f ca="1">IFERROR((separ(INDEX(Sheet!S$2:S$7967,$A27),"-",2)),"")</f>
        <v/>
      </c>
      <c r="BZ27" s="35" t="str">
        <f ca="1">IFERROR((separ(INDEX(Sheet!T$2:T$7967,$A27),"-",2)),"")</f>
        <v/>
      </c>
      <c r="CA27" s="35" t="str">
        <f ca="1">IFERROR((separ(INDEX(Sheet!U$2:U$7967,$A27),"-",2)),"")</f>
        <v/>
      </c>
      <c r="CB27" s="35" t="str">
        <f ca="1">IFERROR((separ(INDEX(Sheet!V$2:V$7967,$A27),"-",2)),"")</f>
        <v/>
      </c>
      <c r="CC27" s="35" t="str">
        <f ca="1">IFERROR((separ(INDEX(Sheet!W$2:W$7967,$A27),"-",2)),"")</f>
        <v/>
      </c>
      <c r="CD27" s="35" t="str">
        <f ca="1">IFERROR((separ(INDEX(Sheet!X$2:X$7967,$A27),"-",2)),"")</f>
        <v/>
      </c>
      <c r="CE27" s="35" t="str">
        <f ca="1">IFERROR((separ(INDEX(Sheet!Y$2:Y$7967,$A27),"-",2)),"")</f>
        <v/>
      </c>
      <c r="CF27" s="35" t="str">
        <f ca="1">IFERROR((separ(INDEX(Sheet!Z$2:Z$7967,$A27),"-",2)),"")</f>
        <v/>
      </c>
      <c r="CG27" s="35" t="str">
        <f ca="1">IFERROR((separ(INDEX(Sheet!AA$2:AA$7967,$A27),"-",2)),"")</f>
        <v/>
      </c>
      <c r="CH27" s="35" t="str">
        <f ca="1">IFERROR((separ(INDEX(Sheet!AB$2:AB$7967,$A27),"-",2)),"")</f>
        <v/>
      </c>
      <c r="CI27" s="35" t="str">
        <f ca="1">IFERROR((separ(INDEX(Sheet!AC$2:AC$7967,$A27),"-",2)),"")</f>
        <v/>
      </c>
      <c r="CJ27" s="35" t="str">
        <f ca="1">IFERROR((separ(INDEX(Sheet!AD$2:AD$7967,$A27),"-",2)),"")</f>
        <v/>
      </c>
      <c r="CK27" s="35" t="str">
        <f ca="1">IFERROR((separ(INDEX(Sheet!AE$2:AE$7967,$A27),"-",2)),"")</f>
        <v/>
      </c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</row>
    <row r="28" spans="1:104" s="29" customFormat="1">
      <c r="A28" s="45" t="str">
        <f ca="1">IFERROR(MATCH($B$3,OFFSET(Sheet!$D$2,A27,0):'Sheet'!$D$7657,0)+A27,"")</f>
        <v/>
      </c>
      <c r="B28" s="29" t="str">
        <f ca="1">IF(ROW(A21)&lt;=COUNT($A$6:$A$800),INDEX(Sheet!$A$2:$A$7967,$A28),IF(ROW(A21)=COUNT($A$6:$A$800)+1," ",IF(ROW(A21)=COUNT($A$6:$A$800)+2,"  ","")))</f>
        <v/>
      </c>
      <c r="C28" s="67" t="str">
        <f ca="1">IF($A28="","",INDEX(Sheet!E$2:E$7967,$A28))</f>
        <v/>
      </c>
      <c r="D28" s="31" t="str">
        <f ca="1">IF(B25=" ",$AR$1,IF(B28=" ",$AQ$1,IF(A28="","",INDEX(Sheet!G$2:G$7967,$A28))))</f>
        <v/>
      </c>
      <c r="E28" s="32" t="str">
        <f ca="1">IF($A28="","",TEXT(INDEX(Sheet!J$2:J$7967,$A28),"#,#")&amp;" "&amp;INDEX(Sheet!AT$2:AT$7967,$A28))</f>
        <v/>
      </c>
      <c r="F28" s="53" t="str">
        <f ca="1">IF($A28="","",INDEX(Sheet!F$2:F$7967,$A28))</f>
        <v/>
      </c>
      <c r="G28" s="32" t="str">
        <f ca="1">IF($A28="","",INDEX(Sheet!I$2:I$7967,$A28))</f>
        <v/>
      </c>
      <c r="H28" s="32" t="str">
        <f ca="1">IF($A28="","",INDEX(Sheet!L$2:L$7967,$A28))</f>
        <v/>
      </c>
      <c r="I28" s="32" t="str">
        <f ca="1">IF($A28="","",INDEX(Sheet!N$2:N$7967,$A28))</f>
        <v/>
      </c>
      <c r="J28" s="53" t="str">
        <f ca="1">IF($A28="","",INDEX(Sheet!AS$2:AS$7967,$A28))</f>
        <v/>
      </c>
      <c r="K28" s="33" t="str">
        <f ca="1">IF($A28="","",IF(INDEX(Sheet!S$2:S$7967,$A28)="","",INDEX(Sheet!S$2:S$7967,$A28)))</f>
        <v/>
      </c>
      <c r="L28" s="33" t="str">
        <f ca="1">IF($A28="","",IF(INDEX(Sheet!R$2:R$7967,$A28)="","",INDEX(Sheet!R$2:R$7967,$A28)))</f>
        <v/>
      </c>
      <c r="M28" s="33" t="str">
        <f ca="1">IF($A28="","",IF(INDEX(Sheet!AO$2:AO$7967,$A28)="","",INDEX(Sheet!AO$2:AO$7967,$A28)))</f>
        <v/>
      </c>
      <c r="N28" s="33" t="str">
        <f ca="1">IF($A28="","",IF(INDEX(Sheet!T$2:T$7967,$A28)="","",INDEX(Sheet!T$2:T$7967,$A28)))</f>
        <v/>
      </c>
      <c r="O28" s="33" t="str">
        <f ca="1">IF($A28="","",IF(INDEX(Sheet!U$2:U$7967,$A28)="","",INDEX(Sheet!U$2:U$7967,$A28)))</f>
        <v/>
      </c>
      <c r="P28" s="33" t="str">
        <f ca="1">IF($A28="","",IF(INDEX(Sheet!W$2:W$7967,$A28)="","",INDEX(Sheet!W$2:W$7967,$A28)))</f>
        <v/>
      </c>
      <c r="Q28" s="33" t="str">
        <f ca="1">IF($A28="","",IF(INDEX(Sheet!V$2:V$7967,$A28)="","",INDEX(Sheet!V$2:V$7967,$A28)))</f>
        <v/>
      </c>
      <c r="R28" s="33" t="str">
        <f ca="1">IF($A28="","",IF(INDEX(Sheet!Z$2:Z$7967,$A28)="","",INDEX(Sheet!Z$2:Z$7967,$A28)))</f>
        <v/>
      </c>
      <c r="S28" s="33" t="str">
        <f ca="1">IF($A28="","",IF(INDEX(Sheet!Y$2:Y$7967,$A28)="","",INDEX(Sheet!Y$2:Y$7967,$A28)))</f>
        <v/>
      </c>
      <c r="T28" s="33" t="str">
        <f ca="1">IF($A28="","",IF(INDEX(Sheet!X$2:X$7967,$A28)="","",INDEX(Sheet!X$2:X$7967,$A28)))</f>
        <v/>
      </c>
      <c r="U28" s="33" t="str">
        <f ca="1">IF($A28="","",IF(INDEX(Sheet!AA$2:AA$7967,$A28)="","",INDEX(Sheet!AA$2:AA$7967,$A28)))</f>
        <v/>
      </c>
      <c r="V28" s="33" t="str">
        <f ca="1">IF($A28="","",IF(INDEX(Sheet!AB$2:AB$7967,$A28)="","",INDEX(Sheet!AB$2:AB$7967,$A28)))</f>
        <v/>
      </c>
      <c r="W28" s="33" t="str">
        <f ca="1">IF($A28="","",IF(INDEX(Sheet!AH$2:AH$7967,$A28)="","",INDEX(Sheet!AH$2:AH$7967,$A28)))</f>
        <v/>
      </c>
      <c r="X28" s="33" t="str">
        <f ca="1">IF($A28="","",IF(INDEX(Sheet!AC$2:AC$7967,$A28)="","",INDEX(Sheet!AC$2:AC$7967,$A28)))</f>
        <v/>
      </c>
      <c r="Y28" s="33" t="str">
        <f ca="1">IF($A28="","",IF(INDEX(Sheet!AD$2:AD$7967,$A28)="","",INDEX(Sheet!AD$2:AD$7967,$A28)))</f>
        <v/>
      </c>
      <c r="Z28" s="33" t="str">
        <f ca="1">IF($A28="","",IF(INDEX(Sheet!AL$2:AL$7967,$A28)="","",INDEX(Sheet!AL$2:AL$7967,$A28)))</f>
        <v/>
      </c>
      <c r="AA28" s="33" t="str">
        <f ca="1">IF($A28="","",IF(INDEX(Sheet!AE$2:AE$7967,$A28)="","",INDEX(Sheet!AE$2:AE$7967,$A28)))</f>
        <v/>
      </c>
      <c r="AB28" s="33" t="str">
        <f ca="1">IF($A28="","",IF(INDEX(Sheet!AF$2:AF$7967,$A28)="","",INDEX(Sheet!AF$2:AF$7967,$A28)))</f>
        <v/>
      </c>
      <c r="AC28" s="33" t="str">
        <f ca="1">IF($A28="","",IF(INDEX(Sheet!AG$2:AG$7967,$A28)="","",INDEX(Sheet!AG$2:AG$7967,$A28)))</f>
        <v/>
      </c>
      <c r="AD28" s="33" t="str">
        <f ca="1">IF($A28="","",IF(INDEX(Sheet!AM$2:AM$7967,$A28)="","",INDEX(Sheet!AM$2:AM$7967,$A28)))</f>
        <v/>
      </c>
      <c r="AE28" s="33" t="str">
        <f ca="1">IF($A28="","",IF(INDEX(Sheet!AJ$2:AJ$7967,$A28)="","",INDEX(Sheet!AJ$2:AJ$7967,$A28)))</f>
        <v/>
      </c>
      <c r="AF28" s="33" t="str">
        <f ca="1">IF($A28="","",IF(INDEX(Sheet!AI$2:AI$7967,$A28)="","",INDEX(Sheet!AI$2:AI$7967,$A28)))</f>
        <v/>
      </c>
      <c r="AG28" s="33" t="str">
        <f ca="1">IF(D28="duyệt sản xuất"," Bảo Bảo, Ngày "&amp;DAY($J$4)&amp;" Tháng "&amp;MONTH($J$4)&amp;" Năm "&amp;YEAR($J$4),IF(D28="Phê duyệt","NGƯỜI LẬP",IF(D28="Nguyễn Ngọc Thắng","NGUYỄN THỊ MAI",IF($A28="","",INDEX(Sheet!AK$2:AK$7967,$A28)))))</f>
        <v/>
      </c>
      <c r="AH28" s="58" t="str">
        <f ca="1">IF($A28="","",INDEX(Sheet!AR$2:AR$7967,$A28)&amp;" ; "&amp;INDEX(Sheet!M$2:M$7967,$A28))</f>
        <v/>
      </c>
      <c r="AI28" s="1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G28" s="35" t="str">
        <f ca="1">IFERROR(VALUE(separ(INDEX(Sheet!Q$2:Q$7967,$A28),"-",1)),"")</f>
        <v/>
      </c>
      <c r="BH28" s="35" t="str">
        <f ca="1">IFERROR(VALUE(separ(INDEX(Sheet!R$2:R$7967,$A28),"-",1)),"")</f>
        <v/>
      </c>
      <c r="BI28" s="35" t="str">
        <f ca="1">IFERROR(VALUE(separ(INDEX(Sheet!S$2:S$7967,$A28),"-",1)),"")</f>
        <v/>
      </c>
      <c r="BJ28" s="35" t="str">
        <f ca="1">IFERROR(VALUE(separ(INDEX(Sheet!T$2:T$7967,$A28),"-",1)),"")</f>
        <v/>
      </c>
      <c r="BK28" s="35" t="str">
        <f ca="1">IFERROR(VALUE(separ(INDEX(Sheet!U$2:U$7967,$A28),"-",1)),"")</f>
        <v/>
      </c>
      <c r="BL28" s="35" t="str">
        <f ca="1">IFERROR(VALUE(separ(INDEX(Sheet!V$2:V$7967,$A28),"-",1)),"")</f>
        <v/>
      </c>
      <c r="BM28" s="35" t="str">
        <f ca="1">IFERROR(VALUE(separ(INDEX(Sheet!W$2:W$7967,$A28),"-",1)),"")</f>
        <v/>
      </c>
      <c r="BN28" s="35" t="str">
        <f ca="1">IFERROR(VALUE(separ(INDEX(Sheet!X$2:X$7967,$A28),"-",1)),"")</f>
        <v/>
      </c>
      <c r="BO28" s="35" t="str">
        <f ca="1">IFERROR(VALUE(separ(INDEX(Sheet!Y$2:Y$7967,$A28),"-",1)),"")</f>
        <v/>
      </c>
      <c r="BP28" s="35" t="str">
        <f ca="1">IFERROR(VALUE(separ(INDEX(Sheet!Z$2:Z$7967,$A28),"-",1)),"")</f>
        <v/>
      </c>
      <c r="BQ28" s="35" t="str">
        <f ca="1">IFERROR(VALUE(separ(INDEX(Sheet!AA$2:AA$7967,$A28),"-",1)),"")</f>
        <v/>
      </c>
      <c r="BR28" s="35" t="str">
        <f ca="1">IFERROR(VALUE(separ(INDEX(Sheet!AB$2:AB$7967,$A28),"-",1)),"")</f>
        <v/>
      </c>
      <c r="BS28" s="35" t="str">
        <f ca="1">IFERROR(VALUE(separ(INDEX(Sheet!AC$2:AC$7967,$A28),"-",1)),"")</f>
        <v/>
      </c>
      <c r="BT28" s="35" t="str">
        <f ca="1">IFERROR(VALUE(separ(INDEX(Sheet!AD$2:AD$7967,$A28),"-",1)),"")</f>
        <v/>
      </c>
      <c r="BU28" s="35" t="str">
        <f ca="1">IFERROR(VALUE(separ(INDEX(Sheet!AE$2:AE$7967,$A28),"-",1)),"")</f>
        <v/>
      </c>
      <c r="BV28" s="35"/>
      <c r="BW28" s="35" t="str">
        <f ca="1">IFERROR((separ(INDEX(Sheet!Q$2:Q$7967,$A28),"-",2)),"")</f>
        <v/>
      </c>
      <c r="BX28" s="35" t="str">
        <f ca="1">IFERROR((separ(INDEX(Sheet!R$2:R$7967,$A28),"-",2)),"")</f>
        <v/>
      </c>
      <c r="BY28" s="35" t="str">
        <f ca="1">IFERROR((separ(INDEX(Sheet!S$2:S$7967,$A28),"-",2)),"")</f>
        <v/>
      </c>
      <c r="BZ28" s="35" t="str">
        <f ca="1">IFERROR((separ(INDEX(Sheet!T$2:T$7967,$A28),"-",2)),"")</f>
        <v/>
      </c>
      <c r="CA28" s="35" t="str">
        <f ca="1">IFERROR((separ(INDEX(Sheet!U$2:U$7967,$A28),"-",2)),"")</f>
        <v/>
      </c>
      <c r="CB28" s="35" t="str">
        <f ca="1">IFERROR((separ(INDEX(Sheet!V$2:V$7967,$A28),"-",2)),"")</f>
        <v/>
      </c>
      <c r="CC28" s="35" t="str">
        <f ca="1">IFERROR((separ(INDEX(Sheet!W$2:W$7967,$A28),"-",2)),"")</f>
        <v/>
      </c>
      <c r="CD28" s="35" t="str">
        <f ca="1">IFERROR((separ(INDEX(Sheet!X$2:X$7967,$A28),"-",2)),"")</f>
        <v/>
      </c>
      <c r="CE28" s="35" t="str">
        <f ca="1">IFERROR((separ(INDEX(Sheet!Y$2:Y$7967,$A28),"-",2)),"")</f>
        <v/>
      </c>
      <c r="CF28" s="35" t="str">
        <f ca="1">IFERROR((separ(INDEX(Sheet!Z$2:Z$7967,$A28),"-",2)),"")</f>
        <v/>
      </c>
      <c r="CG28" s="35" t="str">
        <f ca="1">IFERROR((separ(INDEX(Sheet!AA$2:AA$7967,$A28),"-",2)),"")</f>
        <v/>
      </c>
      <c r="CH28" s="35" t="str">
        <f ca="1">IFERROR((separ(INDEX(Sheet!AB$2:AB$7967,$A28),"-",2)),"")</f>
        <v/>
      </c>
      <c r="CI28" s="35" t="str">
        <f ca="1">IFERROR((separ(INDEX(Sheet!AC$2:AC$7967,$A28),"-",2)),"")</f>
        <v/>
      </c>
      <c r="CJ28" s="35" t="str">
        <f ca="1">IFERROR((separ(INDEX(Sheet!AD$2:AD$7967,$A28),"-",2)),"")</f>
        <v/>
      </c>
      <c r="CK28" s="35" t="str">
        <f ca="1">IFERROR((separ(INDEX(Sheet!AE$2:AE$7967,$A28),"-",2)),"")</f>
        <v/>
      </c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</row>
    <row r="29" spans="1:104" s="29" customFormat="1">
      <c r="A29" s="45" t="str">
        <f ca="1">IFERROR(MATCH($B$3,OFFSET(Sheet!$D$2,A28,0):'Sheet'!$D$7657,0)+A28,"")</f>
        <v/>
      </c>
      <c r="B29" s="29" t="str">
        <f ca="1">IF(ROW(A22)&lt;=COUNT($A$6:$A$800),INDEX(Sheet!$A$2:$A$7967,$A29),IF(ROW(A22)=COUNT($A$6:$A$800)+1," ",IF(ROW(A22)=COUNT($A$6:$A$800)+2,"  ","")))</f>
        <v/>
      </c>
      <c r="C29" s="67" t="str">
        <f ca="1">IF($A29="","",INDEX(Sheet!E$2:E$7967,$A29))</f>
        <v/>
      </c>
      <c r="D29" s="31" t="str">
        <f ca="1">IF(B26=" ",$AR$1,IF(B29=" ",$AQ$1,IF(A29="","",INDEX(Sheet!G$2:G$7967,$A29))))</f>
        <v/>
      </c>
      <c r="E29" s="32" t="str">
        <f ca="1">IF($A29="","",TEXT(INDEX(Sheet!J$2:J$7967,$A29),"#,#")&amp;" "&amp;INDEX(Sheet!AT$2:AT$7967,$A29))</f>
        <v/>
      </c>
      <c r="F29" s="53" t="str">
        <f ca="1">IF($A29="","",INDEX(Sheet!F$2:F$7967,$A29))</f>
        <v/>
      </c>
      <c r="G29" s="32" t="str">
        <f ca="1">IF($A29="","",INDEX(Sheet!I$2:I$7967,$A29))</f>
        <v/>
      </c>
      <c r="H29" s="32" t="str">
        <f ca="1">IF($A29="","",INDEX(Sheet!L$2:L$7967,$A29))</f>
        <v/>
      </c>
      <c r="I29" s="32" t="str">
        <f ca="1">IF($A29="","",INDEX(Sheet!N$2:N$7967,$A29))</f>
        <v/>
      </c>
      <c r="J29" s="53" t="str">
        <f ca="1">IF($A29="","",INDEX(Sheet!AS$2:AS$7967,$A29))</f>
        <v/>
      </c>
      <c r="K29" s="33" t="str">
        <f ca="1">IF($A29="","",IF(INDEX(Sheet!S$2:S$7967,$A29)="","",INDEX(Sheet!S$2:S$7967,$A29)))</f>
        <v/>
      </c>
      <c r="L29" s="33" t="str">
        <f ca="1">IF($A29="","",IF(INDEX(Sheet!R$2:R$7967,$A29)="","",INDEX(Sheet!R$2:R$7967,$A29)))</f>
        <v/>
      </c>
      <c r="M29" s="33" t="str">
        <f ca="1">IF($A29="","",IF(INDEX(Sheet!AO$2:AO$7967,$A29)="","",INDEX(Sheet!AO$2:AO$7967,$A29)))</f>
        <v/>
      </c>
      <c r="N29" s="33" t="str">
        <f ca="1">IF($A29="","",IF(INDEX(Sheet!T$2:T$7967,$A29)="","",INDEX(Sheet!T$2:T$7967,$A29)))</f>
        <v/>
      </c>
      <c r="O29" s="33" t="str">
        <f ca="1">IF($A29="","",IF(INDEX(Sheet!U$2:U$7967,$A29)="","",INDEX(Sheet!U$2:U$7967,$A29)))</f>
        <v/>
      </c>
      <c r="P29" s="33" t="str">
        <f ca="1">IF($A29="","",IF(INDEX(Sheet!W$2:W$7967,$A29)="","",INDEX(Sheet!W$2:W$7967,$A29)))</f>
        <v/>
      </c>
      <c r="Q29" s="33" t="str">
        <f ca="1">IF($A29="","",IF(INDEX(Sheet!V$2:V$7967,$A29)="","",INDEX(Sheet!V$2:V$7967,$A29)))</f>
        <v/>
      </c>
      <c r="R29" s="33" t="str">
        <f ca="1">IF($A29="","",IF(INDEX(Sheet!Z$2:Z$7967,$A29)="","",INDEX(Sheet!Z$2:Z$7967,$A29)))</f>
        <v/>
      </c>
      <c r="S29" s="33" t="str">
        <f ca="1">IF($A29="","",IF(INDEX(Sheet!Y$2:Y$7967,$A29)="","",INDEX(Sheet!Y$2:Y$7967,$A29)))</f>
        <v/>
      </c>
      <c r="T29" s="33" t="str">
        <f ca="1">IF($A29="","",IF(INDEX(Sheet!X$2:X$7967,$A29)="","",INDEX(Sheet!X$2:X$7967,$A29)))</f>
        <v/>
      </c>
      <c r="U29" s="33" t="str">
        <f ca="1">IF($A29="","",IF(INDEX(Sheet!AA$2:AA$7967,$A29)="","",INDEX(Sheet!AA$2:AA$7967,$A29)))</f>
        <v/>
      </c>
      <c r="V29" s="33" t="str">
        <f ca="1">IF($A29="","",IF(INDEX(Sheet!AB$2:AB$7967,$A29)="","",INDEX(Sheet!AB$2:AB$7967,$A29)))</f>
        <v/>
      </c>
      <c r="W29" s="33" t="str">
        <f ca="1">IF($A29="","",IF(INDEX(Sheet!AH$2:AH$7967,$A29)="","",INDEX(Sheet!AH$2:AH$7967,$A29)))</f>
        <v/>
      </c>
      <c r="X29" s="33" t="str">
        <f ca="1">IF($A29="","",IF(INDEX(Sheet!AC$2:AC$7967,$A29)="","",INDEX(Sheet!AC$2:AC$7967,$A29)))</f>
        <v/>
      </c>
      <c r="Y29" s="33" t="str">
        <f ca="1">IF($A29="","",IF(INDEX(Sheet!AD$2:AD$7967,$A29)="","",INDEX(Sheet!AD$2:AD$7967,$A29)))</f>
        <v/>
      </c>
      <c r="Z29" s="33" t="str">
        <f ca="1">IF($A29="","",IF(INDEX(Sheet!AL$2:AL$7967,$A29)="","",INDEX(Sheet!AL$2:AL$7967,$A29)))</f>
        <v/>
      </c>
      <c r="AA29" s="33" t="str">
        <f ca="1">IF($A29="","",IF(INDEX(Sheet!AE$2:AE$7967,$A29)="","",INDEX(Sheet!AE$2:AE$7967,$A29)))</f>
        <v/>
      </c>
      <c r="AB29" s="33" t="str">
        <f ca="1">IF($A29="","",IF(INDEX(Sheet!AF$2:AF$7967,$A29)="","",INDEX(Sheet!AF$2:AF$7967,$A29)))</f>
        <v/>
      </c>
      <c r="AC29" s="33" t="str">
        <f ca="1">IF($A29="","",IF(INDEX(Sheet!AG$2:AG$7967,$A29)="","",INDEX(Sheet!AG$2:AG$7967,$A29)))</f>
        <v/>
      </c>
      <c r="AD29" s="33" t="str">
        <f ca="1">IF($A29="","",IF(INDEX(Sheet!AM$2:AM$7967,$A29)="","",INDEX(Sheet!AM$2:AM$7967,$A29)))</f>
        <v/>
      </c>
      <c r="AE29" s="33" t="str">
        <f ca="1">IF($A29="","",IF(INDEX(Sheet!AJ$2:AJ$7967,$A29)="","",INDEX(Sheet!AJ$2:AJ$7967,$A29)))</f>
        <v/>
      </c>
      <c r="AF29" s="33" t="str">
        <f ca="1">IF($A29="","",IF(INDEX(Sheet!AI$2:AI$7967,$A29)="","",INDEX(Sheet!AI$2:AI$7967,$A29)))</f>
        <v/>
      </c>
      <c r="AG29" s="33" t="str">
        <f ca="1">IF(D29="duyệt sản xuất"," Bảo Bảo, Ngày "&amp;DAY($J$4)&amp;" Tháng "&amp;MONTH($J$4)&amp;" Năm "&amp;YEAR($J$4),IF(D29="Phê duyệt","NGƯỜI LẬP",IF(D29="Nguyễn Ngọc Thắng","NGUYỄN THỊ MAI",IF($A29="","",INDEX(Sheet!AK$2:AK$7967,$A29)))))</f>
        <v/>
      </c>
      <c r="AH29" s="58" t="str">
        <f ca="1">IF($A29="","",INDEX(Sheet!AR$2:AR$7967,$A29)&amp;" ; "&amp;INDEX(Sheet!M$2:M$7967,$A29))</f>
        <v/>
      </c>
      <c r="AI29" s="1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G29" s="35" t="str">
        <f ca="1">IFERROR(VALUE(separ(INDEX(Sheet!Q$2:Q$7967,$A29),"-",1)),"")</f>
        <v/>
      </c>
      <c r="BH29" s="35" t="str">
        <f ca="1">IFERROR(VALUE(separ(INDEX(Sheet!R$2:R$7967,$A29),"-",1)),"")</f>
        <v/>
      </c>
      <c r="BI29" s="35" t="str">
        <f ca="1">IFERROR(VALUE(separ(INDEX(Sheet!S$2:S$7967,$A29),"-",1)),"")</f>
        <v/>
      </c>
      <c r="BJ29" s="35" t="str">
        <f ca="1">IFERROR(VALUE(separ(INDEX(Sheet!T$2:T$7967,$A29),"-",1)),"")</f>
        <v/>
      </c>
      <c r="BK29" s="35" t="str">
        <f ca="1">IFERROR(VALUE(separ(INDEX(Sheet!U$2:U$7967,$A29),"-",1)),"")</f>
        <v/>
      </c>
      <c r="BL29" s="35" t="str">
        <f ca="1">IFERROR(VALUE(separ(INDEX(Sheet!V$2:V$7967,$A29),"-",1)),"")</f>
        <v/>
      </c>
      <c r="BM29" s="35" t="str">
        <f ca="1">IFERROR(VALUE(separ(INDEX(Sheet!W$2:W$7967,$A29),"-",1)),"")</f>
        <v/>
      </c>
      <c r="BN29" s="35" t="str">
        <f ca="1">IFERROR(VALUE(separ(INDEX(Sheet!X$2:X$7967,$A29),"-",1)),"")</f>
        <v/>
      </c>
      <c r="BO29" s="35" t="str">
        <f ca="1">IFERROR(VALUE(separ(INDEX(Sheet!Y$2:Y$7967,$A29),"-",1)),"")</f>
        <v/>
      </c>
      <c r="BP29" s="35" t="str">
        <f ca="1">IFERROR(VALUE(separ(INDEX(Sheet!Z$2:Z$7967,$A29),"-",1)),"")</f>
        <v/>
      </c>
      <c r="BQ29" s="35" t="str">
        <f ca="1">IFERROR(VALUE(separ(INDEX(Sheet!AA$2:AA$7967,$A29),"-",1)),"")</f>
        <v/>
      </c>
      <c r="BR29" s="35" t="str">
        <f ca="1">IFERROR(VALUE(separ(INDEX(Sheet!AB$2:AB$7967,$A29),"-",1)),"")</f>
        <v/>
      </c>
      <c r="BS29" s="35" t="str">
        <f ca="1">IFERROR(VALUE(separ(INDEX(Sheet!AC$2:AC$7967,$A29),"-",1)),"")</f>
        <v/>
      </c>
      <c r="BT29" s="35" t="str">
        <f ca="1">IFERROR(VALUE(separ(INDEX(Sheet!AD$2:AD$7967,$A29),"-",1)),"")</f>
        <v/>
      </c>
      <c r="BU29" s="35" t="str">
        <f ca="1">IFERROR(VALUE(separ(INDEX(Sheet!AE$2:AE$7967,$A29),"-",1)),"")</f>
        <v/>
      </c>
      <c r="BV29" s="35"/>
      <c r="BW29" s="35" t="str">
        <f ca="1">IFERROR((separ(INDEX(Sheet!Q$2:Q$7967,$A29),"-",2)),"")</f>
        <v/>
      </c>
      <c r="BX29" s="35" t="str">
        <f ca="1">IFERROR((separ(INDEX(Sheet!R$2:R$7967,$A29),"-",2)),"")</f>
        <v/>
      </c>
      <c r="BY29" s="35" t="str">
        <f ca="1">IFERROR((separ(INDEX(Sheet!S$2:S$7967,$A29),"-",2)),"")</f>
        <v/>
      </c>
      <c r="BZ29" s="35" t="str">
        <f ca="1">IFERROR((separ(INDEX(Sheet!T$2:T$7967,$A29),"-",2)),"")</f>
        <v/>
      </c>
      <c r="CA29" s="35" t="str">
        <f ca="1">IFERROR((separ(INDEX(Sheet!U$2:U$7967,$A29),"-",2)),"")</f>
        <v/>
      </c>
      <c r="CB29" s="35" t="str">
        <f ca="1">IFERROR((separ(INDEX(Sheet!V$2:V$7967,$A29),"-",2)),"")</f>
        <v/>
      </c>
      <c r="CC29" s="35" t="str">
        <f ca="1">IFERROR((separ(INDEX(Sheet!W$2:W$7967,$A29),"-",2)),"")</f>
        <v/>
      </c>
      <c r="CD29" s="35" t="str">
        <f ca="1">IFERROR((separ(INDEX(Sheet!X$2:X$7967,$A29),"-",2)),"")</f>
        <v/>
      </c>
      <c r="CE29" s="35" t="str">
        <f ca="1">IFERROR((separ(INDEX(Sheet!Y$2:Y$7967,$A29),"-",2)),"")</f>
        <v/>
      </c>
      <c r="CF29" s="35" t="str">
        <f ca="1">IFERROR((separ(INDEX(Sheet!Z$2:Z$7967,$A29),"-",2)),"")</f>
        <v/>
      </c>
      <c r="CG29" s="35" t="str">
        <f ca="1">IFERROR((separ(INDEX(Sheet!AA$2:AA$7967,$A29),"-",2)),"")</f>
        <v/>
      </c>
      <c r="CH29" s="35" t="str">
        <f ca="1">IFERROR((separ(INDEX(Sheet!AB$2:AB$7967,$A29),"-",2)),"")</f>
        <v/>
      </c>
      <c r="CI29" s="35" t="str">
        <f ca="1">IFERROR((separ(INDEX(Sheet!AC$2:AC$7967,$A29),"-",2)),"")</f>
        <v/>
      </c>
      <c r="CJ29" s="35" t="str">
        <f ca="1">IFERROR((separ(INDEX(Sheet!AD$2:AD$7967,$A29),"-",2)),"")</f>
        <v/>
      </c>
      <c r="CK29" s="35" t="str">
        <f ca="1">IFERROR((separ(INDEX(Sheet!AE$2:AE$7967,$A29),"-",2)),"")</f>
        <v/>
      </c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</row>
    <row r="30" spans="1:104" s="29" customFormat="1">
      <c r="A30" s="45" t="str">
        <f ca="1">IFERROR(MATCH($B$3,OFFSET(Sheet!$D$2,A29,0):'Sheet'!$D$7657,0)+A29,"")</f>
        <v/>
      </c>
      <c r="B30" s="29" t="str">
        <f ca="1">IF(ROW(A23)&lt;=COUNT($A$6:$A$800),INDEX(Sheet!$A$2:$A$7967,$A30),IF(ROW(A23)=COUNT($A$6:$A$800)+1," ",IF(ROW(A23)=COUNT($A$6:$A$800)+2,"  ","")))</f>
        <v/>
      </c>
      <c r="C30" s="67" t="str">
        <f ca="1">IF($A30="","",INDEX(Sheet!E$2:E$7967,$A30))</f>
        <v/>
      </c>
      <c r="D30" s="31" t="str">
        <f ca="1">IF(B27=" ",$AR$1,IF(B30=" ",$AQ$1,IF(A30="","",INDEX(Sheet!G$2:G$7967,$A30))))</f>
        <v/>
      </c>
      <c r="E30" s="32" t="str">
        <f ca="1">IF($A30="","",TEXT(INDEX(Sheet!J$2:J$7967,$A30),"#,#")&amp;" "&amp;INDEX(Sheet!AT$2:AT$7967,$A30))</f>
        <v/>
      </c>
      <c r="F30" s="53" t="str">
        <f ca="1">IF($A30="","",INDEX(Sheet!F$2:F$7967,$A30))</f>
        <v/>
      </c>
      <c r="G30" s="32" t="str">
        <f ca="1">IF($A30="","",INDEX(Sheet!I$2:I$7967,$A30))</f>
        <v/>
      </c>
      <c r="H30" s="32" t="str">
        <f ca="1">IF($A30="","",INDEX(Sheet!L$2:L$7967,$A30))</f>
        <v/>
      </c>
      <c r="I30" s="32" t="str">
        <f ca="1">IF($A30="","",INDEX(Sheet!N$2:N$7967,$A30))</f>
        <v/>
      </c>
      <c r="J30" s="53" t="str">
        <f ca="1">IF($A30="","",INDEX(Sheet!AS$2:AS$7967,$A30))</f>
        <v/>
      </c>
      <c r="K30" s="33" t="str">
        <f ca="1">IF($A30="","",IF(INDEX(Sheet!S$2:S$7967,$A30)="","",INDEX(Sheet!S$2:S$7967,$A30)))</f>
        <v/>
      </c>
      <c r="L30" s="33" t="str">
        <f ca="1">IF($A30="","",IF(INDEX(Sheet!R$2:R$7967,$A30)="","",INDEX(Sheet!R$2:R$7967,$A30)))</f>
        <v/>
      </c>
      <c r="M30" s="33" t="str">
        <f ca="1">IF($A30="","",IF(INDEX(Sheet!AO$2:AO$7967,$A30)="","",INDEX(Sheet!AO$2:AO$7967,$A30)))</f>
        <v/>
      </c>
      <c r="N30" s="33" t="str">
        <f ca="1">IF($A30="","",IF(INDEX(Sheet!T$2:T$7967,$A30)="","",INDEX(Sheet!T$2:T$7967,$A30)))</f>
        <v/>
      </c>
      <c r="O30" s="33" t="str">
        <f ca="1">IF($A30="","",IF(INDEX(Sheet!U$2:U$7967,$A30)="","",INDEX(Sheet!U$2:U$7967,$A30)))</f>
        <v/>
      </c>
      <c r="P30" s="33" t="str">
        <f ca="1">IF($A30="","",IF(INDEX(Sheet!W$2:W$7967,$A30)="","",INDEX(Sheet!W$2:W$7967,$A30)))</f>
        <v/>
      </c>
      <c r="Q30" s="33" t="str">
        <f ca="1">IF($A30="","",IF(INDEX(Sheet!V$2:V$7967,$A30)="","",INDEX(Sheet!V$2:V$7967,$A30)))</f>
        <v/>
      </c>
      <c r="R30" s="33" t="str">
        <f ca="1">IF($A30="","",IF(INDEX(Sheet!Z$2:Z$7967,$A30)="","",INDEX(Sheet!Z$2:Z$7967,$A30)))</f>
        <v/>
      </c>
      <c r="S30" s="33" t="str">
        <f ca="1">IF($A30="","",IF(INDEX(Sheet!Y$2:Y$7967,$A30)="","",INDEX(Sheet!Y$2:Y$7967,$A30)))</f>
        <v/>
      </c>
      <c r="T30" s="33" t="str">
        <f ca="1">IF($A30="","",IF(INDEX(Sheet!X$2:X$7967,$A30)="","",INDEX(Sheet!X$2:X$7967,$A30)))</f>
        <v/>
      </c>
      <c r="U30" s="33" t="str">
        <f ca="1">IF($A30="","",IF(INDEX(Sheet!AA$2:AA$7967,$A30)="","",INDEX(Sheet!AA$2:AA$7967,$A30)))</f>
        <v/>
      </c>
      <c r="V30" s="33" t="str">
        <f ca="1">IF($A30="","",IF(INDEX(Sheet!AB$2:AB$7967,$A30)="","",INDEX(Sheet!AB$2:AB$7967,$A30)))</f>
        <v/>
      </c>
      <c r="W30" s="33" t="str">
        <f ca="1">IF($A30="","",IF(INDEX(Sheet!AH$2:AH$7967,$A30)="","",INDEX(Sheet!AH$2:AH$7967,$A30)))</f>
        <v/>
      </c>
      <c r="X30" s="33" t="str">
        <f ca="1">IF($A30="","",IF(INDEX(Sheet!AC$2:AC$7967,$A30)="","",INDEX(Sheet!AC$2:AC$7967,$A30)))</f>
        <v/>
      </c>
      <c r="Y30" s="33" t="str">
        <f ca="1">IF($A30="","",IF(INDEX(Sheet!AD$2:AD$7967,$A30)="","",INDEX(Sheet!AD$2:AD$7967,$A30)))</f>
        <v/>
      </c>
      <c r="Z30" s="33" t="str">
        <f ca="1">IF($A30="","",IF(INDEX(Sheet!AL$2:AL$7967,$A30)="","",INDEX(Sheet!AL$2:AL$7967,$A30)))</f>
        <v/>
      </c>
      <c r="AA30" s="33" t="str">
        <f ca="1">IF($A30="","",IF(INDEX(Sheet!AE$2:AE$7967,$A30)="","",INDEX(Sheet!AE$2:AE$7967,$A30)))</f>
        <v/>
      </c>
      <c r="AB30" s="33" t="str">
        <f ca="1">IF($A30="","",IF(INDEX(Sheet!AF$2:AF$7967,$A30)="","",INDEX(Sheet!AF$2:AF$7967,$A30)))</f>
        <v/>
      </c>
      <c r="AC30" s="33" t="str">
        <f ca="1">IF($A30="","",IF(INDEX(Sheet!AG$2:AG$7967,$A30)="","",INDEX(Sheet!AG$2:AG$7967,$A30)))</f>
        <v/>
      </c>
      <c r="AD30" s="33" t="str">
        <f ca="1">IF($A30="","",IF(INDEX(Sheet!AM$2:AM$7967,$A30)="","",INDEX(Sheet!AM$2:AM$7967,$A30)))</f>
        <v/>
      </c>
      <c r="AE30" s="33" t="str">
        <f ca="1">IF($A30="","",IF(INDEX(Sheet!AJ$2:AJ$7967,$A30)="","",INDEX(Sheet!AJ$2:AJ$7967,$A30)))</f>
        <v/>
      </c>
      <c r="AF30" s="33" t="str">
        <f ca="1">IF($A30="","",IF(INDEX(Sheet!AI$2:AI$7967,$A30)="","",INDEX(Sheet!AI$2:AI$7967,$A30)))</f>
        <v/>
      </c>
      <c r="AG30" s="33" t="str">
        <f ca="1">IF(D30="duyệt sản xuất"," Bảo Bảo, Ngày "&amp;DAY($J$4)&amp;" Tháng "&amp;MONTH($J$4)&amp;" Năm "&amp;YEAR($J$4),IF(D30="Phê duyệt","NGƯỜI LẬP",IF(D30="Nguyễn Ngọc Thắng","NGUYỄN THỊ MAI",IF($A30="","",INDEX(Sheet!AK$2:AK$7967,$A30)))))</f>
        <v/>
      </c>
      <c r="AH30" s="58" t="str">
        <f ca="1">IF($A30="","",INDEX(Sheet!AR$2:AR$7967,$A30)&amp;" ; "&amp;INDEX(Sheet!M$2:M$7967,$A30))</f>
        <v/>
      </c>
      <c r="AI30" s="1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G30" s="35" t="str">
        <f ca="1">IFERROR(VALUE(separ(INDEX(Sheet!Q$2:Q$7967,$A30),"-",1)),"")</f>
        <v/>
      </c>
      <c r="BH30" s="35" t="str">
        <f ca="1">IFERROR(VALUE(separ(INDEX(Sheet!R$2:R$7967,$A30),"-",1)),"")</f>
        <v/>
      </c>
      <c r="BI30" s="35" t="str">
        <f ca="1">IFERROR(VALUE(separ(INDEX(Sheet!S$2:S$7967,$A30),"-",1)),"")</f>
        <v/>
      </c>
      <c r="BJ30" s="35" t="str">
        <f ca="1">IFERROR(VALUE(separ(INDEX(Sheet!T$2:T$7967,$A30),"-",1)),"")</f>
        <v/>
      </c>
      <c r="BK30" s="35" t="str">
        <f ca="1">IFERROR(VALUE(separ(INDEX(Sheet!U$2:U$7967,$A30),"-",1)),"")</f>
        <v/>
      </c>
      <c r="BL30" s="35" t="str">
        <f ca="1">IFERROR(VALUE(separ(INDEX(Sheet!V$2:V$7967,$A30),"-",1)),"")</f>
        <v/>
      </c>
      <c r="BM30" s="35" t="str">
        <f ca="1">IFERROR(VALUE(separ(INDEX(Sheet!W$2:W$7967,$A30),"-",1)),"")</f>
        <v/>
      </c>
      <c r="BN30" s="35" t="str">
        <f ca="1">IFERROR(VALUE(separ(INDEX(Sheet!X$2:X$7967,$A30),"-",1)),"")</f>
        <v/>
      </c>
      <c r="BO30" s="35" t="str">
        <f ca="1">IFERROR(VALUE(separ(INDEX(Sheet!Y$2:Y$7967,$A30),"-",1)),"")</f>
        <v/>
      </c>
      <c r="BP30" s="35" t="str">
        <f ca="1">IFERROR(VALUE(separ(INDEX(Sheet!Z$2:Z$7967,$A30),"-",1)),"")</f>
        <v/>
      </c>
      <c r="BQ30" s="35" t="str">
        <f ca="1">IFERROR(VALUE(separ(INDEX(Sheet!AA$2:AA$7967,$A30),"-",1)),"")</f>
        <v/>
      </c>
      <c r="BR30" s="35" t="str">
        <f ca="1">IFERROR(VALUE(separ(INDEX(Sheet!AB$2:AB$7967,$A30),"-",1)),"")</f>
        <v/>
      </c>
      <c r="BS30" s="35" t="str">
        <f ca="1">IFERROR(VALUE(separ(INDEX(Sheet!AC$2:AC$7967,$A30),"-",1)),"")</f>
        <v/>
      </c>
      <c r="BT30" s="35" t="str">
        <f ca="1">IFERROR(VALUE(separ(INDEX(Sheet!AD$2:AD$7967,$A30),"-",1)),"")</f>
        <v/>
      </c>
      <c r="BU30" s="35" t="str">
        <f ca="1">IFERROR(VALUE(separ(INDEX(Sheet!AE$2:AE$7967,$A30),"-",1)),"")</f>
        <v/>
      </c>
      <c r="BV30" s="35"/>
      <c r="BW30" s="35" t="str">
        <f ca="1">IFERROR((separ(INDEX(Sheet!Q$2:Q$7967,$A30),"-",2)),"")</f>
        <v/>
      </c>
      <c r="BX30" s="35" t="str">
        <f ca="1">IFERROR((separ(INDEX(Sheet!R$2:R$7967,$A30),"-",2)),"")</f>
        <v/>
      </c>
      <c r="BY30" s="35" t="str">
        <f ca="1">IFERROR((separ(INDEX(Sheet!S$2:S$7967,$A30),"-",2)),"")</f>
        <v/>
      </c>
      <c r="BZ30" s="35" t="str">
        <f ca="1">IFERROR((separ(INDEX(Sheet!T$2:T$7967,$A30),"-",2)),"")</f>
        <v/>
      </c>
      <c r="CA30" s="35" t="str">
        <f ca="1">IFERROR((separ(INDEX(Sheet!U$2:U$7967,$A30),"-",2)),"")</f>
        <v/>
      </c>
      <c r="CB30" s="35" t="str">
        <f ca="1">IFERROR((separ(INDEX(Sheet!V$2:V$7967,$A30),"-",2)),"")</f>
        <v/>
      </c>
      <c r="CC30" s="35" t="str">
        <f ca="1">IFERROR((separ(INDEX(Sheet!W$2:W$7967,$A30),"-",2)),"")</f>
        <v/>
      </c>
      <c r="CD30" s="35" t="str">
        <f ca="1">IFERROR((separ(INDEX(Sheet!X$2:X$7967,$A30),"-",2)),"")</f>
        <v/>
      </c>
      <c r="CE30" s="35" t="str">
        <f ca="1">IFERROR((separ(INDEX(Sheet!Y$2:Y$7967,$A30),"-",2)),"")</f>
        <v/>
      </c>
      <c r="CF30" s="35" t="str">
        <f ca="1">IFERROR((separ(INDEX(Sheet!Z$2:Z$7967,$A30),"-",2)),"")</f>
        <v/>
      </c>
      <c r="CG30" s="35" t="str">
        <f ca="1">IFERROR((separ(INDEX(Sheet!AA$2:AA$7967,$A30),"-",2)),"")</f>
        <v/>
      </c>
      <c r="CH30" s="35" t="str">
        <f ca="1">IFERROR((separ(INDEX(Sheet!AB$2:AB$7967,$A30),"-",2)),"")</f>
        <v/>
      </c>
      <c r="CI30" s="35" t="str">
        <f ca="1">IFERROR((separ(INDEX(Sheet!AC$2:AC$7967,$A30),"-",2)),"")</f>
        <v/>
      </c>
      <c r="CJ30" s="35" t="str">
        <f ca="1">IFERROR((separ(INDEX(Sheet!AD$2:AD$7967,$A30),"-",2)),"")</f>
        <v/>
      </c>
      <c r="CK30" s="35" t="str">
        <f ca="1">IFERROR((separ(INDEX(Sheet!AE$2:AE$7967,$A30),"-",2)),"")</f>
        <v/>
      </c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</row>
    <row r="31" spans="1:104" s="29" customFormat="1">
      <c r="A31" s="45" t="str">
        <f ca="1">IFERROR(MATCH($B$3,OFFSET(Sheet!$D$2,A30,0):'Sheet'!$D$7657,0)+A30,"")</f>
        <v/>
      </c>
      <c r="B31" s="29" t="str">
        <f ca="1">IF(ROW(A24)&lt;=COUNT($A$6:$A$800),INDEX(Sheet!$A$2:$A$7967,$A31),IF(ROW(A24)=COUNT($A$6:$A$800)+1," ",IF(ROW(A24)=COUNT($A$6:$A$800)+2,"  ","")))</f>
        <v/>
      </c>
      <c r="C31" s="67" t="str">
        <f ca="1">IF($A31="","",INDEX(Sheet!E$2:E$7967,$A31))</f>
        <v/>
      </c>
      <c r="D31" s="31" t="str">
        <f ca="1">IF(B28=" ",$AR$1,IF(B31=" ",$AQ$1,IF(A31="","",INDEX(Sheet!G$2:G$7967,$A31))))</f>
        <v/>
      </c>
      <c r="E31" s="32" t="str">
        <f ca="1">IF($A31="","",TEXT(INDEX(Sheet!J$2:J$7967,$A31),"#,#")&amp;" "&amp;INDEX(Sheet!AT$2:AT$7967,$A31))</f>
        <v/>
      </c>
      <c r="F31" s="53" t="str">
        <f ca="1">IF($A31="","",INDEX(Sheet!F$2:F$7967,$A31))</f>
        <v/>
      </c>
      <c r="G31" s="32" t="str">
        <f ca="1">IF($A31="","",INDEX(Sheet!I$2:I$7967,$A31))</f>
        <v/>
      </c>
      <c r="H31" s="32" t="str">
        <f ca="1">IF($A31="","",INDEX(Sheet!L$2:L$7967,$A31))</f>
        <v/>
      </c>
      <c r="I31" s="32" t="str">
        <f ca="1">IF($A31="","",INDEX(Sheet!N$2:N$7967,$A31))</f>
        <v/>
      </c>
      <c r="J31" s="53" t="str">
        <f ca="1">IF($A31="","",INDEX(Sheet!AS$2:AS$7967,$A31))</f>
        <v/>
      </c>
      <c r="K31" s="33" t="str">
        <f ca="1">IF($A31="","",IF(INDEX(Sheet!S$2:S$7967,$A31)="","",INDEX(Sheet!S$2:S$7967,$A31)))</f>
        <v/>
      </c>
      <c r="L31" s="33" t="str">
        <f ca="1">IF($A31="","",IF(INDEX(Sheet!R$2:R$7967,$A31)="","",INDEX(Sheet!R$2:R$7967,$A31)))</f>
        <v/>
      </c>
      <c r="M31" s="33" t="str">
        <f ca="1">IF($A31="","",IF(INDEX(Sheet!AO$2:AO$7967,$A31)="","",INDEX(Sheet!AO$2:AO$7967,$A31)))</f>
        <v/>
      </c>
      <c r="N31" s="33" t="str">
        <f ca="1">IF($A31="","",IF(INDEX(Sheet!T$2:T$7967,$A31)="","",INDEX(Sheet!T$2:T$7967,$A31)))</f>
        <v/>
      </c>
      <c r="O31" s="33" t="str">
        <f ca="1">IF($A31="","",IF(INDEX(Sheet!U$2:U$7967,$A31)="","",INDEX(Sheet!U$2:U$7967,$A31)))</f>
        <v/>
      </c>
      <c r="P31" s="33" t="str">
        <f ca="1">IF($A31="","",IF(INDEX(Sheet!W$2:W$7967,$A31)="","",INDEX(Sheet!W$2:W$7967,$A31)))</f>
        <v/>
      </c>
      <c r="Q31" s="33" t="str">
        <f ca="1">IF($A31="","",IF(INDEX(Sheet!V$2:V$7967,$A31)="","",INDEX(Sheet!V$2:V$7967,$A31)))</f>
        <v/>
      </c>
      <c r="R31" s="33" t="str">
        <f ca="1">IF($A31="","",IF(INDEX(Sheet!Z$2:Z$7967,$A31)="","",INDEX(Sheet!Z$2:Z$7967,$A31)))</f>
        <v/>
      </c>
      <c r="S31" s="33" t="str">
        <f ca="1">IF($A31="","",IF(INDEX(Sheet!Y$2:Y$7967,$A31)="","",INDEX(Sheet!Y$2:Y$7967,$A31)))</f>
        <v/>
      </c>
      <c r="T31" s="33" t="str">
        <f ca="1">IF($A31="","",IF(INDEX(Sheet!X$2:X$7967,$A31)="","",INDEX(Sheet!X$2:X$7967,$A31)))</f>
        <v/>
      </c>
      <c r="U31" s="33" t="str">
        <f ca="1">IF($A31="","",IF(INDEX(Sheet!AA$2:AA$7967,$A31)="","",INDEX(Sheet!AA$2:AA$7967,$A31)))</f>
        <v/>
      </c>
      <c r="V31" s="33" t="str">
        <f ca="1">IF($A31="","",IF(INDEX(Sheet!AB$2:AB$7967,$A31)="","",INDEX(Sheet!AB$2:AB$7967,$A31)))</f>
        <v/>
      </c>
      <c r="W31" s="33" t="str">
        <f ca="1">IF($A31="","",IF(INDEX(Sheet!AH$2:AH$7967,$A31)="","",INDEX(Sheet!AH$2:AH$7967,$A31)))</f>
        <v/>
      </c>
      <c r="X31" s="33" t="str">
        <f ca="1">IF($A31="","",IF(INDEX(Sheet!AC$2:AC$7967,$A31)="","",INDEX(Sheet!AC$2:AC$7967,$A31)))</f>
        <v/>
      </c>
      <c r="Y31" s="33" t="str">
        <f ca="1">IF($A31="","",IF(INDEX(Sheet!AD$2:AD$7967,$A31)="","",INDEX(Sheet!AD$2:AD$7967,$A31)))</f>
        <v/>
      </c>
      <c r="Z31" s="33" t="str">
        <f ca="1">IF($A31="","",IF(INDEX(Sheet!AL$2:AL$7967,$A31)="","",INDEX(Sheet!AL$2:AL$7967,$A31)))</f>
        <v/>
      </c>
      <c r="AA31" s="33" t="str">
        <f ca="1">IF($A31="","",IF(INDEX(Sheet!AE$2:AE$7967,$A31)="","",INDEX(Sheet!AE$2:AE$7967,$A31)))</f>
        <v/>
      </c>
      <c r="AB31" s="33" t="str">
        <f ca="1">IF($A31="","",IF(INDEX(Sheet!AF$2:AF$7967,$A31)="","",INDEX(Sheet!AF$2:AF$7967,$A31)))</f>
        <v/>
      </c>
      <c r="AC31" s="33" t="str">
        <f ca="1">IF($A31="","",IF(INDEX(Sheet!AG$2:AG$7967,$A31)="","",INDEX(Sheet!AG$2:AG$7967,$A31)))</f>
        <v/>
      </c>
      <c r="AD31" s="33" t="str">
        <f ca="1">IF($A31="","",IF(INDEX(Sheet!AM$2:AM$7967,$A31)="","",INDEX(Sheet!AM$2:AM$7967,$A31)))</f>
        <v/>
      </c>
      <c r="AE31" s="33" t="str">
        <f ca="1">IF($A31="","",IF(INDEX(Sheet!AJ$2:AJ$7967,$A31)="","",INDEX(Sheet!AJ$2:AJ$7967,$A31)))</f>
        <v/>
      </c>
      <c r="AF31" s="33" t="str">
        <f ca="1">IF($A31="","",IF(INDEX(Sheet!AI$2:AI$7967,$A31)="","",INDEX(Sheet!AI$2:AI$7967,$A31)))</f>
        <v/>
      </c>
      <c r="AG31" s="33" t="str">
        <f ca="1">IF(D31="duyệt sản xuất"," Bảo Bảo, Ngày "&amp;DAY($J$4)&amp;" Tháng "&amp;MONTH($J$4)&amp;" Năm "&amp;YEAR($J$4),IF(D31="Phê duyệt","NGƯỜI LẬP",IF(D31="Nguyễn Ngọc Thắng","NGUYỄN THỊ MAI",IF($A31="","",INDEX(Sheet!AK$2:AK$7967,$A31)))))</f>
        <v/>
      </c>
      <c r="AH31" s="58" t="str">
        <f ca="1">IF($A31="","",INDEX(Sheet!AR$2:AR$7967,$A31)&amp;" ; "&amp;INDEX(Sheet!M$2:M$7967,$A31))</f>
        <v/>
      </c>
      <c r="AI31" s="1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G31" s="35" t="str">
        <f ca="1">IFERROR(VALUE(separ(INDEX(Sheet!Q$2:Q$7967,$A31),"-",1)),"")</f>
        <v/>
      </c>
      <c r="BH31" s="35" t="str">
        <f ca="1">IFERROR(VALUE(separ(INDEX(Sheet!R$2:R$7967,$A31),"-",1)),"")</f>
        <v/>
      </c>
      <c r="BI31" s="35" t="str">
        <f ca="1">IFERROR(VALUE(separ(INDEX(Sheet!S$2:S$7967,$A31),"-",1)),"")</f>
        <v/>
      </c>
      <c r="BJ31" s="35" t="str">
        <f ca="1">IFERROR(VALUE(separ(INDEX(Sheet!T$2:T$7967,$A31),"-",1)),"")</f>
        <v/>
      </c>
      <c r="BK31" s="35" t="str">
        <f ca="1">IFERROR(VALUE(separ(INDEX(Sheet!U$2:U$7967,$A31),"-",1)),"")</f>
        <v/>
      </c>
      <c r="BL31" s="35" t="str">
        <f ca="1">IFERROR(VALUE(separ(INDEX(Sheet!V$2:V$7967,$A31),"-",1)),"")</f>
        <v/>
      </c>
      <c r="BM31" s="35" t="str">
        <f ca="1">IFERROR(VALUE(separ(INDEX(Sheet!W$2:W$7967,$A31),"-",1)),"")</f>
        <v/>
      </c>
      <c r="BN31" s="35" t="str">
        <f ca="1">IFERROR(VALUE(separ(INDEX(Sheet!X$2:X$7967,$A31),"-",1)),"")</f>
        <v/>
      </c>
      <c r="BO31" s="35" t="str">
        <f ca="1">IFERROR(VALUE(separ(INDEX(Sheet!Y$2:Y$7967,$A31),"-",1)),"")</f>
        <v/>
      </c>
      <c r="BP31" s="35" t="str">
        <f ca="1">IFERROR(VALUE(separ(INDEX(Sheet!Z$2:Z$7967,$A31),"-",1)),"")</f>
        <v/>
      </c>
      <c r="BQ31" s="35" t="str">
        <f ca="1">IFERROR(VALUE(separ(INDEX(Sheet!AA$2:AA$7967,$A31),"-",1)),"")</f>
        <v/>
      </c>
      <c r="BR31" s="35" t="str">
        <f ca="1">IFERROR(VALUE(separ(INDEX(Sheet!AB$2:AB$7967,$A31),"-",1)),"")</f>
        <v/>
      </c>
      <c r="BS31" s="35" t="str">
        <f ca="1">IFERROR(VALUE(separ(INDEX(Sheet!AC$2:AC$7967,$A31),"-",1)),"")</f>
        <v/>
      </c>
      <c r="BT31" s="35" t="str">
        <f ca="1">IFERROR(VALUE(separ(INDEX(Sheet!AD$2:AD$7967,$A31),"-",1)),"")</f>
        <v/>
      </c>
      <c r="BU31" s="35" t="str">
        <f ca="1">IFERROR(VALUE(separ(INDEX(Sheet!AE$2:AE$7967,$A31),"-",1)),"")</f>
        <v/>
      </c>
      <c r="BV31" s="35"/>
      <c r="BW31" s="35" t="str">
        <f ca="1">IFERROR((separ(INDEX(Sheet!Q$2:Q$7967,$A31),"-",2)),"")</f>
        <v/>
      </c>
      <c r="BX31" s="35" t="str">
        <f ca="1">IFERROR((separ(INDEX(Sheet!R$2:R$7967,$A31),"-",2)),"")</f>
        <v/>
      </c>
      <c r="BY31" s="35" t="str">
        <f ca="1">IFERROR((separ(INDEX(Sheet!S$2:S$7967,$A31),"-",2)),"")</f>
        <v/>
      </c>
      <c r="BZ31" s="35" t="str">
        <f ca="1">IFERROR((separ(INDEX(Sheet!T$2:T$7967,$A31),"-",2)),"")</f>
        <v/>
      </c>
      <c r="CA31" s="35" t="str">
        <f ca="1">IFERROR((separ(INDEX(Sheet!U$2:U$7967,$A31),"-",2)),"")</f>
        <v/>
      </c>
      <c r="CB31" s="35" t="str">
        <f ca="1">IFERROR((separ(INDEX(Sheet!V$2:V$7967,$A31),"-",2)),"")</f>
        <v/>
      </c>
      <c r="CC31" s="35" t="str">
        <f ca="1">IFERROR((separ(INDEX(Sheet!W$2:W$7967,$A31),"-",2)),"")</f>
        <v/>
      </c>
      <c r="CD31" s="35" t="str">
        <f ca="1">IFERROR((separ(INDEX(Sheet!X$2:X$7967,$A31),"-",2)),"")</f>
        <v/>
      </c>
      <c r="CE31" s="35" t="str">
        <f ca="1">IFERROR((separ(INDEX(Sheet!Y$2:Y$7967,$A31),"-",2)),"")</f>
        <v/>
      </c>
      <c r="CF31" s="35" t="str">
        <f ca="1">IFERROR((separ(INDEX(Sheet!Z$2:Z$7967,$A31),"-",2)),"")</f>
        <v/>
      </c>
      <c r="CG31" s="35" t="str">
        <f ca="1">IFERROR((separ(INDEX(Sheet!AA$2:AA$7967,$A31),"-",2)),"")</f>
        <v/>
      </c>
      <c r="CH31" s="35" t="str">
        <f ca="1">IFERROR((separ(INDEX(Sheet!AB$2:AB$7967,$A31),"-",2)),"")</f>
        <v/>
      </c>
      <c r="CI31" s="35" t="str">
        <f ca="1">IFERROR((separ(INDEX(Sheet!AC$2:AC$7967,$A31),"-",2)),"")</f>
        <v/>
      </c>
      <c r="CJ31" s="35" t="str">
        <f ca="1">IFERROR((separ(INDEX(Sheet!AD$2:AD$7967,$A31),"-",2)),"")</f>
        <v/>
      </c>
      <c r="CK31" s="35" t="str">
        <f ca="1">IFERROR((separ(INDEX(Sheet!AE$2:AE$7967,$A31),"-",2)),"")</f>
        <v/>
      </c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</row>
    <row r="32" spans="1:104" s="29" customFormat="1">
      <c r="A32" s="45" t="str">
        <f ca="1">IFERROR(MATCH($B$3,OFFSET(Sheet!$D$2,A31,0):'Sheet'!$D$7657,0)+A31,"")</f>
        <v/>
      </c>
      <c r="B32" s="29" t="str">
        <f ca="1">IF(ROW(A25)&lt;=COUNT($A$6:$A$800),INDEX(Sheet!$A$2:$A$7967,$A32),IF(ROW(A25)=COUNT($A$6:$A$800)+1," ",IF(ROW(A25)=COUNT($A$6:$A$800)+2,"  ","")))</f>
        <v/>
      </c>
      <c r="C32" s="67" t="str">
        <f ca="1">IF($A32="","",INDEX(Sheet!E$2:E$7967,$A32))</f>
        <v/>
      </c>
      <c r="D32" s="31" t="str">
        <f ca="1">IF(B29=" ",$AR$1,IF(B32=" ",$AQ$1,IF(A32="","",INDEX(Sheet!G$2:G$7967,$A32))))</f>
        <v/>
      </c>
      <c r="E32" s="32" t="str">
        <f ca="1">IF($A32="","",TEXT(INDEX(Sheet!J$2:J$7967,$A32),"#,#")&amp;" "&amp;INDEX(Sheet!AT$2:AT$7967,$A32))</f>
        <v/>
      </c>
      <c r="F32" s="53" t="str">
        <f ca="1">IF($A32="","",INDEX(Sheet!F$2:F$7967,$A32))</f>
        <v/>
      </c>
      <c r="G32" s="32" t="str">
        <f ca="1">IF($A32="","",INDEX(Sheet!I$2:I$7967,$A32))</f>
        <v/>
      </c>
      <c r="H32" s="32" t="str">
        <f ca="1">IF($A32="","",INDEX(Sheet!L$2:L$7967,$A32))</f>
        <v/>
      </c>
      <c r="I32" s="32" t="str">
        <f ca="1">IF($A32="","",INDEX(Sheet!N$2:N$7967,$A32))</f>
        <v/>
      </c>
      <c r="J32" s="53" t="str">
        <f ca="1">IF($A32="","",INDEX(Sheet!AS$2:AS$7967,$A32))</f>
        <v/>
      </c>
      <c r="K32" s="33" t="str">
        <f ca="1">IF($A32="","",IF(INDEX(Sheet!S$2:S$7967,$A32)="","",INDEX(Sheet!S$2:S$7967,$A32)))</f>
        <v/>
      </c>
      <c r="L32" s="33" t="str">
        <f ca="1">IF($A32="","",IF(INDEX(Sheet!R$2:R$7967,$A32)="","",INDEX(Sheet!R$2:R$7967,$A32)))</f>
        <v/>
      </c>
      <c r="M32" s="33" t="str">
        <f ca="1">IF($A32="","",IF(INDEX(Sheet!AO$2:AO$7967,$A32)="","",INDEX(Sheet!AO$2:AO$7967,$A32)))</f>
        <v/>
      </c>
      <c r="N32" s="33" t="str">
        <f ca="1">IF($A32="","",IF(INDEX(Sheet!T$2:T$7967,$A32)="","",INDEX(Sheet!T$2:T$7967,$A32)))</f>
        <v/>
      </c>
      <c r="O32" s="33" t="str">
        <f ca="1">IF($A32="","",IF(INDEX(Sheet!U$2:U$7967,$A32)="","",INDEX(Sheet!U$2:U$7967,$A32)))</f>
        <v/>
      </c>
      <c r="P32" s="33" t="str">
        <f ca="1">IF($A32="","",IF(INDEX(Sheet!W$2:W$7967,$A32)="","",INDEX(Sheet!W$2:W$7967,$A32)))</f>
        <v/>
      </c>
      <c r="Q32" s="33" t="str">
        <f ca="1">IF($A32="","",IF(INDEX(Sheet!V$2:V$7967,$A32)="","",INDEX(Sheet!V$2:V$7967,$A32)))</f>
        <v/>
      </c>
      <c r="R32" s="33" t="str">
        <f ca="1">IF($A32="","",IF(INDEX(Sheet!Z$2:Z$7967,$A32)="","",INDEX(Sheet!Z$2:Z$7967,$A32)))</f>
        <v/>
      </c>
      <c r="S32" s="33" t="str">
        <f ca="1">IF($A32="","",IF(INDEX(Sheet!Y$2:Y$7967,$A32)="","",INDEX(Sheet!Y$2:Y$7967,$A32)))</f>
        <v/>
      </c>
      <c r="T32" s="33" t="str">
        <f ca="1">IF($A32="","",IF(INDEX(Sheet!X$2:X$7967,$A32)="","",INDEX(Sheet!X$2:X$7967,$A32)))</f>
        <v/>
      </c>
      <c r="U32" s="33" t="str">
        <f ca="1">IF($A32="","",IF(INDEX(Sheet!AA$2:AA$7967,$A32)="","",INDEX(Sheet!AA$2:AA$7967,$A32)))</f>
        <v/>
      </c>
      <c r="V32" s="33" t="str">
        <f ca="1">IF($A32="","",IF(INDEX(Sheet!AB$2:AB$7967,$A32)="","",INDEX(Sheet!AB$2:AB$7967,$A32)))</f>
        <v/>
      </c>
      <c r="W32" s="33" t="str">
        <f ca="1">IF($A32="","",IF(INDEX(Sheet!AH$2:AH$7967,$A32)="","",INDEX(Sheet!AH$2:AH$7967,$A32)))</f>
        <v/>
      </c>
      <c r="X32" s="33" t="str">
        <f ca="1">IF($A32="","",IF(INDEX(Sheet!AC$2:AC$7967,$A32)="","",INDEX(Sheet!AC$2:AC$7967,$A32)))</f>
        <v/>
      </c>
      <c r="Y32" s="33" t="str">
        <f ca="1">IF($A32="","",IF(INDEX(Sheet!AD$2:AD$7967,$A32)="","",INDEX(Sheet!AD$2:AD$7967,$A32)))</f>
        <v/>
      </c>
      <c r="Z32" s="33" t="str">
        <f ca="1">IF($A32="","",IF(INDEX(Sheet!AL$2:AL$7967,$A32)="","",INDEX(Sheet!AL$2:AL$7967,$A32)))</f>
        <v/>
      </c>
      <c r="AA32" s="33" t="str">
        <f ca="1">IF($A32="","",IF(INDEX(Sheet!AE$2:AE$7967,$A32)="","",INDEX(Sheet!AE$2:AE$7967,$A32)))</f>
        <v/>
      </c>
      <c r="AB32" s="33" t="str">
        <f ca="1">IF($A32="","",IF(INDEX(Sheet!AF$2:AF$7967,$A32)="","",INDEX(Sheet!AF$2:AF$7967,$A32)))</f>
        <v/>
      </c>
      <c r="AC32" s="33" t="str">
        <f ca="1">IF($A32="","",IF(INDEX(Sheet!AG$2:AG$7967,$A32)="","",INDEX(Sheet!AG$2:AG$7967,$A32)))</f>
        <v/>
      </c>
      <c r="AD32" s="33" t="str">
        <f ca="1">IF($A32="","",IF(INDEX(Sheet!AM$2:AM$7967,$A32)="","",INDEX(Sheet!AM$2:AM$7967,$A32)))</f>
        <v/>
      </c>
      <c r="AE32" s="33" t="str">
        <f ca="1">IF($A32="","",IF(INDEX(Sheet!AJ$2:AJ$7967,$A32)="","",INDEX(Sheet!AJ$2:AJ$7967,$A32)))</f>
        <v/>
      </c>
      <c r="AF32" s="33" t="str">
        <f ca="1">IF($A32="","",IF(INDEX(Sheet!AI$2:AI$7967,$A32)="","",INDEX(Sheet!AI$2:AI$7967,$A32)))</f>
        <v/>
      </c>
      <c r="AG32" s="33" t="str">
        <f ca="1">IF(D32="duyệt sản xuất"," Bảo Bảo, Ngày "&amp;DAY($J$4)&amp;" Tháng "&amp;MONTH($J$4)&amp;" Năm "&amp;YEAR($J$4),IF(D32="Phê duyệt","NGƯỜI LẬP",IF(D32="Nguyễn Ngọc Thắng","NGUYỄN THỊ MAI",IF($A32="","",INDEX(Sheet!AK$2:AK$7967,$A32)))))</f>
        <v/>
      </c>
      <c r="AH32" s="58" t="str">
        <f ca="1">IF($A32="","",INDEX(Sheet!AR$2:AR$7967,$A32)&amp;" ; "&amp;INDEX(Sheet!M$2:M$7967,$A32))</f>
        <v/>
      </c>
      <c r="AI32" s="1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G32" s="35" t="str">
        <f ca="1">IFERROR(VALUE(separ(INDEX(Sheet!Q$2:Q$7967,$A32),"-",1)),"")</f>
        <v/>
      </c>
      <c r="BH32" s="35" t="str">
        <f ca="1">IFERROR(VALUE(separ(INDEX(Sheet!R$2:R$7967,$A32),"-",1)),"")</f>
        <v/>
      </c>
      <c r="BI32" s="35" t="str">
        <f ca="1">IFERROR(VALUE(separ(INDEX(Sheet!S$2:S$7967,$A32),"-",1)),"")</f>
        <v/>
      </c>
      <c r="BJ32" s="35" t="str">
        <f ca="1">IFERROR(VALUE(separ(INDEX(Sheet!T$2:T$7967,$A32),"-",1)),"")</f>
        <v/>
      </c>
      <c r="BK32" s="35" t="str">
        <f ca="1">IFERROR(VALUE(separ(INDEX(Sheet!U$2:U$7967,$A32),"-",1)),"")</f>
        <v/>
      </c>
      <c r="BL32" s="35" t="str">
        <f ca="1">IFERROR(VALUE(separ(INDEX(Sheet!V$2:V$7967,$A32),"-",1)),"")</f>
        <v/>
      </c>
      <c r="BM32" s="35" t="str">
        <f ca="1">IFERROR(VALUE(separ(INDEX(Sheet!W$2:W$7967,$A32),"-",1)),"")</f>
        <v/>
      </c>
      <c r="BN32" s="35" t="str">
        <f ca="1">IFERROR(VALUE(separ(INDEX(Sheet!X$2:X$7967,$A32),"-",1)),"")</f>
        <v/>
      </c>
      <c r="BO32" s="35" t="str">
        <f ca="1">IFERROR(VALUE(separ(INDEX(Sheet!Y$2:Y$7967,$A32),"-",1)),"")</f>
        <v/>
      </c>
      <c r="BP32" s="35" t="str">
        <f ca="1">IFERROR(VALUE(separ(INDEX(Sheet!Z$2:Z$7967,$A32),"-",1)),"")</f>
        <v/>
      </c>
      <c r="BQ32" s="35" t="str">
        <f ca="1">IFERROR(VALUE(separ(INDEX(Sheet!AA$2:AA$7967,$A32),"-",1)),"")</f>
        <v/>
      </c>
      <c r="BR32" s="35" t="str">
        <f ca="1">IFERROR(VALUE(separ(INDEX(Sheet!AB$2:AB$7967,$A32),"-",1)),"")</f>
        <v/>
      </c>
      <c r="BS32" s="35" t="str">
        <f ca="1">IFERROR(VALUE(separ(INDEX(Sheet!AC$2:AC$7967,$A32),"-",1)),"")</f>
        <v/>
      </c>
      <c r="BT32" s="35" t="str">
        <f ca="1">IFERROR(VALUE(separ(INDEX(Sheet!AD$2:AD$7967,$A32),"-",1)),"")</f>
        <v/>
      </c>
      <c r="BU32" s="35" t="str">
        <f ca="1">IFERROR(VALUE(separ(INDEX(Sheet!AE$2:AE$7967,$A32),"-",1)),"")</f>
        <v/>
      </c>
      <c r="BV32" s="35"/>
      <c r="BW32" s="35" t="str">
        <f ca="1">IFERROR((separ(INDEX(Sheet!Q$2:Q$7967,$A32),"-",2)),"")</f>
        <v/>
      </c>
      <c r="BX32" s="35" t="str">
        <f ca="1">IFERROR((separ(INDEX(Sheet!R$2:R$7967,$A32),"-",2)),"")</f>
        <v/>
      </c>
      <c r="BY32" s="35" t="str">
        <f ca="1">IFERROR((separ(INDEX(Sheet!S$2:S$7967,$A32),"-",2)),"")</f>
        <v/>
      </c>
      <c r="BZ32" s="35" t="str">
        <f ca="1">IFERROR((separ(INDEX(Sheet!T$2:T$7967,$A32),"-",2)),"")</f>
        <v/>
      </c>
      <c r="CA32" s="35" t="str">
        <f ca="1">IFERROR((separ(INDEX(Sheet!U$2:U$7967,$A32),"-",2)),"")</f>
        <v/>
      </c>
      <c r="CB32" s="35" t="str">
        <f ca="1">IFERROR((separ(INDEX(Sheet!V$2:V$7967,$A32),"-",2)),"")</f>
        <v/>
      </c>
      <c r="CC32" s="35" t="str">
        <f ca="1">IFERROR((separ(INDEX(Sheet!W$2:W$7967,$A32),"-",2)),"")</f>
        <v/>
      </c>
      <c r="CD32" s="35" t="str">
        <f ca="1">IFERROR((separ(INDEX(Sheet!X$2:X$7967,$A32),"-",2)),"")</f>
        <v/>
      </c>
      <c r="CE32" s="35" t="str">
        <f ca="1">IFERROR((separ(INDEX(Sheet!Y$2:Y$7967,$A32),"-",2)),"")</f>
        <v/>
      </c>
      <c r="CF32" s="35" t="str">
        <f ca="1">IFERROR((separ(INDEX(Sheet!Z$2:Z$7967,$A32),"-",2)),"")</f>
        <v/>
      </c>
      <c r="CG32" s="35" t="str">
        <f ca="1">IFERROR((separ(INDEX(Sheet!AA$2:AA$7967,$A32),"-",2)),"")</f>
        <v/>
      </c>
      <c r="CH32" s="35" t="str">
        <f ca="1">IFERROR((separ(INDEX(Sheet!AB$2:AB$7967,$A32),"-",2)),"")</f>
        <v/>
      </c>
      <c r="CI32" s="35" t="str">
        <f ca="1">IFERROR((separ(INDEX(Sheet!AC$2:AC$7967,$A32),"-",2)),"")</f>
        <v/>
      </c>
      <c r="CJ32" s="35" t="str">
        <f ca="1">IFERROR((separ(INDEX(Sheet!AD$2:AD$7967,$A32),"-",2)),"")</f>
        <v/>
      </c>
      <c r="CK32" s="35" t="str">
        <f ca="1">IFERROR((separ(INDEX(Sheet!AE$2:AE$7967,$A32),"-",2)),"")</f>
        <v/>
      </c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</row>
    <row r="33" spans="1:104" s="29" customFormat="1">
      <c r="A33" s="45" t="str">
        <f ca="1">IFERROR(MATCH($B$3,OFFSET(Sheet!$D$2,A32,0):'Sheet'!$D$7657,0)+A32,"")</f>
        <v/>
      </c>
      <c r="B33" s="29" t="str">
        <f ca="1">IF(ROW(A26)&lt;=COUNT($A$6:$A$800),INDEX(Sheet!$A$2:$A$7967,$A33),IF(ROW(A26)=COUNT($A$6:$A$800)+1," ",IF(ROW(A26)=COUNT($A$6:$A$800)+2,"  ","")))</f>
        <v/>
      </c>
      <c r="C33" s="67" t="str">
        <f ca="1">IF($A33="","",INDEX(Sheet!E$2:E$7967,$A33))</f>
        <v/>
      </c>
      <c r="D33" s="31" t="str">
        <f ca="1">IF(B30=" ",$AR$1,IF(B33=" ",$AQ$1,IF(A33="","",INDEX(Sheet!G$2:G$7967,$A33))))</f>
        <v/>
      </c>
      <c r="E33" s="32" t="str">
        <f ca="1">IF($A33="","",TEXT(INDEX(Sheet!J$2:J$7967,$A33),"#,#")&amp;" "&amp;INDEX(Sheet!AT$2:AT$7967,$A33))</f>
        <v/>
      </c>
      <c r="F33" s="53" t="str">
        <f ca="1">IF($A33="","",INDEX(Sheet!F$2:F$7967,$A33))</f>
        <v/>
      </c>
      <c r="G33" s="32" t="str">
        <f ca="1">IF($A33="","",INDEX(Sheet!I$2:I$7967,$A33))</f>
        <v/>
      </c>
      <c r="H33" s="32" t="str">
        <f ca="1">IF($A33="","",INDEX(Sheet!L$2:L$7967,$A33))</f>
        <v/>
      </c>
      <c r="I33" s="32" t="str">
        <f ca="1">IF($A33="","",INDEX(Sheet!N$2:N$7967,$A33))</f>
        <v/>
      </c>
      <c r="J33" s="53" t="str">
        <f ca="1">IF($A33="","",INDEX(Sheet!AS$2:AS$7967,$A33))</f>
        <v/>
      </c>
      <c r="K33" s="33" t="str">
        <f ca="1">IF($A33="","",IF(INDEX(Sheet!S$2:S$7967,$A33)="","",INDEX(Sheet!S$2:S$7967,$A33)))</f>
        <v/>
      </c>
      <c r="L33" s="33" t="str">
        <f ca="1">IF($A33="","",IF(INDEX(Sheet!R$2:R$7967,$A33)="","",INDEX(Sheet!R$2:R$7967,$A33)))</f>
        <v/>
      </c>
      <c r="M33" s="33" t="str">
        <f ca="1">IF($A33="","",IF(INDEX(Sheet!AO$2:AO$7967,$A33)="","",INDEX(Sheet!AO$2:AO$7967,$A33)))</f>
        <v/>
      </c>
      <c r="N33" s="33" t="str">
        <f ca="1">IF($A33="","",IF(INDEX(Sheet!T$2:T$7967,$A33)="","",INDEX(Sheet!T$2:T$7967,$A33)))</f>
        <v/>
      </c>
      <c r="O33" s="33" t="str">
        <f ca="1">IF($A33="","",IF(INDEX(Sheet!U$2:U$7967,$A33)="","",INDEX(Sheet!U$2:U$7967,$A33)))</f>
        <v/>
      </c>
      <c r="P33" s="33" t="str">
        <f ca="1">IF($A33="","",IF(INDEX(Sheet!W$2:W$7967,$A33)="","",INDEX(Sheet!W$2:W$7967,$A33)))</f>
        <v/>
      </c>
      <c r="Q33" s="33" t="str">
        <f ca="1">IF($A33="","",IF(INDEX(Sheet!V$2:V$7967,$A33)="","",INDEX(Sheet!V$2:V$7967,$A33)))</f>
        <v/>
      </c>
      <c r="R33" s="33" t="str">
        <f ca="1">IF($A33="","",IF(INDEX(Sheet!Z$2:Z$7967,$A33)="","",INDEX(Sheet!Z$2:Z$7967,$A33)))</f>
        <v/>
      </c>
      <c r="S33" s="33" t="str">
        <f ca="1">IF($A33="","",IF(INDEX(Sheet!Y$2:Y$7967,$A33)="","",INDEX(Sheet!Y$2:Y$7967,$A33)))</f>
        <v/>
      </c>
      <c r="T33" s="33" t="str">
        <f ca="1">IF($A33="","",IF(INDEX(Sheet!X$2:X$7967,$A33)="","",INDEX(Sheet!X$2:X$7967,$A33)))</f>
        <v/>
      </c>
      <c r="U33" s="33" t="str">
        <f ca="1">IF($A33="","",IF(INDEX(Sheet!AA$2:AA$7967,$A33)="","",INDEX(Sheet!AA$2:AA$7967,$A33)))</f>
        <v/>
      </c>
      <c r="V33" s="33" t="str">
        <f ca="1">IF($A33="","",IF(INDEX(Sheet!AB$2:AB$7967,$A33)="","",INDEX(Sheet!AB$2:AB$7967,$A33)))</f>
        <v/>
      </c>
      <c r="W33" s="33" t="str">
        <f ca="1">IF($A33="","",IF(INDEX(Sheet!AH$2:AH$7967,$A33)="","",INDEX(Sheet!AH$2:AH$7967,$A33)))</f>
        <v/>
      </c>
      <c r="X33" s="33" t="str">
        <f ca="1">IF($A33="","",IF(INDEX(Sheet!AC$2:AC$7967,$A33)="","",INDEX(Sheet!AC$2:AC$7967,$A33)))</f>
        <v/>
      </c>
      <c r="Y33" s="33" t="str">
        <f ca="1">IF($A33="","",IF(INDEX(Sheet!AD$2:AD$7967,$A33)="","",INDEX(Sheet!AD$2:AD$7967,$A33)))</f>
        <v/>
      </c>
      <c r="Z33" s="33" t="str">
        <f ca="1">IF($A33="","",IF(INDEX(Sheet!AL$2:AL$7967,$A33)="","",INDEX(Sheet!AL$2:AL$7967,$A33)))</f>
        <v/>
      </c>
      <c r="AA33" s="33" t="str">
        <f ca="1">IF($A33="","",IF(INDEX(Sheet!AE$2:AE$7967,$A33)="","",INDEX(Sheet!AE$2:AE$7967,$A33)))</f>
        <v/>
      </c>
      <c r="AB33" s="33" t="str">
        <f ca="1">IF($A33="","",IF(INDEX(Sheet!AF$2:AF$7967,$A33)="","",INDEX(Sheet!AF$2:AF$7967,$A33)))</f>
        <v/>
      </c>
      <c r="AC33" s="33" t="str">
        <f ca="1">IF($A33="","",IF(INDEX(Sheet!AG$2:AG$7967,$A33)="","",INDEX(Sheet!AG$2:AG$7967,$A33)))</f>
        <v/>
      </c>
      <c r="AD33" s="33" t="str">
        <f ca="1">IF($A33="","",IF(INDEX(Sheet!AM$2:AM$7967,$A33)="","",INDEX(Sheet!AM$2:AM$7967,$A33)))</f>
        <v/>
      </c>
      <c r="AE33" s="33" t="str">
        <f ca="1">IF($A33="","",IF(INDEX(Sheet!AJ$2:AJ$7967,$A33)="","",INDEX(Sheet!AJ$2:AJ$7967,$A33)))</f>
        <v/>
      </c>
      <c r="AF33" s="33" t="str">
        <f ca="1">IF($A33="","",IF(INDEX(Sheet!AI$2:AI$7967,$A33)="","",INDEX(Sheet!AI$2:AI$7967,$A33)))</f>
        <v/>
      </c>
      <c r="AG33" s="33" t="str">
        <f ca="1">IF(D33="duyệt sản xuất"," Bảo Bảo, Ngày "&amp;DAY($J$4)&amp;" Tháng "&amp;MONTH($J$4)&amp;" Năm "&amp;YEAR($J$4),IF(D33="Phê duyệt","NGƯỜI LẬP",IF(D33="Nguyễn Ngọc Thắng","NGUYỄN THỊ MAI",IF($A33="","",INDEX(Sheet!AK$2:AK$7967,$A33)))))</f>
        <v/>
      </c>
      <c r="AH33" s="58" t="str">
        <f ca="1">IF($A33="","",INDEX(Sheet!AR$2:AR$7967,$A33)&amp;" ; "&amp;INDEX(Sheet!M$2:M$7967,$A33))</f>
        <v/>
      </c>
      <c r="AI33" s="1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G33" s="35" t="str">
        <f ca="1">IFERROR(VALUE(separ(INDEX(Sheet!Q$2:Q$7967,$A33),"-",1)),"")</f>
        <v/>
      </c>
      <c r="BH33" s="35" t="str">
        <f ca="1">IFERROR(VALUE(separ(INDEX(Sheet!R$2:R$7967,$A33),"-",1)),"")</f>
        <v/>
      </c>
      <c r="BI33" s="35" t="str">
        <f ca="1">IFERROR(VALUE(separ(INDEX(Sheet!S$2:S$7967,$A33),"-",1)),"")</f>
        <v/>
      </c>
      <c r="BJ33" s="35" t="str">
        <f ca="1">IFERROR(VALUE(separ(INDEX(Sheet!T$2:T$7967,$A33),"-",1)),"")</f>
        <v/>
      </c>
      <c r="BK33" s="35" t="str">
        <f ca="1">IFERROR(VALUE(separ(INDEX(Sheet!U$2:U$7967,$A33),"-",1)),"")</f>
        <v/>
      </c>
      <c r="BL33" s="35" t="str">
        <f ca="1">IFERROR(VALUE(separ(INDEX(Sheet!V$2:V$7967,$A33),"-",1)),"")</f>
        <v/>
      </c>
      <c r="BM33" s="35" t="str">
        <f ca="1">IFERROR(VALUE(separ(INDEX(Sheet!W$2:W$7967,$A33),"-",1)),"")</f>
        <v/>
      </c>
      <c r="BN33" s="35" t="str">
        <f ca="1">IFERROR(VALUE(separ(INDEX(Sheet!X$2:X$7967,$A33),"-",1)),"")</f>
        <v/>
      </c>
      <c r="BO33" s="35" t="str">
        <f ca="1">IFERROR(VALUE(separ(INDEX(Sheet!Y$2:Y$7967,$A33),"-",1)),"")</f>
        <v/>
      </c>
      <c r="BP33" s="35" t="str">
        <f ca="1">IFERROR(VALUE(separ(INDEX(Sheet!Z$2:Z$7967,$A33),"-",1)),"")</f>
        <v/>
      </c>
      <c r="BQ33" s="35" t="str">
        <f ca="1">IFERROR(VALUE(separ(INDEX(Sheet!AA$2:AA$7967,$A33),"-",1)),"")</f>
        <v/>
      </c>
      <c r="BR33" s="35" t="str">
        <f ca="1">IFERROR(VALUE(separ(INDEX(Sheet!AB$2:AB$7967,$A33),"-",1)),"")</f>
        <v/>
      </c>
      <c r="BS33" s="35" t="str">
        <f ca="1">IFERROR(VALUE(separ(INDEX(Sheet!AC$2:AC$7967,$A33),"-",1)),"")</f>
        <v/>
      </c>
      <c r="BT33" s="35" t="str">
        <f ca="1">IFERROR(VALUE(separ(INDEX(Sheet!AD$2:AD$7967,$A33),"-",1)),"")</f>
        <v/>
      </c>
      <c r="BU33" s="35" t="str">
        <f ca="1">IFERROR(VALUE(separ(INDEX(Sheet!AE$2:AE$7967,$A33),"-",1)),"")</f>
        <v/>
      </c>
      <c r="BV33" s="35"/>
      <c r="BW33" s="35" t="str">
        <f ca="1">IFERROR((separ(INDEX(Sheet!Q$2:Q$7967,$A33),"-",2)),"")</f>
        <v/>
      </c>
      <c r="BX33" s="35" t="str">
        <f ca="1">IFERROR((separ(INDEX(Sheet!R$2:R$7967,$A33),"-",2)),"")</f>
        <v/>
      </c>
      <c r="BY33" s="35" t="str">
        <f ca="1">IFERROR((separ(INDEX(Sheet!S$2:S$7967,$A33),"-",2)),"")</f>
        <v/>
      </c>
      <c r="BZ33" s="35" t="str">
        <f ca="1">IFERROR((separ(INDEX(Sheet!T$2:T$7967,$A33),"-",2)),"")</f>
        <v/>
      </c>
      <c r="CA33" s="35" t="str">
        <f ca="1">IFERROR((separ(INDEX(Sheet!U$2:U$7967,$A33),"-",2)),"")</f>
        <v/>
      </c>
      <c r="CB33" s="35" t="str">
        <f ca="1">IFERROR((separ(INDEX(Sheet!V$2:V$7967,$A33),"-",2)),"")</f>
        <v/>
      </c>
      <c r="CC33" s="35" t="str">
        <f ca="1">IFERROR((separ(INDEX(Sheet!W$2:W$7967,$A33),"-",2)),"")</f>
        <v/>
      </c>
      <c r="CD33" s="35" t="str">
        <f ca="1">IFERROR((separ(INDEX(Sheet!X$2:X$7967,$A33),"-",2)),"")</f>
        <v/>
      </c>
      <c r="CE33" s="35" t="str">
        <f ca="1">IFERROR((separ(INDEX(Sheet!Y$2:Y$7967,$A33),"-",2)),"")</f>
        <v/>
      </c>
      <c r="CF33" s="35" t="str">
        <f ca="1">IFERROR((separ(INDEX(Sheet!Z$2:Z$7967,$A33),"-",2)),"")</f>
        <v/>
      </c>
      <c r="CG33" s="35" t="str">
        <f ca="1">IFERROR((separ(INDEX(Sheet!AA$2:AA$7967,$A33),"-",2)),"")</f>
        <v/>
      </c>
      <c r="CH33" s="35" t="str">
        <f ca="1">IFERROR((separ(INDEX(Sheet!AB$2:AB$7967,$A33),"-",2)),"")</f>
        <v/>
      </c>
      <c r="CI33" s="35" t="str">
        <f ca="1">IFERROR((separ(INDEX(Sheet!AC$2:AC$7967,$A33),"-",2)),"")</f>
        <v/>
      </c>
      <c r="CJ33" s="35" t="str">
        <f ca="1">IFERROR((separ(INDEX(Sheet!AD$2:AD$7967,$A33),"-",2)),"")</f>
        <v/>
      </c>
      <c r="CK33" s="35" t="str">
        <f ca="1">IFERROR((separ(INDEX(Sheet!AE$2:AE$7967,$A33),"-",2)),"")</f>
        <v/>
      </c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</row>
    <row r="34" spans="1:104" s="29" customFormat="1">
      <c r="A34" s="45" t="str">
        <f ca="1">IFERROR(MATCH($B$3,OFFSET(Sheet!$D$2,A33,0):'Sheet'!$D$7657,0)+A33,"")</f>
        <v/>
      </c>
      <c r="B34" s="29" t="str">
        <f ca="1">IF(ROW(A27)&lt;=COUNT($A$6:$A$800),INDEX(Sheet!$A$2:$A$7967,$A34),IF(ROW(A27)=COUNT($A$6:$A$800)+1," ",IF(ROW(A27)=COUNT($A$6:$A$800)+2,"  ","")))</f>
        <v/>
      </c>
      <c r="C34" s="67" t="str">
        <f ca="1">IF($A34="","",INDEX(Sheet!E$2:E$7967,$A34))</f>
        <v/>
      </c>
      <c r="D34" s="31" t="str">
        <f ca="1">IF(B31=" ",$AR$1,IF(B34=" ",$AQ$1,IF(A34="","",INDEX(Sheet!G$2:G$7967,$A34))))</f>
        <v/>
      </c>
      <c r="E34" s="32" t="str">
        <f ca="1">IF($A34="","",TEXT(INDEX(Sheet!J$2:J$7967,$A34),"#,#")&amp;" "&amp;INDEX(Sheet!AT$2:AT$7967,$A34))</f>
        <v/>
      </c>
      <c r="F34" s="53" t="str">
        <f ca="1">IF($A34="","",INDEX(Sheet!F$2:F$7967,$A34))</f>
        <v/>
      </c>
      <c r="G34" s="32" t="str">
        <f ca="1">IF($A34="","",INDEX(Sheet!I$2:I$7967,$A34))</f>
        <v/>
      </c>
      <c r="H34" s="32" t="str">
        <f ca="1">IF($A34="","",INDEX(Sheet!L$2:L$7967,$A34))</f>
        <v/>
      </c>
      <c r="I34" s="32" t="str">
        <f ca="1">IF($A34="","",INDEX(Sheet!N$2:N$7967,$A34))</f>
        <v/>
      </c>
      <c r="J34" s="53" t="str">
        <f ca="1">IF($A34="","",INDEX(Sheet!AS$2:AS$7967,$A34))</f>
        <v/>
      </c>
      <c r="K34" s="33" t="str">
        <f ca="1">IF($A34="","",IF(INDEX(Sheet!S$2:S$7967,$A34)="","",INDEX(Sheet!S$2:S$7967,$A34)))</f>
        <v/>
      </c>
      <c r="L34" s="33" t="str">
        <f ca="1">IF($A34="","",IF(INDEX(Sheet!R$2:R$7967,$A34)="","",INDEX(Sheet!R$2:R$7967,$A34)))</f>
        <v/>
      </c>
      <c r="M34" s="33" t="str">
        <f ca="1">IF($A34="","",IF(INDEX(Sheet!AO$2:AO$7967,$A34)="","",INDEX(Sheet!AO$2:AO$7967,$A34)))</f>
        <v/>
      </c>
      <c r="N34" s="33" t="str">
        <f ca="1">IF($A34="","",IF(INDEX(Sheet!T$2:T$7967,$A34)="","",INDEX(Sheet!T$2:T$7967,$A34)))</f>
        <v/>
      </c>
      <c r="O34" s="33" t="str">
        <f ca="1">IF($A34="","",IF(INDEX(Sheet!U$2:U$7967,$A34)="","",INDEX(Sheet!U$2:U$7967,$A34)))</f>
        <v/>
      </c>
      <c r="P34" s="33" t="str">
        <f ca="1">IF($A34="","",IF(INDEX(Sheet!W$2:W$7967,$A34)="","",INDEX(Sheet!W$2:W$7967,$A34)))</f>
        <v/>
      </c>
      <c r="Q34" s="33" t="str">
        <f ca="1">IF($A34="","",IF(INDEX(Sheet!V$2:V$7967,$A34)="","",INDEX(Sheet!V$2:V$7967,$A34)))</f>
        <v/>
      </c>
      <c r="R34" s="33" t="str">
        <f ca="1">IF($A34="","",IF(INDEX(Sheet!Z$2:Z$7967,$A34)="","",INDEX(Sheet!Z$2:Z$7967,$A34)))</f>
        <v/>
      </c>
      <c r="S34" s="33" t="str">
        <f ca="1">IF($A34="","",IF(INDEX(Sheet!Y$2:Y$7967,$A34)="","",INDEX(Sheet!Y$2:Y$7967,$A34)))</f>
        <v/>
      </c>
      <c r="T34" s="33" t="str">
        <f ca="1">IF($A34="","",IF(INDEX(Sheet!X$2:X$7967,$A34)="","",INDEX(Sheet!X$2:X$7967,$A34)))</f>
        <v/>
      </c>
      <c r="U34" s="33" t="str">
        <f ca="1">IF($A34="","",IF(INDEX(Sheet!AA$2:AA$7967,$A34)="","",INDEX(Sheet!AA$2:AA$7967,$A34)))</f>
        <v/>
      </c>
      <c r="V34" s="33" t="str">
        <f ca="1">IF($A34="","",IF(INDEX(Sheet!AB$2:AB$7967,$A34)="","",INDEX(Sheet!AB$2:AB$7967,$A34)))</f>
        <v/>
      </c>
      <c r="W34" s="33" t="str">
        <f ca="1">IF($A34="","",IF(INDEX(Sheet!AH$2:AH$7967,$A34)="","",INDEX(Sheet!AH$2:AH$7967,$A34)))</f>
        <v/>
      </c>
      <c r="X34" s="33" t="str">
        <f ca="1">IF($A34="","",IF(INDEX(Sheet!AC$2:AC$7967,$A34)="","",INDEX(Sheet!AC$2:AC$7967,$A34)))</f>
        <v/>
      </c>
      <c r="Y34" s="33" t="str">
        <f ca="1">IF($A34="","",IF(INDEX(Sheet!AD$2:AD$7967,$A34)="","",INDEX(Sheet!AD$2:AD$7967,$A34)))</f>
        <v/>
      </c>
      <c r="Z34" s="33" t="str">
        <f ca="1">IF($A34="","",IF(INDEX(Sheet!AL$2:AL$7967,$A34)="","",INDEX(Sheet!AL$2:AL$7967,$A34)))</f>
        <v/>
      </c>
      <c r="AA34" s="33" t="str">
        <f ca="1">IF($A34="","",IF(INDEX(Sheet!AE$2:AE$7967,$A34)="","",INDEX(Sheet!AE$2:AE$7967,$A34)))</f>
        <v/>
      </c>
      <c r="AB34" s="33" t="str">
        <f ca="1">IF($A34="","",IF(INDEX(Sheet!AF$2:AF$7967,$A34)="","",INDEX(Sheet!AF$2:AF$7967,$A34)))</f>
        <v/>
      </c>
      <c r="AC34" s="33" t="str">
        <f ca="1">IF($A34="","",IF(INDEX(Sheet!AG$2:AG$7967,$A34)="","",INDEX(Sheet!AG$2:AG$7967,$A34)))</f>
        <v/>
      </c>
      <c r="AD34" s="33" t="str">
        <f ca="1">IF($A34="","",IF(INDEX(Sheet!AM$2:AM$7967,$A34)="","",INDEX(Sheet!AM$2:AM$7967,$A34)))</f>
        <v/>
      </c>
      <c r="AE34" s="33" t="str">
        <f ca="1">IF($A34="","",IF(INDEX(Sheet!AJ$2:AJ$7967,$A34)="","",INDEX(Sheet!AJ$2:AJ$7967,$A34)))</f>
        <v/>
      </c>
      <c r="AF34" s="33" t="str">
        <f ca="1">IF($A34="","",IF(INDEX(Sheet!AI$2:AI$7967,$A34)="","",INDEX(Sheet!AI$2:AI$7967,$A34)))</f>
        <v/>
      </c>
      <c r="AG34" s="33" t="str">
        <f ca="1">IF(D34="duyệt sản xuất"," Bảo Bảo, Ngày "&amp;DAY($J$4)&amp;" Tháng "&amp;MONTH($J$4)&amp;" Năm "&amp;YEAR($J$4),IF(D34="Phê duyệt","NGƯỜI LẬP",IF(D34="Nguyễn Ngọc Thắng","NGUYỄN THỊ MAI",IF($A34="","",INDEX(Sheet!AK$2:AK$7967,$A34)))))</f>
        <v/>
      </c>
      <c r="AH34" s="58" t="str">
        <f ca="1">IF($A34="","",INDEX(Sheet!AR$2:AR$7967,$A34)&amp;" ; "&amp;INDEX(Sheet!M$2:M$7967,$A34))</f>
        <v/>
      </c>
      <c r="AI34" s="1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G34" s="35" t="str">
        <f ca="1">IFERROR(VALUE(separ(INDEX(Sheet!Q$2:Q$7967,$A34),"-",1)),"")</f>
        <v/>
      </c>
      <c r="BH34" s="35" t="str">
        <f ca="1">IFERROR(VALUE(separ(INDEX(Sheet!R$2:R$7967,$A34),"-",1)),"")</f>
        <v/>
      </c>
      <c r="BI34" s="35" t="str">
        <f ca="1">IFERROR(VALUE(separ(INDEX(Sheet!S$2:S$7967,$A34),"-",1)),"")</f>
        <v/>
      </c>
      <c r="BJ34" s="35" t="str">
        <f ca="1">IFERROR(VALUE(separ(INDEX(Sheet!T$2:T$7967,$A34),"-",1)),"")</f>
        <v/>
      </c>
      <c r="BK34" s="35" t="str">
        <f ca="1">IFERROR(VALUE(separ(INDEX(Sheet!U$2:U$7967,$A34),"-",1)),"")</f>
        <v/>
      </c>
      <c r="BL34" s="35" t="str">
        <f ca="1">IFERROR(VALUE(separ(INDEX(Sheet!V$2:V$7967,$A34),"-",1)),"")</f>
        <v/>
      </c>
      <c r="BM34" s="35" t="str">
        <f ca="1">IFERROR(VALUE(separ(INDEX(Sheet!W$2:W$7967,$A34),"-",1)),"")</f>
        <v/>
      </c>
      <c r="BN34" s="35" t="str">
        <f ca="1">IFERROR(VALUE(separ(INDEX(Sheet!X$2:X$7967,$A34),"-",1)),"")</f>
        <v/>
      </c>
      <c r="BO34" s="35" t="str">
        <f ca="1">IFERROR(VALUE(separ(INDEX(Sheet!Y$2:Y$7967,$A34),"-",1)),"")</f>
        <v/>
      </c>
      <c r="BP34" s="35" t="str">
        <f ca="1">IFERROR(VALUE(separ(INDEX(Sheet!Z$2:Z$7967,$A34),"-",1)),"")</f>
        <v/>
      </c>
      <c r="BQ34" s="35" t="str">
        <f ca="1">IFERROR(VALUE(separ(INDEX(Sheet!AA$2:AA$7967,$A34),"-",1)),"")</f>
        <v/>
      </c>
      <c r="BR34" s="35" t="str">
        <f ca="1">IFERROR(VALUE(separ(INDEX(Sheet!AB$2:AB$7967,$A34),"-",1)),"")</f>
        <v/>
      </c>
      <c r="BS34" s="35" t="str">
        <f ca="1">IFERROR(VALUE(separ(INDEX(Sheet!AC$2:AC$7967,$A34),"-",1)),"")</f>
        <v/>
      </c>
      <c r="BT34" s="35" t="str">
        <f ca="1">IFERROR(VALUE(separ(INDEX(Sheet!AD$2:AD$7967,$A34),"-",1)),"")</f>
        <v/>
      </c>
      <c r="BU34" s="35" t="str">
        <f ca="1">IFERROR(VALUE(separ(INDEX(Sheet!AE$2:AE$7967,$A34),"-",1)),"")</f>
        <v/>
      </c>
      <c r="BV34" s="35"/>
      <c r="BW34" s="35" t="str">
        <f ca="1">IFERROR((separ(INDEX(Sheet!Q$2:Q$7967,$A34),"-",2)),"")</f>
        <v/>
      </c>
      <c r="BX34" s="35" t="str">
        <f ca="1">IFERROR((separ(INDEX(Sheet!R$2:R$7967,$A34),"-",2)),"")</f>
        <v/>
      </c>
      <c r="BY34" s="35" t="str">
        <f ca="1">IFERROR((separ(INDEX(Sheet!S$2:S$7967,$A34),"-",2)),"")</f>
        <v/>
      </c>
      <c r="BZ34" s="35" t="str">
        <f ca="1">IFERROR((separ(INDEX(Sheet!T$2:T$7967,$A34),"-",2)),"")</f>
        <v/>
      </c>
      <c r="CA34" s="35" t="str">
        <f ca="1">IFERROR((separ(INDEX(Sheet!U$2:U$7967,$A34),"-",2)),"")</f>
        <v/>
      </c>
      <c r="CB34" s="35" t="str">
        <f ca="1">IFERROR((separ(INDEX(Sheet!V$2:V$7967,$A34),"-",2)),"")</f>
        <v/>
      </c>
      <c r="CC34" s="35" t="str">
        <f ca="1">IFERROR((separ(INDEX(Sheet!W$2:W$7967,$A34),"-",2)),"")</f>
        <v/>
      </c>
      <c r="CD34" s="35" t="str">
        <f ca="1">IFERROR((separ(INDEX(Sheet!X$2:X$7967,$A34),"-",2)),"")</f>
        <v/>
      </c>
      <c r="CE34" s="35" t="str">
        <f ca="1">IFERROR((separ(INDEX(Sheet!Y$2:Y$7967,$A34),"-",2)),"")</f>
        <v/>
      </c>
      <c r="CF34" s="35" t="str">
        <f ca="1">IFERROR((separ(INDEX(Sheet!Z$2:Z$7967,$A34),"-",2)),"")</f>
        <v/>
      </c>
      <c r="CG34" s="35" t="str">
        <f ca="1">IFERROR((separ(INDEX(Sheet!AA$2:AA$7967,$A34),"-",2)),"")</f>
        <v/>
      </c>
      <c r="CH34" s="35" t="str">
        <f ca="1">IFERROR((separ(INDEX(Sheet!AB$2:AB$7967,$A34),"-",2)),"")</f>
        <v/>
      </c>
      <c r="CI34" s="35" t="str">
        <f ca="1">IFERROR((separ(INDEX(Sheet!AC$2:AC$7967,$A34),"-",2)),"")</f>
        <v/>
      </c>
      <c r="CJ34" s="35" t="str">
        <f ca="1">IFERROR((separ(INDEX(Sheet!AD$2:AD$7967,$A34),"-",2)),"")</f>
        <v/>
      </c>
      <c r="CK34" s="35" t="str">
        <f ca="1">IFERROR((separ(INDEX(Sheet!AE$2:AE$7967,$A34),"-",2)),"")</f>
        <v/>
      </c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</row>
    <row r="35" spans="1:104" s="29" customFormat="1">
      <c r="A35" s="45" t="str">
        <f ca="1">IFERROR(MATCH($B$3,OFFSET(Sheet!$D$2,A34,0):'Sheet'!$D$7657,0)+A34,"")</f>
        <v/>
      </c>
      <c r="B35" s="29" t="str">
        <f ca="1">IF(ROW(A28)&lt;=COUNT($A$6:$A$800),INDEX(Sheet!$A$2:$A$7967,$A35),IF(ROW(A28)=COUNT($A$6:$A$800)+1," ",IF(ROW(A28)=COUNT($A$6:$A$800)+2,"  ","")))</f>
        <v/>
      </c>
      <c r="C35" s="67" t="str">
        <f ca="1">IF($A35="","",INDEX(Sheet!E$2:E$7967,$A35))</f>
        <v/>
      </c>
      <c r="D35" s="31" t="str">
        <f ca="1">IF(B32=" ",$AR$1,IF(B35=" ",$AQ$1,IF(A35="","",INDEX(Sheet!G$2:G$7967,$A35))))</f>
        <v/>
      </c>
      <c r="E35" s="32" t="str">
        <f ca="1">IF($A35="","",TEXT(INDEX(Sheet!J$2:J$7967,$A35),"#,#")&amp;" "&amp;INDEX(Sheet!AT$2:AT$7967,$A35))</f>
        <v/>
      </c>
      <c r="F35" s="53" t="str">
        <f ca="1">IF($A35="","",INDEX(Sheet!F$2:F$7967,$A35))</f>
        <v/>
      </c>
      <c r="G35" s="32" t="str">
        <f ca="1">IF($A35="","",INDEX(Sheet!I$2:I$7967,$A35))</f>
        <v/>
      </c>
      <c r="H35" s="32" t="str">
        <f ca="1">IF($A35="","",INDEX(Sheet!L$2:L$7967,$A35))</f>
        <v/>
      </c>
      <c r="I35" s="32" t="str">
        <f ca="1">IF($A35="","",INDEX(Sheet!N$2:N$7967,$A35))</f>
        <v/>
      </c>
      <c r="J35" s="53" t="str">
        <f ca="1">IF($A35="","",INDEX(Sheet!AS$2:AS$7967,$A35))</f>
        <v/>
      </c>
      <c r="K35" s="33" t="str">
        <f ca="1">IF($A35="","",IF(INDEX(Sheet!S$2:S$7967,$A35)="","",INDEX(Sheet!S$2:S$7967,$A35)))</f>
        <v/>
      </c>
      <c r="L35" s="33" t="str">
        <f ca="1">IF($A35="","",IF(INDEX(Sheet!R$2:R$7967,$A35)="","",INDEX(Sheet!R$2:R$7967,$A35)))</f>
        <v/>
      </c>
      <c r="M35" s="33" t="str">
        <f ca="1">IF($A35="","",IF(INDEX(Sheet!AO$2:AO$7967,$A35)="","",INDEX(Sheet!AO$2:AO$7967,$A35)))</f>
        <v/>
      </c>
      <c r="N35" s="33" t="str">
        <f ca="1">IF($A35="","",IF(INDEX(Sheet!T$2:T$7967,$A35)="","",INDEX(Sheet!T$2:T$7967,$A35)))</f>
        <v/>
      </c>
      <c r="O35" s="33" t="str">
        <f ca="1">IF($A35="","",IF(INDEX(Sheet!U$2:U$7967,$A35)="","",INDEX(Sheet!U$2:U$7967,$A35)))</f>
        <v/>
      </c>
      <c r="P35" s="33" t="str">
        <f ca="1">IF($A35="","",IF(INDEX(Sheet!W$2:W$7967,$A35)="","",INDEX(Sheet!W$2:W$7967,$A35)))</f>
        <v/>
      </c>
      <c r="Q35" s="33" t="str">
        <f ca="1">IF($A35="","",IF(INDEX(Sheet!V$2:V$7967,$A35)="","",INDEX(Sheet!V$2:V$7967,$A35)))</f>
        <v/>
      </c>
      <c r="R35" s="33" t="str">
        <f ca="1">IF($A35="","",IF(INDEX(Sheet!Z$2:Z$7967,$A35)="","",INDEX(Sheet!Z$2:Z$7967,$A35)))</f>
        <v/>
      </c>
      <c r="S35" s="33" t="str">
        <f ca="1">IF($A35="","",IF(INDEX(Sheet!Y$2:Y$7967,$A35)="","",INDEX(Sheet!Y$2:Y$7967,$A35)))</f>
        <v/>
      </c>
      <c r="T35" s="33" t="str">
        <f ca="1">IF($A35="","",IF(INDEX(Sheet!X$2:X$7967,$A35)="","",INDEX(Sheet!X$2:X$7967,$A35)))</f>
        <v/>
      </c>
      <c r="U35" s="33" t="str">
        <f ca="1">IF($A35="","",IF(INDEX(Sheet!AA$2:AA$7967,$A35)="","",INDEX(Sheet!AA$2:AA$7967,$A35)))</f>
        <v/>
      </c>
      <c r="V35" s="33" t="str">
        <f ca="1">IF($A35="","",IF(INDEX(Sheet!AB$2:AB$7967,$A35)="","",INDEX(Sheet!AB$2:AB$7967,$A35)))</f>
        <v/>
      </c>
      <c r="W35" s="33" t="str">
        <f ca="1">IF($A35="","",IF(INDEX(Sheet!AH$2:AH$7967,$A35)="","",INDEX(Sheet!AH$2:AH$7967,$A35)))</f>
        <v/>
      </c>
      <c r="X35" s="33" t="str">
        <f ca="1">IF($A35="","",IF(INDEX(Sheet!AC$2:AC$7967,$A35)="","",INDEX(Sheet!AC$2:AC$7967,$A35)))</f>
        <v/>
      </c>
      <c r="Y35" s="33" t="str">
        <f ca="1">IF($A35="","",IF(INDEX(Sheet!AD$2:AD$7967,$A35)="","",INDEX(Sheet!AD$2:AD$7967,$A35)))</f>
        <v/>
      </c>
      <c r="Z35" s="33" t="str">
        <f ca="1">IF($A35="","",IF(INDEX(Sheet!AL$2:AL$7967,$A35)="","",INDEX(Sheet!AL$2:AL$7967,$A35)))</f>
        <v/>
      </c>
      <c r="AA35" s="33" t="str">
        <f ca="1">IF($A35="","",IF(INDEX(Sheet!AE$2:AE$7967,$A35)="","",INDEX(Sheet!AE$2:AE$7967,$A35)))</f>
        <v/>
      </c>
      <c r="AB35" s="33" t="str">
        <f ca="1">IF($A35="","",IF(INDEX(Sheet!AF$2:AF$7967,$A35)="","",INDEX(Sheet!AF$2:AF$7967,$A35)))</f>
        <v/>
      </c>
      <c r="AC35" s="33" t="str">
        <f ca="1">IF($A35="","",IF(INDEX(Sheet!AG$2:AG$7967,$A35)="","",INDEX(Sheet!AG$2:AG$7967,$A35)))</f>
        <v/>
      </c>
      <c r="AD35" s="33" t="str">
        <f ca="1">IF($A35="","",IF(INDEX(Sheet!AM$2:AM$7967,$A35)="","",INDEX(Sheet!AM$2:AM$7967,$A35)))</f>
        <v/>
      </c>
      <c r="AE35" s="33" t="str">
        <f ca="1">IF($A35="","",IF(INDEX(Sheet!AJ$2:AJ$7967,$A35)="","",INDEX(Sheet!AJ$2:AJ$7967,$A35)))</f>
        <v/>
      </c>
      <c r="AF35" s="33" t="str">
        <f ca="1">IF($A35="","",IF(INDEX(Sheet!AI$2:AI$7967,$A35)="","",INDEX(Sheet!AI$2:AI$7967,$A35)))</f>
        <v/>
      </c>
      <c r="AG35" s="33" t="str">
        <f ca="1">IF(D35="duyệt sản xuất"," Bảo Bảo, Ngày "&amp;DAY($J$4)&amp;" Tháng "&amp;MONTH($J$4)&amp;" Năm "&amp;YEAR($J$4),IF(D35="Phê duyệt","NGƯỜI LẬP",IF(D35="Nguyễn Ngọc Thắng","NGUYỄN THỊ MAI",IF($A35="","",INDEX(Sheet!AK$2:AK$7967,$A35)))))</f>
        <v/>
      </c>
      <c r="AH35" s="58" t="str">
        <f ca="1">IF($A35="","",INDEX(Sheet!AR$2:AR$7967,$A35)&amp;" ; "&amp;INDEX(Sheet!M$2:M$7967,$A35))</f>
        <v/>
      </c>
      <c r="AI35" s="1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G35" s="35" t="str">
        <f ca="1">IFERROR(VALUE(separ(INDEX(Sheet!Q$2:Q$7967,$A35),"-",1)),"")</f>
        <v/>
      </c>
      <c r="BH35" s="35" t="str">
        <f ca="1">IFERROR(VALUE(separ(INDEX(Sheet!R$2:R$7967,$A35),"-",1)),"")</f>
        <v/>
      </c>
      <c r="BI35" s="35" t="str">
        <f ca="1">IFERROR(VALUE(separ(INDEX(Sheet!S$2:S$7967,$A35),"-",1)),"")</f>
        <v/>
      </c>
      <c r="BJ35" s="35" t="str">
        <f ca="1">IFERROR(VALUE(separ(INDEX(Sheet!T$2:T$7967,$A35),"-",1)),"")</f>
        <v/>
      </c>
      <c r="BK35" s="35" t="str">
        <f ca="1">IFERROR(VALUE(separ(INDEX(Sheet!U$2:U$7967,$A35),"-",1)),"")</f>
        <v/>
      </c>
      <c r="BL35" s="35" t="str">
        <f ca="1">IFERROR(VALUE(separ(INDEX(Sheet!V$2:V$7967,$A35),"-",1)),"")</f>
        <v/>
      </c>
      <c r="BM35" s="35" t="str">
        <f ca="1">IFERROR(VALUE(separ(INDEX(Sheet!W$2:W$7967,$A35),"-",1)),"")</f>
        <v/>
      </c>
      <c r="BN35" s="35" t="str">
        <f ca="1">IFERROR(VALUE(separ(INDEX(Sheet!X$2:X$7967,$A35),"-",1)),"")</f>
        <v/>
      </c>
      <c r="BO35" s="35" t="str">
        <f ca="1">IFERROR(VALUE(separ(INDEX(Sheet!Y$2:Y$7967,$A35),"-",1)),"")</f>
        <v/>
      </c>
      <c r="BP35" s="35" t="str">
        <f ca="1">IFERROR(VALUE(separ(INDEX(Sheet!Z$2:Z$7967,$A35),"-",1)),"")</f>
        <v/>
      </c>
      <c r="BQ35" s="35" t="str">
        <f ca="1">IFERROR(VALUE(separ(INDEX(Sheet!AA$2:AA$7967,$A35),"-",1)),"")</f>
        <v/>
      </c>
      <c r="BR35" s="35" t="str">
        <f ca="1">IFERROR(VALUE(separ(INDEX(Sheet!AB$2:AB$7967,$A35),"-",1)),"")</f>
        <v/>
      </c>
      <c r="BS35" s="35" t="str">
        <f ca="1">IFERROR(VALUE(separ(INDEX(Sheet!AC$2:AC$7967,$A35),"-",1)),"")</f>
        <v/>
      </c>
      <c r="BT35" s="35" t="str">
        <f ca="1">IFERROR(VALUE(separ(INDEX(Sheet!AD$2:AD$7967,$A35),"-",1)),"")</f>
        <v/>
      </c>
      <c r="BU35" s="35" t="str">
        <f ca="1">IFERROR(VALUE(separ(INDEX(Sheet!AE$2:AE$7967,$A35),"-",1)),"")</f>
        <v/>
      </c>
      <c r="BV35" s="35"/>
      <c r="BW35" s="35" t="str">
        <f ca="1">IFERROR((separ(INDEX(Sheet!Q$2:Q$7967,$A35),"-",2)),"")</f>
        <v/>
      </c>
      <c r="BX35" s="35" t="str">
        <f ca="1">IFERROR((separ(INDEX(Sheet!R$2:R$7967,$A35),"-",2)),"")</f>
        <v/>
      </c>
      <c r="BY35" s="35" t="str">
        <f ca="1">IFERROR((separ(INDEX(Sheet!S$2:S$7967,$A35),"-",2)),"")</f>
        <v/>
      </c>
      <c r="BZ35" s="35" t="str">
        <f ca="1">IFERROR((separ(INDEX(Sheet!T$2:T$7967,$A35),"-",2)),"")</f>
        <v/>
      </c>
      <c r="CA35" s="35" t="str">
        <f ca="1">IFERROR((separ(INDEX(Sheet!U$2:U$7967,$A35),"-",2)),"")</f>
        <v/>
      </c>
      <c r="CB35" s="35" t="str">
        <f ca="1">IFERROR((separ(INDEX(Sheet!V$2:V$7967,$A35),"-",2)),"")</f>
        <v/>
      </c>
      <c r="CC35" s="35" t="str">
        <f ca="1">IFERROR((separ(INDEX(Sheet!W$2:W$7967,$A35),"-",2)),"")</f>
        <v/>
      </c>
      <c r="CD35" s="35" t="str">
        <f ca="1">IFERROR((separ(INDEX(Sheet!X$2:X$7967,$A35),"-",2)),"")</f>
        <v/>
      </c>
      <c r="CE35" s="35" t="str">
        <f ca="1">IFERROR((separ(INDEX(Sheet!Y$2:Y$7967,$A35),"-",2)),"")</f>
        <v/>
      </c>
      <c r="CF35" s="35" t="str">
        <f ca="1">IFERROR((separ(INDEX(Sheet!Z$2:Z$7967,$A35),"-",2)),"")</f>
        <v/>
      </c>
      <c r="CG35" s="35" t="str">
        <f ca="1">IFERROR((separ(INDEX(Sheet!AA$2:AA$7967,$A35),"-",2)),"")</f>
        <v/>
      </c>
      <c r="CH35" s="35" t="str">
        <f ca="1">IFERROR((separ(INDEX(Sheet!AB$2:AB$7967,$A35),"-",2)),"")</f>
        <v/>
      </c>
      <c r="CI35" s="35" t="str">
        <f ca="1">IFERROR((separ(INDEX(Sheet!AC$2:AC$7967,$A35),"-",2)),"")</f>
        <v/>
      </c>
      <c r="CJ35" s="35" t="str">
        <f ca="1">IFERROR((separ(INDEX(Sheet!AD$2:AD$7967,$A35),"-",2)),"")</f>
        <v/>
      </c>
      <c r="CK35" s="35" t="str">
        <f ca="1">IFERROR((separ(INDEX(Sheet!AE$2:AE$7967,$A35),"-",2)),"")</f>
        <v/>
      </c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</row>
    <row r="36" spans="1:104" s="29" customFormat="1">
      <c r="A36" s="45" t="str">
        <f ca="1">IFERROR(MATCH($B$3,OFFSET(Sheet!$D$2,A35,0):'Sheet'!$D$7657,0)+A35,"")</f>
        <v/>
      </c>
      <c r="B36" s="29" t="str">
        <f ca="1">IF(ROW(A29)&lt;=COUNT($A$6:$A$800),INDEX(Sheet!$A$2:$A$7967,$A36),IF(ROW(A29)=COUNT($A$6:$A$800)+1," ",IF(ROW(A29)=COUNT($A$6:$A$800)+2,"  ","")))</f>
        <v/>
      </c>
      <c r="C36" s="67" t="str">
        <f ca="1">IF($A36="","",INDEX(Sheet!E$2:E$7967,$A36))</f>
        <v/>
      </c>
      <c r="D36" s="31" t="str">
        <f ca="1">IF(B33=" ",$AR$1,IF(B36=" ",$AQ$1,IF(A36="","",INDEX(Sheet!G$2:G$7967,$A36))))</f>
        <v/>
      </c>
      <c r="E36" s="32" t="str">
        <f ca="1">IF($A36="","",TEXT(INDEX(Sheet!J$2:J$7967,$A36),"#,#")&amp;" "&amp;INDEX(Sheet!AT$2:AT$7967,$A36))</f>
        <v/>
      </c>
      <c r="F36" s="53" t="str">
        <f ca="1">IF($A36="","",INDEX(Sheet!F$2:F$7967,$A36))</f>
        <v/>
      </c>
      <c r="G36" s="32" t="str">
        <f ca="1">IF($A36="","",INDEX(Sheet!I$2:I$7967,$A36))</f>
        <v/>
      </c>
      <c r="H36" s="32" t="str">
        <f ca="1">IF($A36="","",INDEX(Sheet!L$2:L$7967,$A36))</f>
        <v/>
      </c>
      <c r="I36" s="32" t="str">
        <f ca="1">IF($A36="","",INDEX(Sheet!N$2:N$7967,$A36))</f>
        <v/>
      </c>
      <c r="J36" s="53" t="str">
        <f ca="1">IF($A36="","",INDEX(Sheet!AS$2:AS$7967,$A36))</f>
        <v/>
      </c>
      <c r="K36" s="33" t="str">
        <f ca="1">IF($A36="","",IF(INDEX(Sheet!S$2:S$7967,$A36)="","",INDEX(Sheet!S$2:S$7967,$A36)))</f>
        <v/>
      </c>
      <c r="L36" s="33" t="str">
        <f ca="1">IF($A36="","",IF(INDEX(Sheet!R$2:R$7967,$A36)="","",INDEX(Sheet!R$2:R$7967,$A36)))</f>
        <v/>
      </c>
      <c r="M36" s="33" t="str">
        <f ca="1">IF($A36="","",IF(INDEX(Sheet!AO$2:AO$7967,$A36)="","",INDEX(Sheet!AO$2:AO$7967,$A36)))</f>
        <v/>
      </c>
      <c r="N36" s="33" t="str">
        <f ca="1">IF($A36="","",IF(INDEX(Sheet!T$2:T$7967,$A36)="","",INDEX(Sheet!T$2:T$7967,$A36)))</f>
        <v/>
      </c>
      <c r="O36" s="33" t="str">
        <f ca="1">IF($A36="","",IF(INDEX(Sheet!U$2:U$7967,$A36)="","",INDEX(Sheet!U$2:U$7967,$A36)))</f>
        <v/>
      </c>
      <c r="P36" s="33" t="str">
        <f ca="1">IF($A36="","",IF(INDEX(Sheet!W$2:W$7967,$A36)="","",INDEX(Sheet!W$2:W$7967,$A36)))</f>
        <v/>
      </c>
      <c r="Q36" s="33" t="str">
        <f ca="1">IF($A36="","",IF(INDEX(Sheet!V$2:V$7967,$A36)="","",INDEX(Sheet!V$2:V$7967,$A36)))</f>
        <v/>
      </c>
      <c r="R36" s="33" t="str">
        <f ca="1">IF($A36="","",IF(INDEX(Sheet!Z$2:Z$7967,$A36)="","",INDEX(Sheet!Z$2:Z$7967,$A36)))</f>
        <v/>
      </c>
      <c r="S36" s="33" t="str">
        <f ca="1">IF($A36="","",IF(INDEX(Sheet!Y$2:Y$7967,$A36)="","",INDEX(Sheet!Y$2:Y$7967,$A36)))</f>
        <v/>
      </c>
      <c r="T36" s="33" t="str">
        <f ca="1">IF($A36="","",IF(INDEX(Sheet!X$2:X$7967,$A36)="","",INDEX(Sheet!X$2:X$7967,$A36)))</f>
        <v/>
      </c>
      <c r="U36" s="33" t="str">
        <f ca="1">IF($A36="","",IF(INDEX(Sheet!AA$2:AA$7967,$A36)="","",INDEX(Sheet!AA$2:AA$7967,$A36)))</f>
        <v/>
      </c>
      <c r="V36" s="33" t="str">
        <f ca="1">IF($A36="","",IF(INDEX(Sheet!AB$2:AB$7967,$A36)="","",INDEX(Sheet!AB$2:AB$7967,$A36)))</f>
        <v/>
      </c>
      <c r="W36" s="33" t="str">
        <f ca="1">IF($A36="","",IF(INDEX(Sheet!AH$2:AH$7967,$A36)="","",INDEX(Sheet!AH$2:AH$7967,$A36)))</f>
        <v/>
      </c>
      <c r="X36" s="33" t="str">
        <f ca="1">IF($A36="","",IF(INDEX(Sheet!AC$2:AC$7967,$A36)="","",INDEX(Sheet!AC$2:AC$7967,$A36)))</f>
        <v/>
      </c>
      <c r="Y36" s="33" t="str">
        <f ca="1">IF($A36="","",IF(INDEX(Sheet!AD$2:AD$7967,$A36)="","",INDEX(Sheet!AD$2:AD$7967,$A36)))</f>
        <v/>
      </c>
      <c r="Z36" s="33" t="str">
        <f ca="1">IF($A36="","",IF(INDEX(Sheet!AL$2:AL$7967,$A36)="","",INDEX(Sheet!AL$2:AL$7967,$A36)))</f>
        <v/>
      </c>
      <c r="AA36" s="33" t="str">
        <f ca="1">IF($A36="","",IF(INDEX(Sheet!AE$2:AE$7967,$A36)="","",INDEX(Sheet!AE$2:AE$7967,$A36)))</f>
        <v/>
      </c>
      <c r="AB36" s="33" t="str">
        <f ca="1">IF($A36="","",IF(INDEX(Sheet!AF$2:AF$7967,$A36)="","",INDEX(Sheet!AF$2:AF$7967,$A36)))</f>
        <v/>
      </c>
      <c r="AC36" s="33" t="str">
        <f ca="1">IF($A36="","",IF(INDEX(Sheet!AG$2:AG$7967,$A36)="","",INDEX(Sheet!AG$2:AG$7967,$A36)))</f>
        <v/>
      </c>
      <c r="AD36" s="33" t="str">
        <f ca="1">IF($A36="","",IF(INDEX(Sheet!AM$2:AM$7967,$A36)="","",INDEX(Sheet!AM$2:AM$7967,$A36)))</f>
        <v/>
      </c>
      <c r="AE36" s="33" t="str">
        <f ca="1">IF($A36="","",IF(INDEX(Sheet!AJ$2:AJ$7967,$A36)="","",INDEX(Sheet!AJ$2:AJ$7967,$A36)))</f>
        <v/>
      </c>
      <c r="AF36" s="33" t="str">
        <f ca="1">IF($A36="","",IF(INDEX(Sheet!AI$2:AI$7967,$A36)="","",INDEX(Sheet!AI$2:AI$7967,$A36)))</f>
        <v/>
      </c>
      <c r="AG36" s="33" t="str">
        <f ca="1">IF(D36="duyệt sản xuất"," Bảo Bảo, Ngày "&amp;DAY($J$4)&amp;" Tháng "&amp;MONTH($J$4)&amp;" Năm "&amp;YEAR($J$4),IF(D36="Phê duyệt","NGƯỜI LẬP",IF(D36="Nguyễn Ngọc Thắng","NGUYỄN THỊ MAI",IF($A36="","",INDEX(Sheet!AK$2:AK$7967,$A36)))))</f>
        <v/>
      </c>
      <c r="AH36" s="58" t="str">
        <f ca="1">IF($A36="","",INDEX(Sheet!AR$2:AR$7967,$A36)&amp;" ; "&amp;INDEX(Sheet!M$2:M$7967,$A36))</f>
        <v/>
      </c>
      <c r="AI36" s="1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G36" s="35" t="str">
        <f ca="1">IFERROR(VALUE(separ(INDEX(Sheet!Q$2:Q$7967,$A36),"-",1)),"")</f>
        <v/>
      </c>
      <c r="BH36" s="35" t="str">
        <f ca="1">IFERROR(VALUE(separ(INDEX(Sheet!R$2:R$7967,$A36),"-",1)),"")</f>
        <v/>
      </c>
      <c r="BI36" s="35" t="str">
        <f ca="1">IFERROR(VALUE(separ(INDEX(Sheet!S$2:S$7967,$A36),"-",1)),"")</f>
        <v/>
      </c>
      <c r="BJ36" s="35" t="str">
        <f ca="1">IFERROR(VALUE(separ(INDEX(Sheet!T$2:T$7967,$A36),"-",1)),"")</f>
        <v/>
      </c>
      <c r="BK36" s="35" t="str">
        <f ca="1">IFERROR(VALUE(separ(INDEX(Sheet!U$2:U$7967,$A36),"-",1)),"")</f>
        <v/>
      </c>
      <c r="BL36" s="35" t="str">
        <f ca="1">IFERROR(VALUE(separ(INDEX(Sheet!V$2:V$7967,$A36),"-",1)),"")</f>
        <v/>
      </c>
      <c r="BM36" s="35" t="str">
        <f ca="1">IFERROR(VALUE(separ(INDEX(Sheet!W$2:W$7967,$A36),"-",1)),"")</f>
        <v/>
      </c>
      <c r="BN36" s="35" t="str">
        <f ca="1">IFERROR(VALUE(separ(INDEX(Sheet!X$2:X$7967,$A36),"-",1)),"")</f>
        <v/>
      </c>
      <c r="BO36" s="35" t="str">
        <f ca="1">IFERROR(VALUE(separ(INDEX(Sheet!Y$2:Y$7967,$A36),"-",1)),"")</f>
        <v/>
      </c>
      <c r="BP36" s="35" t="str">
        <f ca="1">IFERROR(VALUE(separ(INDEX(Sheet!Z$2:Z$7967,$A36),"-",1)),"")</f>
        <v/>
      </c>
      <c r="BQ36" s="35" t="str">
        <f ca="1">IFERROR(VALUE(separ(INDEX(Sheet!AA$2:AA$7967,$A36),"-",1)),"")</f>
        <v/>
      </c>
      <c r="BR36" s="35" t="str">
        <f ca="1">IFERROR(VALUE(separ(INDEX(Sheet!AB$2:AB$7967,$A36),"-",1)),"")</f>
        <v/>
      </c>
      <c r="BS36" s="35" t="str">
        <f ca="1">IFERROR(VALUE(separ(INDEX(Sheet!AC$2:AC$7967,$A36),"-",1)),"")</f>
        <v/>
      </c>
      <c r="BT36" s="35" t="str">
        <f ca="1">IFERROR(VALUE(separ(INDEX(Sheet!AD$2:AD$7967,$A36),"-",1)),"")</f>
        <v/>
      </c>
      <c r="BU36" s="35" t="str">
        <f ca="1">IFERROR(VALUE(separ(INDEX(Sheet!AE$2:AE$7967,$A36),"-",1)),"")</f>
        <v/>
      </c>
      <c r="BV36" s="35"/>
      <c r="BW36" s="35" t="str">
        <f ca="1">IFERROR((separ(INDEX(Sheet!Q$2:Q$7967,$A36),"-",2)),"")</f>
        <v/>
      </c>
      <c r="BX36" s="35" t="str">
        <f ca="1">IFERROR((separ(INDEX(Sheet!R$2:R$7967,$A36),"-",2)),"")</f>
        <v/>
      </c>
      <c r="BY36" s="35" t="str">
        <f ca="1">IFERROR((separ(INDEX(Sheet!S$2:S$7967,$A36),"-",2)),"")</f>
        <v/>
      </c>
      <c r="BZ36" s="35" t="str">
        <f ca="1">IFERROR((separ(INDEX(Sheet!T$2:T$7967,$A36),"-",2)),"")</f>
        <v/>
      </c>
      <c r="CA36" s="35" t="str">
        <f ca="1">IFERROR((separ(INDEX(Sheet!U$2:U$7967,$A36),"-",2)),"")</f>
        <v/>
      </c>
      <c r="CB36" s="35" t="str">
        <f ca="1">IFERROR((separ(INDEX(Sheet!V$2:V$7967,$A36),"-",2)),"")</f>
        <v/>
      </c>
      <c r="CC36" s="35" t="str">
        <f ca="1">IFERROR((separ(INDEX(Sheet!W$2:W$7967,$A36),"-",2)),"")</f>
        <v/>
      </c>
      <c r="CD36" s="35" t="str">
        <f ca="1">IFERROR((separ(INDEX(Sheet!X$2:X$7967,$A36),"-",2)),"")</f>
        <v/>
      </c>
      <c r="CE36" s="35" t="str">
        <f ca="1">IFERROR((separ(INDEX(Sheet!Y$2:Y$7967,$A36),"-",2)),"")</f>
        <v/>
      </c>
      <c r="CF36" s="35" t="str">
        <f ca="1">IFERROR((separ(INDEX(Sheet!Z$2:Z$7967,$A36),"-",2)),"")</f>
        <v/>
      </c>
      <c r="CG36" s="35" t="str">
        <f ca="1">IFERROR((separ(INDEX(Sheet!AA$2:AA$7967,$A36),"-",2)),"")</f>
        <v/>
      </c>
      <c r="CH36" s="35" t="str">
        <f ca="1">IFERROR((separ(INDEX(Sheet!AB$2:AB$7967,$A36),"-",2)),"")</f>
        <v/>
      </c>
      <c r="CI36" s="35" t="str">
        <f ca="1">IFERROR((separ(INDEX(Sheet!AC$2:AC$7967,$A36),"-",2)),"")</f>
        <v/>
      </c>
      <c r="CJ36" s="35" t="str">
        <f ca="1">IFERROR((separ(INDEX(Sheet!AD$2:AD$7967,$A36),"-",2)),"")</f>
        <v/>
      </c>
      <c r="CK36" s="35" t="str">
        <f ca="1">IFERROR((separ(INDEX(Sheet!AE$2:AE$7967,$A36),"-",2)),"")</f>
        <v/>
      </c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</row>
    <row r="37" spans="1:104" s="29" customFormat="1">
      <c r="A37" s="45" t="str">
        <f ca="1">IFERROR(MATCH($B$3,OFFSET(Sheet!$D$2,A36,0):'Sheet'!$D$7657,0)+A36,"")</f>
        <v/>
      </c>
      <c r="B37" s="29" t="str">
        <f ca="1">IF(ROW(A30)&lt;=COUNT($A$6:$A$800),INDEX(Sheet!$A$2:$A$7967,$A37),IF(ROW(A30)=COUNT($A$6:$A$800)+1," ",IF(ROW(A30)=COUNT($A$6:$A$800)+2,"  ","")))</f>
        <v/>
      </c>
      <c r="C37" s="67" t="str">
        <f ca="1">IF($A37="","",INDEX(Sheet!E$2:E$7967,$A37))</f>
        <v/>
      </c>
      <c r="D37" s="31" t="str">
        <f ca="1">IF(B34=" ",$AR$1,IF(B37=" ",$AQ$1,IF(A37="","",INDEX(Sheet!G$2:G$7967,$A37))))</f>
        <v/>
      </c>
      <c r="E37" s="32" t="str">
        <f ca="1">IF($A37="","",TEXT(INDEX(Sheet!J$2:J$7967,$A37),"#,#")&amp;" "&amp;INDEX(Sheet!AT$2:AT$7967,$A37))</f>
        <v/>
      </c>
      <c r="F37" s="53" t="str">
        <f ca="1">IF($A37="","",INDEX(Sheet!F$2:F$7967,$A37))</f>
        <v/>
      </c>
      <c r="G37" s="32" t="str">
        <f ca="1">IF($A37="","",INDEX(Sheet!I$2:I$7967,$A37))</f>
        <v/>
      </c>
      <c r="H37" s="32" t="str">
        <f ca="1">IF($A37="","",INDEX(Sheet!L$2:L$7967,$A37))</f>
        <v/>
      </c>
      <c r="I37" s="32" t="str">
        <f ca="1">IF($A37="","",INDEX(Sheet!N$2:N$7967,$A37))</f>
        <v/>
      </c>
      <c r="J37" s="53" t="str">
        <f ca="1">IF($A37="","",INDEX(Sheet!AS$2:AS$7967,$A37))</f>
        <v/>
      </c>
      <c r="K37" s="33" t="str">
        <f ca="1">IF($A37="","",IF(INDEX(Sheet!S$2:S$7967,$A37)="","",INDEX(Sheet!S$2:S$7967,$A37)))</f>
        <v/>
      </c>
      <c r="L37" s="33" t="str">
        <f ca="1">IF($A37="","",IF(INDEX(Sheet!R$2:R$7967,$A37)="","",INDEX(Sheet!R$2:R$7967,$A37)))</f>
        <v/>
      </c>
      <c r="M37" s="33" t="str">
        <f ca="1">IF($A37="","",IF(INDEX(Sheet!AO$2:AO$7967,$A37)="","",INDEX(Sheet!AO$2:AO$7967,$A37)))</f>
        <v/>
      </c>
      <c r="N37" s="33" t="str">
        <f ca="1">IF($A37="","",IF(INDEX(Sheet!T$2:T$7967,$A37)="","",INDEX(Sheet!T$2:T$7967,$A37)))</f>
        <v/>
      </c>
      <c r="O37" s="33" t="str">
        <f ca="1">IF($A37="","",IF(INDEX(Sheet!U$2:U$7967,$A37)="","",INDEX(Sheet!U$2:U$7967,$A37)))</f>
        <v/>
      </c>
      <c r="P37" s="33" t="str">
        <f ca="1">IF($A37="","",IF(INDEX(Sheet!W$2:W$7967,$A37)="","",INDEX(Sheet!W$2:W$7967,$A37)))</f>
        <v/>
      </c>
      <c r="Q37" s="33" t="str">
        <f ca="1">IF($A37="","",IF(INDEX(Sheet!V$2:V$7967,$A37)="","",INDEX(Sheet!V$2:V$7967,$A37)))</f>
        <v/>
      </c>
      <c r="R37" s="33" t="str">
        <f ca="1">IF($A37="","",IF(INDEX(Sheet!Z$2:Z$7967,$A37)="","",INDEX(Sheet!Z$2:Z$7967,$A37)))</f>
        <v/>
      </c>
      <c r="S37" s="33" t="str">
        <f ca="1">IF($A37="","",IF(INDEX(Sheet!Y$2:Y$7967,$A37)="","",INDEX(Sheet!Y$2:Y$7967,$A37)))</f>
        <v/>
      </c>
      <c r="T37" s="33" t="str">
        <f ca="1">IF($A37="","",IF(INDEX(Sheet!X$2:X$7967,$A37)="","",INDEX(Sheet!X$2:X$7967,$A37)))</f>
        <v/>
      </c>
      <c r="U37" s="33" t="str">
        <f ca="1">IF($A37="","",IF(INDEX(Sheet!AA$2:AA$7967,$A37)="","",INDEX(Sheet!AA$2:AA$7967,$A37)))</f>
        <v/>
      </c>
      <c r="V37" s="33" t="str">
        <f ca="1">IF($A37="","",IF(INDEX(Sheet!AB$2:AB$7967,$A37)="","",INDEX(Sheet!AB$2:AB$7967,$A37)))</f>
        <v/>
      </c>
      <c r="W37" s="33" t="str">
        <f ca="1">IF($A37="","",IF(INDEX(Sheet!AH$2:AH$7967,$A37)="","",INDEX(Sheet!AH$2:AH$7967,$A37)))</f>
        <v/>
      </c>
      <c r="X37" s="33" t="str">
        <f ca="1">IF($A37="","",IF(INDEX(Sheet!AC$2:AC$7967,$A37)="","",INDEX(Sheet!AC$2:AC$7967,$A37)))</f>
        <v/>
      </c>
      <c r="Y37" s="33" t="str">
        <f ca="1">IF($A37="","",IF(INDEX(Sheet!AD$2:AD$7967,$A37)="","",INDEX(Sheet!AD$2:AD$7967,$A37)))</f>
        <v/>
      </c>
      <c r="Z37" s="33" t="str">
        <f ca="1">IF($A37="","",IF(INDEX(Sheet!AL$2:AL$7967,$A37)="","",INDEX(Sheet!AL$2:AL$7967,$A37)))</f>
        <v/>
      </c>
      <c r="AA37" s="33" t="str">
        <f ca="1">IF($A37="","",IF(INDEX(Sheet!AE$2:AE$7967,$A37)="","",INDEX(Sheet!AE$2:AE$7967,$A37)))</f>
        <v/>
      </c>
      <c r="AB37" s="33" t="str">
        <f ca="1">IF($A37="","",IF(INDEX(Sheet!AF$2:AF$7967,$A37)="","",INDEX(Sheet!AF$2:AF$7967,$A37)))</f>
        <v/>
      </c>
      <c r="AC37" s="33" t="str">
        <f ca="1">IF($A37="","",IF(INDEX(Sheet!AG$2:AG$7967,$A37)="","",INDEX(Sheet!AG$2:AG$7967,$A37)))</f>
        <v/>
      </c>
      <c r="AD37" s="33" t="str">
        <f ca="1">IF($A37="","",IF(INDEX(Sheet!AM$2:AM$7967,$A37)="","",INDEX(Sheet!AM$2:AM$7967,$A37)))</f>
        <v/>
      </c>
      <c r="AE37" s="33" t="str">
        <f ca="1">IF($A37="","",IF(INDEX(Sheet!AJ$2:AJ$7967,$A37)="","",INDEX(Sheet!AJ$2:AJ$7967,$A37)))</f>
        <v/>
      </c>
      <c r="AF37" s="33" t="str">
        <f ca="1">IF($A37="","",IF(INDEX(Sheet!AI$2:AI$7967,$A37)="","",INDEX(Sheet!AI$2:AI$7967,$A37)))</f>
        <v/>
      </c>
      <c r="AG37" s="33" t="str">
        <f ca="1">IF(D37="duyệt sản xuất"," Bảo Bảo, Ngày "&amp;DAY($J$4)&amp;" Tháng "&amp;MONTH($J$4)&amp;" Năm "&amp;YEAR($J$4),IF(D37="Phê duyệt","NGƯỜI LẬP",IF(D37="Nguyễn Ngọc Thắng","NGUYỄN THỊ MAI",IF($A37="","",INDEX(Sheet!AK$2:AK$7967,$A37)))))</f>
        <v/>
      </c>
      <c r="AH37" s="58" t="str">
        <f ca="1">IF($A37="","",INDEX(Sheet!AR$2:AR$7967,$A37)&amp;" ; "&amp;INDEX(Sheet!M$2:M$7967,$A37))</f>
        <v/>
      </c>
      <c r="AI37" s="1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G37" s="35" t="str">
        <f ca="1">IFERROR(VALUE(separ(INDEX(Sheet!Q$2:Q$7967,$A37),"-",1)),"")</f>
        <v/>
      </c>
      <c r="BH37" s="35" t="str">
        <f ca="1">IFERROR(VALUE(separ(INDEX(Sheet!R$2:R$7967,$A37),"-",1)),"")</f>
        <v/>
      </c>
      <c r="BI37" s="35" t="str">
        <f ca="1">IFERROR(VALUE(separ(INDEX(Sheet!S$2:S$7967,$A37),"-",1)),"")</f>
        <v/>
      </c>
      <c r="BJ37" s="35" t="str">
        <f ca="1">IFERROR(VALUE(separ(INDEX(Sheet!T$2:T$7967,$A37),"-",1)),"")</f>
        <v/>
      </c>
      <c r="BK37" s="35" t="str">
        <f ca="1">IFERROR(VALUE(separ(INDEX(Sheet!U$2:U$7967,$A37),"-",1)),"")</f>
        <v/>
      </c>
      <c r="BL37" s="35" t="str">
        <f ca="1">IFERROR(VALUE(separ(INDEX(Sheet!V$2:V$7967,$A37),"-",1)),"")</f>
        <v/>
      </c>
      <c r="BM37" s="35" t="str">
        <f ca="1">IFERROR(VALUE(separ(INDEX(Sheet!W$2:W$7967,$A37),"-",1)),"")</f>
        <v/>
      </c>
      <c r="BN37" s="35" t="str">
        <f ca="1">IFERROR(VALUE(separ(INDEX(Sheet!X$2:X$7967,$A37),"-",1)),"")</f>
        <v/>
      </c>
      <c r="BO37" s="35" t="str">
        <f ca="1">IFERROR(VALUE(separ(INDEX(Sheet!Y$2:Y$7967,$A37),"-",1)),"")</f>
        <v/>
      </c>
      <c r="BP37" s="35" t="str">
        <f ca="1">IFERROR(VALUE(separ(INDEX(Sheet!Z$2:Z$7967,$A37),"-",1)),"")</f>
        <v/>
      </c>
      <c r="BQ37" s="35" t="str">
        <f ca="1">IFERROR(VALUE(separ(INDEX(Sheet!AA$2:AA$7967,$A37),"-",1)),"")</f>
        <v/>
      </c>
      <c r="BR37" s="35" t="str">
        <f ca="1">IFERROR(VALUE(separ(INDEX(Sheet!AB$2:AB$7967,$A37),"-",1)),"")</f>
        <v/>
      </c>
      <c r="BS37" s="35" t="str">
        <f ca="1">IFERROR(VALUE(separ(INDEX(Sheet!AC$2:AC$7967,$A37),"-",1)),"")</f>
        <v/>
      </c>
      <c r="BT37" s="35" t="str">
        <f ca="1">IFERROR(VALUE(separ(INDEX(Sheet!AD$2:AD$7967,$A37),"-",1)),"")</f>
        <v/>
      </c>
      <c r="BU37" s="35" t="str">
        <f ca="1">IFERROR(VALUE(separ(INDEX(Sheet!AE$2:AE$7967,$A37),"-",1)),"")</f>
        <v/>
      </c>
      <c r="BV37" s="35"/>
      <c r="BW37" s="35" t="str">
        <f ca="1">IFERROR((separ(INDEX(Sheet!Q$2:Q$7967,$A37),"-",2)),"")</f>
        <v/>
      </c>
      <c r="BX37" s="35" t="str">
        <f ca="1">IFERROR((separ(INDEX(Sheet!R$2:R$7967,$A37),"-",2)),"")</f>
        <v/>
      </c>
      <c r="BY37" s="35" t="str">
        <f ca="1">IFERROR((separ(INDEX(Sheet!S$2:S$7967,$A37),"-",2)),"")</f>
        <v/>
      </c>
      <c r="BZ37" s="35" t="str">
        <f ca="1">IFERROR((separ(INDEX(Sheet!T$2:T$7967,$A37),"-",2)),"")</f>
        <v/>
      </c>
      <c r="CA37" s="35" t="str">
        <f ca="1">IFERROR((separ(INDEX(Sheet!U$2:U$7967,$A37),"-",2)),"")</f>
        <v/>
      </c>
      <c r="CB37" s="35" t="str">
        <f ca="1">IFERROR((separ(INDEX(Sheet!V$2:V$7967,$A37),"-",2)),"")</f>
        <v/>
      </c>
      <c r="CC37" s="35" t="str">
        <f ca="1">IFERROR((separ(INDEX(Sheet!W$2:W$7967,$A37),"-",2)),"")</f>
        <v/>
      </c>
      <c r="CD37" s="35" t="str">
        <f ca="1">IFERROR((separ(INDEX(Sheet!X$2:X$7967,$A37),"-",2)),"")</f>
        <v/>
      </c>
      <c r="CE37" s="35" t="str">
        <f ca="1">IFERROR((separ(INDEX(Sheet!Y$2:Y$7967,$A37),"-",2)),"")</f>
        <v/>
      </c>
      <c r="CF37" s="35" t="str">
        <f ca="1">IFERROR((separ(INDEX(Sheet!Z$2:Z$7967,$A37),"-",2)),"")</f>
        <v/>
      </c>
      <c r="CG37" s="35" t="str">
        <f ca="1">IFERROR((separ(INDEX(Sheet!AA$2:AA$7967,$A37),"-",2)),"")</f>
        <v/>
      </c>
      <c r="CH37" s="35" t="str">
        <f ca="1">IFERROR((separ(INDEX(Sheet!AB$2:AB$7967,$A37),"-",2)),"")</f>
        <v/>
      </c>
      <c r="CI37" s="35" t="str">
        <f ca="1">IFERROR((separ(INDEX(Sheet!AC$2:AC$7967,$A37),"-",2)),"")</f>
        <v/>
      </c>
      <c r="CJ37" s="35" t="str">
        <f ca="1">IFERROR((separ(INDEX(Sheet!AD$2:AD$7967,$A37),"-",2)),"")</f>
        <v/>
      </c>
      <c r="CK37" s="35" t="str">
        <f ca="1">IFERROR((separ(INDEX(Sheet!AE$2:AE$7967,$A37),"-",2)),"")</f>
        <v/>
      </c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</row>
    <row r="38" spans="1:104" s="29" customFormat="1">
      <c r="A38" s="45" t="str">
        <f ca="1">IFERROR(MATCH($B$3,OFFSET(Sheet!$D$2,A37,0):'Sheet'!$D$7657,0)+A37,"")</f>
        <v/>
      </c>
      <c r="B38" s="29" t="str">
        <f ca="1">IF(ROW(A31)&lt;=COUNT($A$6:$A$800),INDEX(Sheet!$A$2:$A$7967,$A38),IF(ROW(A31)=COUNT($A$6:$A$800)+1," ",IF(ROW(A31)=COUNT($A$6:$A$800)+2,"  ","")))</f>
        <v/>
      </c>
      <c r="C38" s="67" t="str">
        <f ca="1">IF($A38="","",INDEX(Sheet!E$2:E$7967,$A38))</f>
        <v/>
      </c>
      <c r="D38" s="31" t="str">
        <f ca="1">IF(B35=" ",$AR$1,IF(B38=" ",$AQ$1,IF(A38="","",INDEX(Sheet!G$2:G$7967,$A38))))</f>
        <v/>
      </c>
      <c r="E38" s="32" t="str">
        <f ca="1">IF($A38="","",TEXT(INDEX(Sheet!J$2:J$7967,$A38),"#,#")&amp;" "&amp;INDEX(Sheet!AT$2:AT$7967,$A38))</f>
        <v/>
      </c>
      <c r="F38" s="53" t="str">
        <f ca="1">IF($A38="","",INDEX(Sheet!F$2:F$7967,$A38))</f>
        <v/>
      </c>
      <c r="G38" s="32" t="str">
        <f ca="1">IF($A38="","",INDEX(Sheet!I$2:I$7967,$A38))</f>
        <v/>
      </c>
      <c r="H38" s="32" t="str">
        <f ca="1">IF($A38="","",INDEX(Sheet!L$2:L$7967,$A38))</f>
        <v/>
      </c>
      <c r="I38" s="32" t="str">
        <f ca="1">IF($A38="","",INDEX(Sheet!N$2:N$7967,$A38))</f>
        <v/>
      </c>
      <c r="J38" s="53" t="str">
        <f ca="1">IF($A38="","",INDEX(Sheet!AS$2:AS$7967,$A38))</f>
        <v/>
      </c>
      <c r="K38" s="33" t="str">
        <f ca="1">IF($A38="","",IF(INDEX(Sheet!S$2:S$7967,$A38)="","",INDEX(Sheet!S$2:S$7967,$A38)))</f>
        <v/>
      </c>
      <c r="L38" s="33" t="str">
        <f ca="1">IF($A38="","",IF(INDEX(Sheet!R$2:R$7967,$A38)="","",INDEX(Sheet!R$2:R$7967,$A38)))</f>
        <v/>
      </c>
      <c r="M38" s="33" t="str">
        <f ca="1">IF($A38="","",IF(INDEX(Sheet!AO$2:AO$7967,$A38)="","",INDEX(Sheet!AO$2:AO$7967,$A38)))</f>
        <v/>
      </c>
      <c r="N38" s="33" t="str">
        <f ca="1">IF($A38="","",IF(INDEX(Sheet!T$2:T$7967,$A38)="","",INDEX(Sheet!T$2:T$7967,$A38)))</f>
        <v/>
      </c>
      <c r="O38" s="33" t="str">
        <f ca="1">IF($A38="","",IF(INDEX(Sheet!U$2:U$7967,$A38)="","",INDEX(Sheet!U$2:U$7967,$A38)))</f>
        <v/>
      </c>
      <c r="P38" s="33" t="str">
        <f ca="1">IF($A38="","",IF(INDEX(Sheet!W$2:W$7967,$A38)="","",INDEX(Sheet!W$2:W$7967,$A38)))</f>
        <v/>
      </c>
      <c r="Q38" s="33" t="str">
        <f ca="1">IF($A38="","",IF(INDEX(Sheet!V$2:V$7967,$A38)="","",INDEX(Sheet!V$2:V$7967,$A38)))</f>
        <v/>
      </c>
      <c r="R38" s="33" t="str">
        <f ca="1">IF($A38="","",IF(INDEX(Sheet!Z$2:Z$7967,$A38)="","",INDEX(Sheet!Z$2:Z$7967,$A38)))</f>
        <v/>
      </c>
      <c r="S38" s="33" t="str">
        <f ca="1">IF($A38="","",IF(INDEX(Sheet!Y$2:Y$7967,$A38)="","",INDEX(Sheet!Y$2:Y$7967,$A38)))</f>
        <v/>
      </c>
      <c r="T38" s="33" t="str">
        <f ca="1">IF($A38="","",IF(INDEX(Sheet!X$2:X$7967,$A38)="","",INDEX(Sheet!X$2:X$7967,$A38)))</f>
        <v/>
      </c>
      <c r="U38" s="33" t="str">
        <f ca="1">IF($A38="","",IF(INDEX(Sheet!AA$2:AA$7967,$A38)="","",INDEX(Sheet!AA$2:AA$7967,$A38)))</f>
        <v/>
      </c>
      <c r="V38" s="33" t="str">
        <f ca="1">IF($A38="","",IF(INDEX(Sheet!AB$2:AB$7967,$A38)="","",INDEX(Sheet!AB$2:AB$7967,$A38)))</f>
        <v/>
      </c>
      <c r="W38" s="33" t="str">
        <f ca="1">IF($A38="","",IF(INDEX(Sheet!AH$2:AH$7967,$A38)="","",INDEX(Sheet!AH$2:AH$7967,$A38)))</f>
        <v/>
      </c>
      <c r="X38" s="33" t="str">
        <f ca="1">IF($A38="","",IF(INDEX(Sheet!AC$2:AC$7967,$A38)="","",INDEX(Sheet!AC$2:AC$7967,$A38)))</f>
        <v/>
      </c>
      <c r="Y38" s="33" t="str">
        <f ca="1">IF($A38="","",IF(INDEX(Sheet!AD$2:AD$7967,$A38)="","",INDEX(Sheet!AD$2:AD$7967,$A38)))</f>
        <v/>
      </c>
      <c r="Z38" s="33" t="str">
        <f ca="1">IF($A38="","",IF(INDEX(Sheet!AL$2:AL$7967,$A38)="","",INDEX(Sheet!AL$2:AL$7967,$A38)))</f>
        <v/>
      </c>
      <c r="AA38" s="33" t="str">
        <f ca="1">IF($A38="","",IF(INDEX(Sheet!AE$2:AE$7967,$A38)="","",INDEX(Sheet!AE$2:AE$7967,$A38)))</f>
        <v/>
      </c>
      <c r="AB38" s="33" t="str">
        <f ca="1">IF($A38="","",IF(INDEX(Sheet!AF$2:AF$7967,$A38)="","",INDEX(Sheet!AF$2:AF$7967,$A38)))</f>
        <v/>
      </c>
      <c r="AC38" s="33" t="str">
        <f ca="1">IF($A38="","",IF(INDEX(Sheet!AG$2:AG$7967,$A38)="","",INDEX(Sheet!AG$2:AG$7967,$A38)))</f>
        <v/>
      </c>
      <c r="AD38" s="33" t="str">
        <f ca="1">IF($A38="","",IF(INDEX(Sheet!AM$2:AM$7967,$A38)="","",INDEX(Sheet!AM$2:AM$7967,$A38)))</f>
        <v/>
      </c>
      <c r="AE38" s="33" t="str">
        <f ca="1">IF($A38="","",IF(INDEX(Sheet!AJ$2:AJ$7967,$A38)="","",INDEX(Sheet!AJ$2:AJ$7967,$A38)))</f>
        <v/>
      </c>
      <c r="AF38" s="33" t="str">
        <f ca="1">IF($A38="","",IF(INDEX(Sheet!AI$2:AI$7967,$A38)="","",INDEX(Sheet!AI$2:AI$7967,$A38)))</f>
        <v/>
      </c>
      <c r="AG38" s="33" t="str">
        <f ca="1">IF(D38="duyệt sản xuất"," Bảo Bảo, Ngày "&amp;DAY($J$4)&amp;" Tháng "&amp;MONTH($J$4)&amp;" Năm "&amp;YEAR($J$4),IF(D38="Phê duyệt","NGƯỜI LẬP",IF(D38="Nguyễn Ngọc Thắng","NGUYỄN THỊ MAI",IF($A38="","",INDEX(Sheet!AK$2:AK$7967,$A38)))))</f>
        <v/>
      </c>
      <c r="AH38" s="58" t="str">
        <f ca="1">IF($A38="","",INDEX(Sheet!AR$2:AR$7967,$A38)&amp;" ; "&amp;INDEX(Sheet!M$2:M$7967,$A38))</f>
        <v/>
      </c>
      <c r="AI38" s="1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G38" s="35" t="str">
        <f ca="1">IFERROR(VALUE(separ(INDEX(Sheet!Q$2:Q$7967,$A38),"-",1)),"")</f>
        <v/>
      </c>
      <c r="BH38" s="35" t="str">
        <f ca="1">IFERROR(VALUE(separ(INDEX(Sheet!R$2:R$7967,$A38),"-",1)),"")</f>
        <v/>
      </c>
      <c r="BI38" s="35" t="str">
        <f ca="1">IFERROR(VALUE(separ(INDEX(Sheet!S$2:S$7967,$A38),"-",1)),"")</f>
        <v/>
      </c>
      <c r="BJ38" s="35" t="str">
        <f ca="1">IFERROR(VALUE(separ(INDEX(Sheet!T$2:T$7967,$A38),"-",1)),"")</f>
        <v/>
      </c>
      <c r="BK38" s="35" t="str">
        <f ca="1">IFERROR(VALUE(separ(INDEX(Sheet!U$2:U$7967,$A38),"-",1)),"")</f>
        <v/>
      </c>
      <c r="BL38" s="35" t="str">
        <f ca="1">IFERROR(VALUE(separ(INDEX(Sheet!V$2:V$7967,$A38),"-",1)),"")</f>
        <v/>
      </c>
      <c r="BM38" s="35" t="str">
        <f ca="1">IFERROR(VALUE(separ(INDEX(Sheet!W$2:W$7967,$A38),"-",1)),"")</f>
        <v/>
      </c>
      <c r="BN38" s="35" t="str">
        <f ca="1">IFERROR(VALUE(separ(INDEX(Sheet!X$2:X$7967,$A38),"-",1)),"")</f>
        <v/>
      </c>
      <c r="BO38" s="35" t="str">
        <f ca="1">IFERROR(VALUE(separ(INDEX(Sheet!Y$2:Y$7967,$A38),"-",1)),"")</f>
        <v/>
      </c>
      <c r="BP38" s="35" t="str">
        <f ca="1">IFERROR(VALUE(separ(INDEX(Sheet!Z$2:Z$7967,$A38),"-",1)),"")</f>
        <v/>
      </c>
      <c r="BQ38" s="35" t="str">
        <f ca="1">IFERROR(VALUE(separ(INDEX(Sheet!AA$2:AA$7967,$A38),"-",1)),"")</f>
        <v/>
      </c>
      <c r="BR38" s="35" t="str">
        <f ca="1">IFERROR(VALUE(separ(INDEX(Sheet!AB$2:AB$7967,$A38),"-",1)),"")</f>
        <v/>
      </c>
      <c r="BS38" s="35" t="str">
        <f ca="1">IFERROR(VALUE(separ(INDEX(Sheet!AC$2:AC$7967,$A38),"-",1)),"")</f>
        <v/>
      </c>
      <c r="BT38" s="35" t="str">
        <f ca="1">IFERROR(VALUE(separ(INDEX(Sheet!AD$2:AD$7967,$A38),"-",1)),"")</f>
        <v/>
      </c>
      <c r="BU38" s="35" t="str">
        <f ca="1">IFERROR(VALUE(separ(INDEX(Sheet!AE$2:AE$7967,$A38),"-",1)),"")</f>
        <v/>
      </c>
      <c r="BV38" s="35"/>
      <c r="BW38" s="35" t="str">
        <f ca="1">IFERROR((separ(INDEX(Sheet!Q$2:Q$7967,$A38),"-",2)),"")</f>
        <v/>
      </c>
      <c r="BX38" s="35" t="str">
        <f ca="1">IFERROR((separ(INDEX(Sheet!R$2:R$7967,$A38),"-",2)),"")</f>
        <v/>
      </c>
      <c r="BY38" s="35" t="str">
        <f ca="1">IFERROR((separ(INDEX(Sheet!S$2:S$7967,$A38),"-",2)),"")</f>
        <v/>
      </c>
      <c r="BZ38" s="35" t="str">
        <f ca="1">IFERROR((separ(INDEX(Sheet!T$2:T$7967,$A38),"-",2)),"")</f>
        <v/>
      </c>
      <c r="CA38" s="35" t="str">
        <f ca="1">IFERROR((separ(INDEX(Sheet!U$2:U$7967,$A38),"-",2)),"")</f>
        <v/>
      </c>
      <c r="CB38" s="35" t="str">
        <f ca="1">IFERROR((separ(INDEX(Sheet!V$2:V$7967,$A38),"-",2)),"")</f>
        <v/>
      </c>
      <c r="CC38" s="35" t="str">
        <f ca="1">IFERROR((separ(INDEX(Sheet!W$2:W$7967,$A38),"-",2)),"")</f>
        <v/>
      </c>
      <c r="CD38" s="35" t="str">
        <f ca="1">IFERROR((separ(INDEX(Sheet!X$2:X$7967,$A38),"-",2)),"")</f>
        <v/>
      </c>
      <c r="CE38" s="35" t="str">
        <f ca="1">IFERROR((separ(INDEX(Sheet!Y$2:Y$7967,$A38),"-",2)),"")</f>
        <v/>
      </c>
      <c r="CF38" s="35" t="str">
        <f ca="1">IFERROR((separ(INDEX(Sheet!Z$2:Z$7967,$A38),"-",2)),"")</f>
        <v/>
      </c>
      <c r="CG38" s="35" t="str">
        <f ca="1">IFERROR((separ(INDEX(Sheet!AA$2:AA$7967,$A38),"-",2)),"")</f>
        <v/>
      </c>
      <c r="CH38" s="35" t="str">
        <f ca="1">IFERROR((separ(INDEX(Sheet!AB$2:AB$7967,$A38),"-",2)),"")</f>
        <v/>
      </c>
      <c r="CI38" s="35" t="str">
        <f ca="1">IFERROR((separ(INDEX(Sheet!AC$2:AC$7967,$A38),"-",2)),"")</f>
        <v/>
      </c>
      <c r="CJ38" s="35" t="str">
        <f ca="1">IFERROR((separ(INDEX(Sheet!AD$2:AD$7967,$A38),"-",2)),"")</f>
        <v/>
      </c>
      <c r="CK38" s="35" t="str">
        <f ca="1">IFERROR((separ(INDEX(Sheet!AE$2:AE$7967,$A38),"-",2)),"")</f>
        <v/>
      </c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</row>
    <row r="39" spans="1:104" s="29" customFormat="1">
      <c r="A39" s="45" t="str">
        <f ca="1">IFERROR(MATCH($B$3,OFFSET(Sheet!$D$2,A38,0):'Sheet'!$D$7657,0)+A38,"")</f>
        <v/>
      </c>
      <c r="B39" s="29" t="str">
        <f ca="1">IF(ROW(A32)&lt;=COUNT($A$6:$A$800),INDEX(Sheet!$A$2:$A$7967,$A39),IF(ROW(A32)=COUNT($A$6:$A$800)+1," ",IF(ROW(A32)=COUNT($A$6:$A$800)+2,"  ","")))</f>
        <v/>
      </c>
      <c r="C39" s="67" t="str">
        <f ca="1">IF($A39="","",INDEX(Sheet!E$2:E$7967,$A39))</f>
        <v/>
      </c>
      <c r="D39" s="31" t="str">
        <f ca="1">IF(B36=" ",$AR$1,IF(B39=" ",$AQ$1,IF(A39="","",INDEX(Sheet!G$2:G$7967,$A39))))</f>
        <v/>
      </c>
      <c r="E39" s="32" t="str">
        <f ca="1">IF($A39="","",TEXT(INDEX(Sheet!J$2:J$7967,$A39),"#,#")&amp;" "&amp;INDEX(Sheet!AT$2:AT$7967,$A39))</f>
        <v/>
      </c>
      <c r="F39" s="53" t="str">
        <f ca="1">IF($A39="","",INDEX(Sheet!F$2:F$7967,$A39))</f>
        <v/>
      </c>
      <c r="G39" s="32" t="str">
        <f ca="1">IF($A39="","",INDEX(Sheet!I$2:I$7967,$A39))</f>
        <v/>
      </c>
      <c r="H39" s="32" t="str">
        <f ca="1">IF($A39="","",INDEX(Sheet!L$2:L$7967,$A39))</f>
        <v/>
      </c>
      <c r="I39" s="32" t="str">
        <f ca="1">IF($A39="","",INDEX(Sheet!N$2:N$7967,$A39))</f>
        <v/>
      </c>
      <c r="J39" s="53" t="str">
        <f ca="1">IF($A39="","",INDEX(Sheet!AS$2:AS$7967,$A39))</f>
        <v/>
      </c>
      <c r="K39" s="33" t="str">
        <f ca="1">IF($A39="","",IF(INDEX(Sheet!S$2:S$7967,$A39)="","",INDEX(Sheet!S$2:S$7967,$A39)))</f>
        <v/>
      </c>
      <c r="L39" s="33" t="str">
        <f ca="1">IF($A39="","",IF(INDEX(Sheet!R$2:R$7967,$A39)="","",INDEX(Sheet!R$2:R$7967,$A39)))</f>
        <v/>
      </c>
      <c r="M39" s="33" t="str">
        <f ca="1">IF($A39="","",IF(INDEX(Sheet!AO$2:AO$7967,$A39)="","",INDEX(Sheet!AO$2:AO$7967,$A39)))</f>
        <v/>
      </c>
      <c r="N39" s="33" t="str">
        <f ca="1">IF($A39="","",IF(INDEX(Sheet!T$2:T$7967,$A39)="","",INDEX(Sheet!T$2:T$7967,$A39)))</f>
        <v/>
      </c>
      <c r="O39" s="33" t="str">
        <f ca="1">IF($A39="","",IF(INDEX(Sheet!U$2:U$7967,$A39)="","",INDEX(Sheet!U$2:U$7967,$A39)))</f>
        <v/>
      </c>
      <c r="P39" s="33" t="str">
        <f ca="1">IF($A39="","",IF(INDEX(Sheet!W$2:W$7967,$A39)="","",INDEX(Sheet!W$2:W$7967,$A39)))</f>
        <v/>
      </c>
      <c r="Q39" s="33" t="str">
        <f ca="1">IF($A39="","",IF(INDEX(Sheet!V$2:V$7967,$A39)="","",INDEX(Sheet!V$2:V$7967,$A39)))</f>
        <v/>
      </c>
      <c r="R39" s="33" t="str">
        <f ca="1">IF($A39="","",IF(INDEX(Sheet!Z$2:Z$7967,$A39)="","",INDEX(Sheet!Z$2:Z$7967,$A39)))</f>
        <v/>
      </c>
      <c r="S39" s="33" t="str">
        <f ca="1">IF($A39="","",IF(INDEX(Sheet!Y$2:Y$7967,$A39)="","",INDEX(Sheet!Y$2:Y$7967,$A39)))</f>
        <v/>
      </c>
      <c r="T39" s="33" t="str">
        <f ca="1">IF($A39="","",IF(INDEX(Sheet!X$2:X$7967,$A39)="","",INDEX(Sheet!X$2:X$7967,$A39)))</f>
        <v/>
      </c>
      <c r="U39" s="33" t="str">
        <f ca="1">IF($A39="","",IF(INDEX(Sheet!AA$2:AA$7967,$A39)="","",INDEX(Sheet!AA$2:AA$7967,$A39)))</f>
        <v/>
      </c>
      <c r="V39" s="33" t="str">
        <f ca="1">IF($A39="","",IF(INDEX(Sheet!AB$2:AB$7967,$A39)="","",INDEX(Sheet!AB$2:AB$7967,$A39)))</f>
        <v/>
      </c>
      <c r="W39" s="33" t="str">
        <f ca="1">IF($A39="","",IF(INDEX(Sheet!AH$2:AH$7967,$A39)="","",INDEX(Sheet!AH$2:AH$7967,$A39)))</f>
        <v/>
      </c>
      <c r="X39" s="33" t="str">
        <f ca="1">IF($A39="","",IF(INDEX(Sheet!AC$2:AC$7967,$A39)="","",INDEX(Sheet!AC$2:AC$7967,$A39)))</f>
        <v/>
      </c>
      <c r="Y39" s="33" t="str">
        <f ca="1">IF($A39="","",IF(INDEX(Sheet!AD$2:AD$7967,$A39)="","",INDEX(Sheet!AD$2:AD$7967,$A39)))</f>
        <v/>
      </c>
      <c r="Z39" s="33" t="str">
        <f ca="1">IF($A39="","",IF(INDEX(Sheet!AL$2:AL$7967,$A39)="","",INDEX(Sheet!AL$2:AL$7967,$A39)))</f>
        <v/>
      </c>
      <c r="AA39" s="33" t="str">
        <f ca="1">IF($A39="","",IF(INDEX(Sheet!AE$2:AE$7967,$A39)="","",INDEX(Sheet!AE$2:AE$7967,$A39)))</f>
        <v/>
      </c>
      <c r="AB39" s="33" t="str">
        <f ca="1">IF($A39="","",IF(INDEX(Sheet!AF$2:AF$7967,$A39)="","",INDEX(Sheet!AF$2:AF$7967,$A39)))</f>
        <v/>
      </c>
      <c r="AC39" s="33" t="str">
        <f ca="1">IF($A39="","",IF(INDEX(Sheet!AG$2:AG$7967,$A39)="","",INDEX(Sheet!AG$2:AG$7967,$A39)))</f>
        <v/>
      </c>
      <c r="AD39" s="33" t="str">
        <f ca="1">IF($A39="","",IF(INDEX(Sheet!AM$2:AM$7967,$A39)="","",INDEX(Sheet!AM$2:AM$7967,$A39)))</f>
        <v/>
      </c>
      <c r="AE39" s="33" t="str">
        <f ca="1">IF($A39="","",IF(INDEX(Sheet!AJ$2:AJ$7967,$A39)="","",INDEX(Sheet!AJ$2:AJ$7967,$A39)))</f>
        <v/>
      </c>
      <c r="AF39" s="33" t="str">
        <f ca="1">IF($A39="","",IF(INDEX(Sheet!AI$2:AI$7967,$A39)="","",INDEX(Sheet!AI$2:AI$7967,$A39)))</f>
        <v/>
      </c>
      <c r="AG39" s="33" t="str">
        <f ca="1">IF(D39="duyệt sản xuất"," Bảo Bảo, Ngày "&amp;DAY($J$4)&amp;" Tháng "&amp;MONTH($J$4)&amp;" Năm "&amp;YEAR($J$4),IF(D39="Phê duyệt","NGƯỜI LẬP",IF(D39="Nguyễn Ngọc Thắng","NGUYỄN THỊ MAI",IF($A39="","",INDEX(Sheet!AK$2:AK$7967,$A39)))))</f>
        <v/>
      </c>
      <c r="AH39" s="58" t="str">
        <f ca="1">IF($A39="","",INDEX(Sheet!AR$2:AR$7967,$A39)&amp;" ; "&amp;INDEX(Sheet!M$2:M$7967,$A39))</f>
        <v/>
      </c>
      <c r="AI39" s="1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G39" s="35" t="str">
        <f ca="1">IFERROR(VALUE(separ(INDEX(Sheet!Q$2:Q$7967,$A39),"-",1)),"")</f>
        <v/>
      </c>
      <c r="BH39" s="35" t="str">
        <f ca="1">IFERROR(VALUE(separ(INDEX(Sheet!R$2:R$7967,$A39),"-",1)),"")</f>
        <v/>
      </c>
      <c r="BI39" s="35" t="str">
        <f ca="1">IFERROR(VALUE(separ(INDEX(Sheet!S$2:S$7967,$A39),"-",1)),"")</f>
        <v/>
      </c>
      <c r="BJ39" s="35" t="str">
        <f ca="1">IFERROR(VALUE(separ(INDEX(Sheet!T$2:T$7967,$A39),"-",1)),"")</f>
        <v/>
      </c>
      <c r="BK39" s="35" t="str">
        <f ca="1">IFERROR(VALUE(separ(INDEX(Sheet!U$2:U$7967,$A39),"-",1)),"")</f>
        <v/>
      </c>
      <c r="BL39" s="35" t="str">
        <f ca="1">IFERROR(VALUE(separ(INDEX(Sheet!V$2:V$7967,$A39),"-",1)),"")</f>
        <v/>
      </c>
      <c r="BM39" s="35" t="str">
        <f ca="1">IFERROR(VALUE(separ(INDEX(Sheet!W$2:W$7967,$A39),"-",1)),"")</f>
        <v/>
      </c>
      <c r="BN39" s="35" t="str">
        <f ca="1">IFERROR(VALUE(separ(INDEX(Sheet!X$2:X$7967,$A39),"-",1)),"")</f>
        <v/>
      </c>
      <c r="BO39" s="35" t="str">
        <f ca="1">IFERROR(VALUE(separ(INDEX(Sheet!Y$2:Y$7967,$A39),"-",1)),"")</f>
        <v/>
      </c>
      <c r="BP39" s="35" t="str">
        <f ca="1">IFERROR(VALUE(separ(INDEX(Sheet!Z$2:Z$7967,$A39),"-",1)),"")</f>
        <v/>
      </c>
      <c r="BQ39" s="35" t="str">
        <f ca="1">IFERROR(VALUE(separ(INDEX(Sheet!AA$2:AA$7967,$A39),"-",1)),"")</f>
        <v/>
      </c>
      <c r="BR39" s="35" t="str">
        <f ca="1">IFERROR(VALUE(separ(INDEX(Sheet!AB$2:AB$7967,$A39),"-",1)),"")</f>
        <v/>
      </c>
      <c r="BS39" s="35" t="str">
        <f ca="1">IFERROR(VALUE(separ(INDEX(Sheet!AC$2:AC$7967,$A39),"-",1)),"")</f>
        <v/>
      </c>
      <c r="BT39" s="35" t="str">
        <f ca="1">IFERROR(VALUE(separ(INDEX(Sheet!AD$2:AD$7967,$A39),"-",1)),"")</f>
        <v/>
      </c>
      <c r="BU39" s="35" t="str">
        <f ca="1">IFERROR(VALUE(separ(INDEX(Sheet!AE$2:AE$7967,$A39),"-",1)),"")</f>
        <v/>
      </c>
      <c r="BV39" s="35"/>
      <c r="BW39" s="35" t="str">
        <f ca="1">IFERROR((separ(INDEX(Sheet!Q$2:Q$7967,$A39),"-",2)),"")</f>
        <v/>
      </c>
      <c r="BX39" s="35" t="str">
        <f ca="1">IFERROR((separ(INDEX(Sheet!R$2:R$7967,$A39),"-",2)),"")</f>
        <v/>
      </c>
      <c r="BY39" s="35" t="str">
        <f ca="1">IFERROR((separ(INDEX(Sheet!S$2:S$7967,$A39),"-",2)),"")</f>
        <v/>
      </c>
      <c r="BZ39" s="35" t="str">
        <f ca="1">IFERROR((separ(INDEX(Sheet!T$2:T$7967,$A39),"-",2)),"")</f>
        <v/>
      </c>
      <c r="CA39" s="35" t="str">
        <f ca="1">IFERROR((separ(INDEX(Sheet!U$2:U$7967,$A39),"-",2)),"")</f>
        <v/>
      </c>
      <c r="CB39" s="35" t="str">
        <f ca="1">IFERROR((separ(INDEX(Sheet!V$2:V$7967,$A39),"-",2)),"")</f>
        <v/>
      </c>
      <c r="CC39" s="35" t="str">
        <f ca="1">IFERROR((separ(INDEX(Sheet!W$2:W$7967,$A39),"-",2)),"")</f>
        <v/>
      </c>
      <c r="CD39" s="35" t="str">
        <f ca="1">IFERROR((separ(INDEX(Sheet!X$2:X$7967,$A39),"-",2)),"")</f>
        <v/>
      </c>
      <c r="CE39" s="35" t="str">
        <f ca="1">IFERROR((separ(INDEX(Sheet!Y$2:Y$7967,$A39),"-",2)),"")</f>
        <v/>
      </c>
      <c r="CF39" s="35" t="str">
        <f ca="1">IFERROR((separ(INDEX(Sheet!Z$2:Z$7967,$A39),"-",2)),"")</f>
        <v/>
      </c>
      <c r="CG39" s="35" t="str">
        <f ca="1">IFERROR((separ(INDEX(Sheet!AA$2:AA$7967,$A39),"-",2)),"")</f>
        <v/>
      </c>
      <c r="CH39" s="35" t="str">
        <f ca="1">IFERROR((separ(INDEX(Sheet!AB$2:AB$7967,$A39),"-",2)),"")</f>
        <v/>
      </c>
      <c r="CI39" s="35" t="str">
        <f ca="1">IFERROR((separ(INDEX(Sheet!AC$2:AC$7967,$A39),"-",2)),"")</f>
        <v/>
      </c>
      <c r="CJ39" s="35" t="str">
        <f ca="1">IFERROR((separ(INDEX(Sheet!AD$2:AD$7967,$A39),"-",2)),"")</f>
        <v/>
      </c>
      <c r="CK39" s="35" t="str">
        <f ca="1">IFERROR((separ(INDEX(Sheet!AE$2:AE$7967,$A39),"-",2)),"")</f>
        <v/>
      </c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</row>
    <row r="40" spans="1:104" s="29" customFormat="1">
      <c r="A40" s="45" t="str">
        <f ca="1">IFERROR(MATCH($B$3,OFFSET(Sheet!$D$2,A39,0):'Sheet'!$D$7657,0)+A39,"")</f>
        <v/>
      </c>
      <c r="B40" s="29" t="str">
        <f ca="1">IF(ROW(A33)&lt;=COUNT($A$6:$A$800),INDEX(Sheet!$A$2:$A$7967,$A40),IF(ROW(A33)=COUNT($A$6:$A$800)+1," ",IF(ROW(A33)=COUNT($A$6:$A$800)+2,"  ","")))</f>
        <v/>
      </c>
      <c r="C40" s="67" t="str">
        <f ca="1">IF($A40="","",INDEX(Sheet!E$2:E$7967,$A40))</f>
        <v/>
      </c>
      <c r="D40" s="31" t="str">
        <f ca="1">IF(B37=" ",$AR$1,IF(B40=" ",$AQ$1,IF(A40="","",INDEX(Sheet!G$2:G$7967,$A40))))</f>
        <v/>
      </c>
      <c r="E40" s="32" t="str">
        <f ca="1">IF($A40="","",TEXT(INDEX(Sheet!J$2:J$7967,$A40),"#,#")&amp;" "&amp;INDEX(Sheet!AT$2:AT$7967,$A40))</f>
        <v/>
      </c>
      <c r="F40" s="53" t="str">
        <f ca="1">IF($A40="","",INDEX(Sheet!F$2:F$7967,$A40))</f>
        <v/>
      </c>
      <c r="G40" s="32" t="str">
        <f ca="1">IF($A40="","",INDEX(Sheet!I$2:I$7967,$A40))</f>
        <v/>
      </c>
      <c r="H40" s="32" t="str">
        <f ca="1">IF($A40="","",INDEX(Sheet!L$2:L$7967,$A40))</f>
        <v/>
      </c>
      <c r="I40" s="32" t="str">
        <f ca="1">IF($A40="","",INDEX(Sheet!N$2:N$7967,$A40))</f>
        <v/>
      </c>
      <c r="J40" s="53" t="str">
        <f ca="1">IF($A40="","",INDEX(Sheet!AS$2:AS$7967,$A40))</f>
        <v/>
      </c>
      <c r="K40" s="33" t="str">
        <f ca="1">IF($A40="","",IF(INDEX(Sheet!S$2:S$7967,$A40)="","",INDEX(Sheet!S$2:S$7967,$A40)))</f>
        <v/>
      </c>
      <c r="L40" s="33" t="str">
        <f ca="1">IF($A40="","",IF(INDEX(Sheet!R$2:R$7967,$A40)="","",INDEX(Sheet!R$2:R$7967,$A40)))</f>
        <v/>
      </c>
      <c r="M40" s="33" t="str">
        <f ca="1">IF($A40="","",IF(INDEX(Sheet!AO$2:AO$7967,$A40)="","",INDEX(Sheet!AO$2:AO$7967,$A40)))</f>
        <v/>
      </c>
      <c r="N40" s="33" t="str">
        <f ca="1">IF($A40="","",IF(INDEX(Sheet!T$2:T$7967,$A40)="","",INDEX(Sheet!T$2:T$7967,$A40)))</f>
        <v/>
      </c>
      <c r="O40" s="33" t="str">
        <f ca="1">IF($A40="","",IF(INDEX(Sheet!U$2:U$7967,$A40)="","",INDEX(Sheet!U$2:U$7967,$A40)))</f>
        <v/>
      </c>
      <c r="P40" s="33" t="str">
        <f ca="1">IF($A40="","",IF(INDEX(Sheet!W$2:W$7967,$A40)="","",INDEX(Sheet!W$2:W$7967,$A40)))</f>
        <v/>
      </c>
      <c r="Q40" s="33" t="str">
        <f ca="1">IF($A40="","",IF(INDEX(Sheet!V$2:V$7967,$A40)="","",INDEX(Sheet!V$2:V$7967,$A40)))</f>
        <v/>
      </c>
      <c r="R40" s="33" t="str">
        <f ca="1">IF($A40="","",IF(INDEX(Sheet!Z$2:Z$7967,$A40)="","",INDEX(Sheet!Z$2:Z$7967,$A40)))</f>
        <v/>
      </c>
      <c r="S40" s="33" t="str">
        <f ca="1">IF($A40="","",IF(INDEX(Sheet!Y$2:Y$7967,$A40)="","",INDEX(Sheet!Y$2:Y$7967,$A40)))</f>
        <v/>
      </c>
      <c r="T40" s="33" t="str">
        <f ca="1">IF($A40="","",IF(INDEX(Sheet!X$2:X$7967,$A40)="","",INDEX(Sheet!X$2:X$7967,$A40)))</f>
        <v/>
      </c>
      <c r="U40" s="33" t="str">
        <f ca="1">IF($A40="","",IF(INDEX(Sheet!AA$2:AA$7967,$A40)="","",INDEX(Sheet!AA$2:AA$7967,$A40)))</f>
        <v/>
      </c>
      <c r="V40" s="33" t="str">
        <f ca="1">IF($A40="","",IF(INDEX(Sheet!AB$2:AB$7967,$A40)="","",INDEX(Sheet!AB$2:AB$7967,$A40)))</f>
        <v/>
      </c>
      <c r="W40" s="33" t="str">
        <f ca="1">IF($A40="","",IF(INDEX(Sheet!AH$2:AH$7967,$A40)="","",INDEX(Sheet!AH$2:AH$7967,$A40)))</f>
        <v/>
      </c>
      <c r="X40" s="33" t="str">
        <f ca="1">IF($A40="","",IF(INDEX(Sheet!AC$2:AC$7967,$A40)="","",INDEX(Sheet!AC$2:AC$7967,$A40)))</f>
        <v/>
      </c>
      <c r="Y40" s="33" t="str">
        <f ca="1">IF($A40="","",IF(INDEX(Sheet!AD$2:AD$7967,$A40)="","",INDEX(Sheet!AD$2:AD$7967,$A40)))</f>
        <v/>
      </c>
      <c r="Z40" s="33" t="str">
        <f ca="1">IF($A40="","",IF(INDEX(Sheet!AL$2:AL$7967,$A40)="","",INDEX(Sheet!AL$2:AL$7967,$A40)))</f>
        <v/>
      </c>
      <c r="AA40" s="33" t="str">
        <f ca="1">IF($A40="","",IF(INDEX(Sheet!AE$2:AE$7967,$A40)="","",INDEX(Sheet!AE$2:AE$7967,$A40)))</f>
        <v/>
      </c>
      <c r="AB40" s="33" t="str">
        <f ca="1">IF($A40="","",IF(INDEX(Sheet!AF$2:AF$7967,$A40)="","",INDEX(Sheet!AF$2:AF$7967,$A40)))</f>
        <v/>
      </c>
      <c r="AC40" s="33" t="str">
        <f ca="1">IF($A40="","",IF(INDEX(Sheet!AG$2:AG$7967,$A40)="","",INDEX(Sheet!AG$2:AG$7967,$A40)))</f>
        <v/>
      </c>
      <c r="AD40" s="33" t="str">
        <f ca="1">IF($A40="","",IF(INDEX(Sheet!AM$2:AM$7967,$A40)="","",INDEX(Sheet!AM$2:AM$7967,$A40)))</f>
        <v/>
      </c>
      <c r="AE40" s="33" t="str">
        <f ca="1">IF($A40="","",IF(INDEX(Sheet!AJ$2:AJ$7967,$A40)="","",INDEX(Sheet!AJ$2:AJ$7967,$A40)))</f>
        <v/>
      </c>
      <c r="AF40" s="33" t="str">
        <f ca="1">IF($A40="","",IF(INDEX(Sheet!AI$2:AI$7967,$A40)="","",INDEX(Sheet!AI$2:AI$7967,$A40)))</f>
        <v/>
      </c>
      <c r="AG40" s="33" t="str">
        <f ca="1">IF(D40="duyệt sản xuất"," Bảo Bảo, Ngày "&amp;DAY($J$4)&amp;" Tháng "&amp;MONTH($J$4)&amp;" Năm "&amp;YEAR($J$4),IF(D40="Phê duyệt","NGƯỜI LẬP",IF(D40="Nguyễn Ngọc Thắng","NGUYỄN THỊ MAI",IF($A40="","",INDEX(Sheet!AK$2:AK$7967,$A40)))))</f>
        <v/>
      </c>
      <c r="AH40" s="58" t="str">
        <f ca="1">IF($A40="","",INDEX(Sheet!AR$2:AR$7967,$A40)&amp;" ; "&amp;INDEX(Sheet!M$2:M$7967,$A40))</f>
        <v/>
      </c>
      <c r="AI40" s="1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G40" s="35" t="str">
        <f ca="1">IFERROR(VALUE(separ(INDEX(Sheet!Q$2:Q$7967,$A40),"-",1)),"")</f>
        <v/>
      </c>
      <c r="BH40" s="35" t="str">
        <f ca="1">IFERROR(VALUE(separ(INDEX(Sheet!R$2:R$7967,$A40),"-",1)),"")</f>
        <v/>
      </c>
      <c r="BI40" s="35" t="str">
        <f ca="1">IFERROR(VALUE(separ(INDEX(Sheet!S$2:S$7967,$A40),"-",1)),"")</f>
        <v/>
      </c>
      <c r="BJ40" s="35" t="str">
        <f ca="1">IFERROR(VALUE(separ(INDEX(Sheet!T$2:T$7967,$A40),"-",1)),"")</f>
        <v/>
      </c>
      <c r="BK40" s="35" t="str">
        <f ca="1">IFERROR(VALUE(separ(INDEX(Sheet!U$2:U$7967,$A40),"-",1)),"")</f>
        <v/>
      </c>
      <c r="BL40" s="35" t="str">
        <f ca="1">IFERROR(VALUE(separ(INDEX(Sheet!V$2:V$7967,$A40),"-",1)),"")</f>
        <v/>
      </c>
      <c r="BM40" s="35" t="str">
        <f ca="1">IFERROR(VALUE(separ(INDEX(Sheet!W$2:W$7967,$A40),"-",1)),"")</f>
        <v/>
      </c>
      <c r="BN40" s="35" t="str">
        <f ca="1">IFERROR(VALUE(separ(INDEX(Sheet!X$2:X$7967,$A40),"-",1)),"")</f>
        <v/>
      </c>
      <c r="BO40" s="35" t="str">
        <f ca="1">IFERROR(VALUE(separ(INDEX(Sheet!Y$2:Y$7967,$A40),"-",1)),"")</f>
        <v/>
      </c>
      <c r="BP40" s="35" t="str">
        <f ca="1">IFERROR(VALUE(separ(INDEX(Sheet!Z$2:Z$7967,$A40),"-",1)),"")</f>
        <v/>
      </c>
      <c r="BQ40" s="35" t="str">
        <f ca="1">IFERROR(VALUE(separ(INDEX(Sheet!AA$2:AA$7967,$A40),"-",1)),"")</f>
        <v/>
      </c>
      <c r="BR40" s="35" t="str">
        <f ca="1">IFERROR(VALUE(separ(INDEX(Sheet!AB$2:AB$7967,$A40),"-",1)),"")</f>
        <v/>
      </c>
      <c r="BS40" s="35" t="str">
        <f ca="1">IFERROR(VALUE(separ(INDEX(Sheet!AC$2:AC$7967,$A40),"-",1)),"")</f>
        <v/>
      </c>
      <c r="BT40" s="35" t="str">
        <f ca="1">IFERROR(VALUE(separ(INDEX(Sheet!AD$2:AD$7967,$A40),"-",1)),"")</f>
        <v/>
      </c>
      <c r="BU40" s="35" t="str">
        <f ca="1">IFERROR(VALUE(separ(INDEX(Sheet!AE$2:AE$7967,$A40),"-",1)),"")</f>
        <v/>
      </c>
      <c r="BV40" s="35"/>
      <c r="BW40" s="35" t="str">
        <f ca="1">IFERROR((separ(INDEX(Sheet!Q$2:Q$7967,$A40),"-",2)),"")</f>
        <v/>
      </c>
      <c r="BX40" s="35" t="str">
        <f ca="1">IFERROR((separ(INDEX(Sheet!R$2:R$7967,$A40),"-",2)),"")</f>
        <v/>
      </c>
      <c r="BY40" s="35" t="str">
        <f ca="1">IFERROR((separ(INDEX(Sheet!S$2:S$7967,$A40),"-",2)),"")</f>
        <v/>
      </c>
      <c r="BZ40" s="35" t="str">
        <f ca="1">IFERROR((separ(INDEX(Sheet!T$2:T$7967,$A40),"-",2)),"")</f>
        <v/>
      </c>
      <c r="CA40" s="35" t="str">
        <f ca="1">IFERROR((separ(INDEX(Sheet!U$2:U$7967,$A40),"-",2)),"")</f>
        <v/>
      </c>
      <c r="CB40" s="35" t="str">
        <f ca="1">IFERROR((separ(INDEX(Sheet!V$2:V$7967,$A40),"-",2)),"")</f>
        <v/>
      </c>
      <c r="CC40" s="35" t="str">
        <f ca="1">IFERROR((separ(INDEX(Sheet!W$2:W$7967,$A40),"-",2)),"")</f>
        <v/>
      </c>
      <c r="CD40" s="35" t="str">
        <f ca="1">IFERROR((separ(INDEX(Sheet!X$2:X$7967,$A40),"-",2)),"")</f>
        <v/>
      </c>
      <c r="CE40" s="35" t="str">
        <f ca="1">IFERROR((separ(INDEX(Sheet!Y$2:Y$7967,$A40),"-",2)),"")</f>
        <v/>
      </c>
      <c r="CF40" s="35" t="str">
        <f ca="1">IFERROR((separ(INDEX(Sheet!Z$2:Z$7967,$A40),"-",2)),"")</f>
        <v/>
      </c>
      <c r="CG40" s="35" t="str">
        <f ca="1">IFERROR((separ(INDEX(Sheet!AA$2:AA$7967,$A40),"-",2)),"")</f>
        <v/>
      </c>
      <c r="CH40" s="35" t="str">
        <f ca="1">IFERROR((separ(INDEX(Sheet!AB$2:AB$7967,$A40),"-",2)),"")</f>
        <v/>
      </c>
      <c r="CI40" s="35" t="str">
        <f ca="1">IFERROR((separ(INDEX(Sheet!AC$2:AC$7967,$A40),"-",2)),"")</f>
        <v/>
      </c>
      <c r="CJ40" s="35" t="str">
        <f ca="1">IFERROR((separ(INDEX(Sheet!AD$2:AD$7967,$A40),"-",2)),"")</f>
        <v/>
      </c>
      <c r="CK40" s="35" t="str">
        <f ca="1">IFERROR((separ(INDEX(Sheet!AE$2:AE$7967,$A40),"-",2)),"")</f>
        <v/>
      </c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</row>
    <row r="41" spans="1:104" s="29" customFormat="1">
      <c r="A41" s="45" t="str">
        <f ca="1">IFERROR(MATCH($B$3,OFFSET(Sheet!$D$2,A40,0):'Sheet'!$D$7657,0)+A40,"")</f>
        <v/>
      </c>
      <c r="B41" s="29" t="str">
        <f ca="1">IF(ROW(A34)&lt;=COUNT($A$6:$A$800),INDEX(Sheet!$A$2:$A$7967,$A41),IF(ROW(A34)=COUNT($A$6:$A$800)+1," ",IF(ROW(A34)=COUNT($A$6:$A$800)+2,"  ","")))</f>
        <v/>
      </c>
      <c r="C41" s="67" t="str">
        <f ca="1">IF($A41="","",INDEX(Sheet!E$2:E$7967,$A41))</f>
        <v/>
      </c>
      <c r="D41" s="31" t="str">
        <f ca="1">IF(B38=" ",$AR$1,IF(B41=" ",$AQ$1,IF(A41="","",INDEX(Sheet!G$2:G$7967,$A41))))</f>
        <v/>
      </c>
      <c r="E41" s="32" t="str">
        <f ca="1">IF($A41="","",TEXT(INDEX(Sheet!J$2:J$7967,$A41),"#,#")&amp;" "&amp;INDEX(Sheet!AT$2:AT$7967,$A41))</f>
        <v/>
      </c>
      <c r="F41" s="53" t="str">
        <f ca="1">IF($A41="","",INDEX(Sheet!F$2:F$7967,$A41))</f>
        <v/>
      </c>
      <c r="G41" s="32" t="str">
        <f ca="1">IF($A41="","",INDEX(Sheet!I$2:I$7967,$A41))</f>
        <v/>
      </c>
      <c r="H41" s="32" t="str">
        <f ca="1">IF($A41="","",INDEX(Sheet!L$2:L$7967,$A41))</f>
        <v/>
      </c>
      <c r="I41" s="32" t="str">
        <f ca="1">IF($A41="","",INDEX(Sheet!N$2:N$7967,$A41))</f>
        <v/>
      </c>
      <c r="J41" s="53" t="str">
        <f ca="1">IF($A41="","",INDEX(Sheet!AS$2:AS$7967,$A41))</f>
        <v/>
      </c>
      <c r="K41" s="33" t="str">
        <f ca="1">IF($A41="","",IF(INDEX(Sheet!S$2:S$7967,$A41)="","",INDEX(Sheet!S$2:S$7967,$A41)))</f>
        <v/>
      </c>
      <c r="L41" s="33" t="str">
        <f ca="1">IF($A41="","",IF(INDEX(Sheet!R$2:R$7967,$A41)="","",INDEX(Sheet!R$2:R$7967,$A41)))</f>
        <v/>
      </c>
      <c r="M41" s="33" t="str">
        <f ca="1">IF($A41="","",IF(INDEX(Sheet!AO$2:AO$7967,$A41)="","",INDEX(Sheet!AO$2:AO$7967,$A41)))</f>
        <v/>
      </c>
      <c r="N41" s="33" t="str">
        <f ca="1">IF($A41="","",IF(INDEX(Sheet!T$2:T$7967,$A41)="","",INDEX(Sheet!T$2:T$7967,$A41)))</f>
        <v/>
      </c>
      <c r="O41" s="33" t="str">
        <f ca="1">IF($A41="","",IF(INDEX(Sheet!U$2:U$7967,$A41)="","",INDEX(Sheet!U$2:U$7967,$A41)))</f>
        <v/>
      </c>
      <c r="P41" s="33" t="str">
        <f ca="1">IF($A41="","",IF(INDEX(Sheet!W$2:W$7967,$A41)="","",INDEX(Sheet!W$2:W$7967,$A41)))</f>
        <v/>
      </c>
      <c r="Q41" s="33" t="str">
        <f ca="1">IF($A41="","",IF(INDEX(Sheet!V$2:V$7967,$A41)="","",INDEX(Sheet!V$2:V$7967,$A41)))</f>
        <v/>
      </c>
      <c r="R41" s="33" t="str">
        <f ca="1">IF($A41="","",IF(INDEX(Sheet!Z$2:Z$7967,$A41)="","",INDEX(Sheet!Z$2:Z$7967,$A41)))</f>
        <v/>
      </c>
      <c r="S41" s="33" t="str">
        <f ca="1">IF($A41="","",IF(INDEX(Sheet!Y$2:Y$7967,$A41)="","",INDEX(Sheet!Y$2:Y$7967,$A41)))</f>
        <v/>
      </c>
      <c r="T41" s="33" t="str">
        <f ca="1">IF($A41="","",IF(INDEX(Sheet!X$2:X$7967,$A41)="","",INDEX(Sheet!X$2:X$7967,$A41)))</f>
        <v/>
      </c>
      <c r="U41" s="33" t="str">
        <f ca="1">IF($A41="","",IF(INDEX(Sheet!AA$2:AA$7967,$A41)="","",INDEX(Sheet!AA$2:AA$7967,$A41)))</f>
        <v/>
      </c>
      <c r="V41" s="33" t="str">
        <f ca="1">IF($A41="","",IF(INDEX(Sheet!AB$2:AB$7967,$A41)="","",INDEX(Sheet!AB$2:AB$7967,$A41)))</f>
        <v/>
      </c>
      <c r="W41" s="33" t="str">
        <f ca="1">IF($A41="","",IF(INDEX(Sheet!AH$2:AH$7967,$A41)="","",INDEX(Sheet!AH$2:AH$7967,$A41)))</f>
        <v/>
      </c>
      <c r="X41" s="33" t="str">
        <f ca="1">IF($A41="","",IF(INDEX(Sheet!AC$2:AC$7967,$A41)="","",INDEX(Sheet!AC$2:AC$7967,$A41)))</f>
        <v/>
      </c>
      <c r="Y41" s="33" t="str">
        <f ca="1">IF($A41="","",IF(INDEX(Sheet!AD$2:AD$7967,$A41)="","",INDEX(Sheet!AD$2:AD$7967,$A41)))</f>
        <v/>
      </c>
      <c r="Z41" s="33" t="str">
        <f ca="1">IF($A41="","",IF(INDEX(Sheet!AL$2:AL$7967,$A41)="","",INDEX(Sheet!AL$2:AL$7967,$A41)))</f>
        <v/>
      </c>
      <c r="AA41" s="33" t="str">
        <f ca="1">IF($A41="","",IF(INDEX(Sheet!AE$2:AE$7967,$A41)="","",INDEX(Sheet!AE$2:AE$7967,$A41)))</f>
        <v/>
      </c>
      <c r="AB41" s="33" t="str">
        <f ca="1">IF($A41="","",IF(INDEX(Sheet!AF$2:AF$7967,$A41)="","",INDEX(Sheet!AF$2:AF$7967,$A41)))</f>
        <v/>
      </c>
      <c r="AC41" s="33" t="str">
        <f ca="1">IF($A41="","",IF(INDEX(Sheet!AG$2:AG$7967,$A41)="","",INDEX(Sheet!AG$2:AG$7967,$A41)))</f>
        <v/>
      </c>
      <c r="AD41" s="33" t="str">
        <f ca="1">IF($A41="","",IF(INDEX(Sheet!AM$2:AM$7967,$A41)="","",INDEX(Sheet!AM$2:AM$7967,$A41)))</f>
        <v/>
      </c>
      <c r="AE41" s="33" t="str">
        <f ca="1">IF($A41="","",IF(INDEX(Sheet!AJ$2:AJ$7967,$A41)="","",INDEX(Sheet!AJ$2:AJ$7967,$A41)))</f>
        <v/>
      </c>
      <c r="AF41" s="33" t="str">
        <f ca="1">IF($A41="","",IF(INDEX(Sheet!AI$2:AI$7967,$A41)="","",INDEX(Sheet!AI$2:AI$7967,$A41)))</f>
        <v/>
      </c>
      <c r="AG41" s="33" t="str">
        <f ca="1">IF(D41="duyệt sản xuất"," Bảo Bảo, Ngày "&amp;DAY($J$4)&amp;" Tháng "&amp;MONTH($J$4)&amp;" Năm "&amp;YEAR($J$4),IF(D41="Phê duyệt","NGƯỜI LẬP",IF(D41="Nguyễn Ngọc Thắng","NGUYỄN THỊ MAI",IF($A41="","",INDEX(Sheet!AK$2:AK$7967,$A41)))))</f>
        <v/>
      </c>
      <c r="AH41" s="58" t="str">
        <f ca="1">IF($A41="","",INDEX(Sheet!AR$2:AR$7967,$A41)&amp;" ; "&amp;INDEX(Sheet!M$2:M$7967,$A41))</f>
        <v/>
      </c>
      <c r="AI41" s="1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G41" s="35" t="str">
        <f ca="1">IFERROR(VALUE(separ(INDEX(Sheet!Q$2:Q$7967,$A41),"-",1)),"")</f>
        <v/>
      </c>
      <c r="BH41" s="35" t="str">
        <f ca="1">IFERROR(VALUE(separ(INDEX(Sheet!R$2:R$7967,$A41),"-",1)),"")</f>
        <v/>
      </c>
      <c r="BI41" s="35" t="str">
        <f ca="1">IFERROR(VALUE(separ(INDEX(Sheet!S$2:S$7967,$A41),"-",1)),"")</f>
        <v/>
      </c>
      <c r="BJ41" s="35" t="str">
        <f ca="1">IFERROR(VALUE(separ(INDEX(Sheet!T$2:T$7967,$A41),"-",1)),"")</f>
        <v/>
      </c>
      <c r="BK41" s="35" t="str">
        <f ca="1">IFERROR(VALUE(separ(INDEX(Sheet!U$2:U$7967,$A41),"-",1)),"")</f>
        <v/>
      </c>
      <c r="BL41" s="35" t="str">
        <f ca="1">IFERROR(VALUE(separ(INDEX(Sheet!V$2:V$7967,$A41),"-",1)),"")</f>
        <v/>
      </c>
      <c r="BM41" s="35" t="str">
        <f ca="1">IFERROR(VALUE(separ(INDEX(Sheet!W$2:W$7967,$A41),"-",1)),"")</f>
        <v/>
      </c>
      <c r="BN41" s="35" t="str">
        <f ca="1">IFERROR(VALUE(separ(INDEX(Sheet!X$2:X$7967,$A41),"-",1)),"")</f>
        <v/>
      </c>
      <c r="BO41" s="35" t="str">
        <f ca="1">IFERROR(VALUE(separ(INDEX(Sheet!Y$2:Y$7967,$A41),"-",1)),"")</f>
        <v/>
      </c>
      <c r="BP41" s="35" t="str">
        <f ca="1">IFERROR(VALUE(separ(INDEX(Sheet!Z$2:Z$7967,$A41),"-",1)),"")</f>
        <v/>
      </c>
      <c r="BQ41" s="35" t="str">
        <f ca="1">IFERROR(VALUE(separ(INDEX(Sheet!AA$2:AA$7967,$A41),"-",1)),"")</f>
        <v/>
      </c>
      <c r="BR41" s="35" t="str">
        <f ca="1">IFERROR(VALUE(separ(INDEX(Sheet!AB$2:AB$7967,$A41),"-",1)),"")</f>
        <v/>
      </c>
      <c r="BS41" s="35" t="str">
        <f ca="1">IFERROR(VALUE(separ(INDEX(Sheet!AC$2:AC$7967,$A41),"-",1)),"")</f>
        <v/>
      </c>
      <c r="BT41" s="35" t="str">
        <f ca="1">IFERROR(VALUE(separ(INDEX(Sheet!AD$2:AD$7967,$A41),"-",1)),"")</f>
        <v/>
      </c>
      <c r="BU41" s="35" t="str">
        <f ca="1">IFERROR(VALUE(separ(INDEX(Sheet!AE$2:AE$7967,$A41),"-",1)),"")</f>
        <v/>
      </c>
      <c r="BV41" s="35"/>
      <c r="BW41" s="35" t="str">
        <f ca="1">IFERROR((separ(INDEX(Sheet!Q$2:Q$7967,$A41),"-",2)),"")</f>
        <v/>
      </c>
      <c r="BX41" s="35" t="str">
        <f ca="1">IFERROR((separ(INDEX(Sheet!R$2:R$7967,$A41),"-",2)),"")</f>
        <v/>
      </c>
      <c r="BY41" s="35" t="str">
        <f ca="1">IFERROR((separ(INDEX(Sheet!S$2:S$7967,$A41),"-",2)),"")</f>
        <v/>
      </c>
      <c r="BZ41" s="35" t="str">
        <f ca="1">IFERROR((separ(INDEX(Sheet!T$2:T$7967,$A41),"-",2)),"")</f>
        <v/>
      </c>
      <c r="CA41" s="35" t="str">
        <f ca="1">IFERROR((separ(INDEX(Sheet!U$2:U$7967,$A41),"-",2)),"")</f>
        <v/>
      </c>
      <c r="CB41" s="35" t="str">
        <f ca="1">IFERROR((separ(INDEX(Sheet!V$2:V$7967,$A41),"-",2)),"")</f>
        <v/>
      </c>
      <c r="CC41" s="35" t="str">
        <f ca="1">IFERROR((separ(INDEX(Sheet!W$2:W$7967,$A41),"-",2)),"")</f>
        <v/>
      </c>
      <c r="CD41" s="35" t="str">
        <f ca="1">IFERROR((separ(INDEX(Sheet!X$2:X$7967,$A41),"-",2)),"")</f>
        <v/>
      </c>
      <c r="CE41" s="35" t="str">
        <f ca="1">IFERROR((separ(INDEX(Sheet!Y$2:Y$7967,$A41),"-",2)),"")</f>
        <v/>
      </c>
      <c r="CF41" s="35" t="str">
        <f ca="1">IFERROR((separ(INDEX(Sheet!Z$2:Z$7967,$A41),"-",2)),"")</f>
        <v/>
      </c>
      <c r="CG41" s="35" t="str">
        <f ca="1">IFERROR((separ(INDEX(Sheet!AA$2:AA$7967,$A41),"-",2)),"")</f>
        <v/>
      </c>
      <c r="CH41" s="35" t="str">
        <f ca="1">IFERROR((separ(INDEX(Sheet!AB$2:AB$7967,$A41),"-",2)),"")</f>
        <v/>
      </c>
      <c r="CI41" s="35" t="str">
        <f ca="1">IFERROR((separ(INDEX(Sheet!AC$2:AC$7967,$A41),"-",2)),"")</f>
        <v/>
      </c>
      <c r="CJ41" s="35" t="str">
        <f ca="1">IFERROR((separ(INDEX(Sheet!AD$2:AD$7967,$A41),"-",2)),"")</f>
        <v/>
      </c>
      <c r="CK41" s="35" t="str">
        <f ca="1">IFERROR((separ(INDEX(Sheet!AE$2:AE$7967,$A41),"-",2)),"")</f>
        <v/>
      </c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</row>
    <row r="42" spans="1:104" s="29" customFormat="1">
      <c r="A42" s="45" t="str">
        <f ca="1">IFERROR(MATCH($B$3,OFFSET(Sheet!$D$2,A41,0):'Sheet'!$D$7657,0)+A41,"")</f>
        <v/>
      </c>
      <c r="B42" s="29" t="str">
        <f ca="1">IF(ROW(A35)&lt;=COUNT($A$6:$A$800),INDEX(Sheet!$A$2:$A$7967,$A42),IF(ROW(A35)=COUNT($A$6:$A$800)+1," ",IF(ROW(A35)=COUNT($A$6:$A$800)+2,"  ","")))</f>
        <v/>
      </c>
      <c r="C42" s="67" t="str">
        <f ca="1">IF($A42="","",INDEX(Sheet!E$2:E$7967,$A42))</f>
        <v/>
      </c>
      <c r="D42" s="31" t="str">
        <f ca="1">IF(B39=" ",$AR$1,IF(B42=" ",$AQ$1,IF(A42="","",INDEX(Sheet!G$2:G$7967,$A42))))</f>
        <v/>
      </c>
      <c r="E42" s="32" t="str">
        <f ca="1">IF($A42="","",TEXT(INDEX(Sheet!J$2:J$7967,$A42),"#,#")&amp;" "&amp;INDEX(Sheet!AT$2:AT$7967,$A42))</f>
        <v/>
      </c>
      <c r="F42" s="53" t="str">
        <f ca="1">IF($A42="","",INDEX(Sheet!F$2:F$7967,$A42))</f>
        <v/>
      </c>
      <c r="G42" s="32" t="str">
        <f ca="1">IF($A42="","",INDEX(Sheet!I$2:I$7967,$A42))</f>
        <v/>
      </c>
      <c r="H42" s="32" t="str">
        <f ca="1">IF($A42="","",INDEX(Sheet!L$2:L$7967,$A42))</f>
        <v/>
      </c>
      <c r="I42" s="32" t="str">
        <f ca="1">IF($A42="","",INDEX(Sheet!N$2:N$7967,$A42))</f>
        <v/>
      </c>
      <c r="J42" s="53" t="str">
        <f ca="1">IF($A42="","",INDEX(Sheet!AS$2:AS$7967,$A42))</f>
        <v/>
      </c>
      <c r="K42" s="33" t="str">
        <f ca="1">IF($A42="","",IF(INDEX(Sheet!S$2:S$7967,$A42)="","",INDEX(Sheet!S$2:S$7967,$A42)))</f>
        <v/>
      </c>
      <c r="L42" s="33" t="str">
        <f ca="1">IF($A42="","",IF(INDEX(Sheet!R$2:R$7967,$A42)="","",INDEX(Sheet!R$2:R$7967,$A42)))</f>
        <v/>
      </c>
      <c r="M42" s="33" t="str">
        <f ca="1">IF($A42="","",IF(INDEX(Sheet!AO$2:AO$7967,$A42)="","",INDEX(Sheet!AO$2:AO$7967,$A42)))</f>
        <v/>
      </c>
      <c r="N42" s="33" t="str">
        <f ca="1">IF($A42="","",IF(INDEX(Sheet!T$2:T$7967,$A42)="","",INDEX(Sheet!T$2:T$7967,$A42)))</f>
        <v/>
      </c>
      <c r="O42" s="33" t="str">
        <f ca="1">IF($A42="","",IF(INDEX(Sheet!U$2:U$7967,$A42)="","",INDEX(Sheet!U$2:U$7967,$A42)))</f>
        <v/>
      </c>
      <c r="P42" s="33" t="str">
        <f ca="1">IF($A42="","",IF(INDEX(Sheet!W$2:W$7967,$A42)="","",INDEX(Sheet!W$2:W$7967,$A42)))</f>
        <v/>
      </c>
      <c r="Q42" s="33" t="str">
        <f ca="1">IF($A42="","",IF(INDEX(Sheet!V$2:V$7967,$A42)="","",INDEX(Sheet!V$2:V$7967,$A42)))</f>
        <v/>
      </c>
      <c r="R42" s="33" t="str">
        <f ca="1">IF($A42="","",IF(INDEX(Sheet!Z$2:Z$7967,$A42)="","",INDEX(Sheet!Z$2:Z$7967,$A42)))</f>
        <v/>
      </c>
      <c r="S42" s="33" t="str">
        <f ca="1">IF($A42="","",IF(INDEX(Sheet!Y$2:Y$7967,$A42)="","",INDEX(Sheet!Y$2:Y$7967,$A42)))</f>
        <v/>
      </c>
      <c r="T42" s="33" t="str">
        <f ca="1">IF($A42="","",IF(INDEX(Sheet!X$2:X$7967,$A42)="","",INDEX(Sheet!X$2:X$7967,$A42)))</f>
        <v/>
      </c>
      <c r="U42" s="33" t="str">
        <f ca="1">IF($A42="","",IF(INDEX(Sheet!AA$2:AA$7967,$A42)="","",INDEX(Sheet!AA$2:AA$7967,$A42)))</f>
        <v/>
      </c>
      <c r="V42" s="33" t="str">
        <f ca="1">IF($A42="","",IF(INDEX(Sheet!AB$2:AB$7967,$A42)="","",INDEX(Sheet!AB$2:AB$7967,$A42)))</f>
        <v/>
      </c>
      <c r="W42" s="33" t="str">
        <f ca="1">IF($A42="","",IF(INDEX(Sheet!AH$2:AH$7967,$A42)="","",INDEX(Sheet!AH$2:AH$7967,$A42)))</f>
        <v/>
      </c>
      <c r="X42" s="33" t="str">
        <f ca="1">IF($A42="","",IF(INDEX(Sheet!AC$2:AC$7967,$A42)="","",INDEX(Sheet!AC$2:AC$7967,$A42)))</f>
        <v/>
      </c>
      <c r="Y42" s="33" t="str">
        <f ca="1">IF($A42="","",IF(INDEX(Sheet!AD$2:AD$7967,$A42)="","",INDEX(Sheet!AD$2:AD$7967,$A42)))</f>
        <v/>
      </c>
      <c r="Z42" s="33" t="str">
        <f ca="1">IF($A42="","",IF(INDEX(Sheet!AL$2:AL$7967,$A42)="","",INDEX(Sheet!AL$2:AL$7967,$A42)))</f>
        <v/>
      </c>
      <c r="AA42" s="33" t="str">
        <f ca="1">IF($A42="","",IF(INDEX(Sheet!AE$2:AE$7967,$A42)="","",INDEX(Sheet!AE$2:AE$7967,$A42)))</f>
        <v/>
      </c>
      <c r="AB42" s="33" t="str">
        <f ca="1">IF($A42="","",IF(INDEX(Sheet!AF$2:AF$7967,$A42)="","",INDEX(Sheet!AF$2:AF$7967,$A42)))</f>
        <v/>
      </c>
      <c r="AC42" s="33" t="str">
        <f ca="1">IF($A42="","",IF(INDEX(Sheet!AG$2:AG$7967,$A42)="","",INDEX(Sheet!AG$2:AG$7967,$A42)))</f>
        <v/>
      </c>
      <c r="AD42" s="33" t="str">
        <f ca="1">IF($A42="","",IF(INDEX(Sheet!AM$2:AM$7967,$A42)="","",INDEX(Sheet!AM$2:AM$7967,$A42)))</f>
        <v/>
      </c>
      <c r="AE42" s="33" t="str">
        <f ca="1">IF($A42="","",IF(INDEX(Sheet!AJ$2:AJ$7967,$A42)="","",INDEX(Sheet!AJ$2:AJ$7967,$A42)))</f>
        <v/>
      </c>
      <c r="AF42" s="33" t="str">
        <f ca="1">IF($A42="","",IF(INDEX(Sheet!AI$2:AI$7967,$A42)="","",INDEX(Sheet!AI$2:AI$7967,$A42)))</f>
        <v/>
      </c>
      <c r="AG42" s="33" t="str">
        <f ca="1">IF(D42="duyệt sản xuất"," Bảo Bảo, Ngày "&amp;DAY($J$4)&amp;" Tháng "&amp;MONTH($J$4)&amp;" Năm "&amp;YEAR($J$4),IF(D42="Phê duyệt","NGƯỜI LẬP",IF(D42="Nguyễn Ngọc Thắng","NGUYỄN THỊ MAI",IF($A42="","",INDEX(Sheet!AK$2:AK$7967,$A42)))))</f>
        <v/>
      </c>
      <c r="AH42" s="58" t="str">
        <f ca="1">IF($A42="","",INDEX(Sheet!AR$2:AR$7967,$A42)&amp;" ; "&amp;INDEX(Sheet!M$2:M$7967,$A42))</f>
        <v/>
      </c>
      <c r="AI42" s="1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G42" s="35" t="str">
        <f ca="1">IFERROR(VALUE(separ(INDEX(Sheet!Q$2:Q$7967,$A42),"-",1)),"")</f>
        <v/>
      </c>
      <c r="BH42" s="35" t="str">
        <f ca="1">IFERROR(VALUE(separ(INDEX(Sheet!R$2:R$7967,$A42),"-",1)),"")</f>
        <v/>
      </c>
      <c r="BI42" s="35" t="str">
        <f ca="1">IFERROR(VALUE(separ(INDEX(Sheet!S$2:S$7967,$A42),"-",1)),"")</f>
        <v/>
      </c>
      <c r="BJ42" s="35" t="str">
        <f ca="1">IFERROR(VALUE(separ(INDEX(Sheet!T$2:T$7967,$A42),"-",1)),"")</f>
        <v/>
      </c>
      <c r="BK42" s="35" t="str">
        <f ca="1">IFERROR(VALUE(separ(INDEX(Sheet!U$2:U$7967,$A42),"-",1)),"")</f>
        <v/>
      </c>
      <c r="BL42" s="35" t="str">
        <f ca="1">IFERROR(VALUE(separ(INDEX(Sheet!V$2:V$7967,$A42),"-",1)),"")</f>
        <v/>
      </c>
      <c r="BM42" s="35" t="str">
        <f ca="1">IFERROR(VALUE(separ(INDEX(Sheet!W$2:W$7967,$A42),"-",1)),"")</f>
        <v/>
      </c>
      <c r="BN42" s="35" t="str">
        <f ca="1">IFERROR(VALUE(separ(INDEX(Sheet!X$2:X$7967,$A42),"-",1)),"")</f>
        <v/>
      </c>
      <c r="BO42" s="35" t="str">
        <f ca="1">IFERROR(VALUE(separ(INDEX(Sheet!Y$2:Y$7967,$A42),"-",1)),"")</f>
        <v/>
      </c>
      <c r="BP42" s="35" t="str">
        <f ca="1">IFERROR(VALUE(separ(INDEX(Sheet!Z$2:Z$7967,$A42),"-",1)),"")</f>
        <v/>
      </c>
      <c r="BQ42" s="35" t="str">
        <f ca="1">IFERROR(VALUE(separ(INDEX(Sheet!AA$2:AA$7967,$A42),"-",1)),"")</f>
        <v/>
      </c>
      <c r="BR42" s="35" t="str">
        <f ca="1">IFERROR(VALUE(separ(INDEX(Sheet!AB$2:AB$7967,$A42),"-",1)),"")</f>
        <v/>
      </c>
      <c r="BS42" s="35" t="str">
        <f ca="1">IFERROR(VALUE(separ(INDEX(Sheet!AC$2:AC$7967,$A42),"-",1)),"")</f>
        <v/>
      </c>
      <c r="BT42" s="35" t="str">
        <f ca="1">IFERROR(VALUE(separ(INDEX(Sheet!AD$2:AD$7967,$A42),"-",1)),"")</f>
        <v/>
      </c>
      <c r="BU42" s="35" t="str">
        <f ca="1">IFERROR(VALUE(separ(INDEX(Sheet!AE$2:AE$7967,$A42),"-",1)),"")</f>
        <v/>
      </c>
      <c r="BV42" s="35"/>
      <c r="BW42" s="35" t="str">
        <f ca="1">IFERROR((separ(INDEX(Sheet!Q$2:Q$7967,$A42),"-",2)),"")</f>
        <v/>
      </c>
      <c r="BX42" s="35" t="str">
        <f ca="1">IFERROR((separ(INDEX(Sheet!R$2:R$7967,$A42),"-",2)),"")</f>
        <v/>
      </c>
      <c r="BY42" s="35" t="str">
        <f ca="1">IFERROR((separ(INDEX(Sheet!S$2:S$7967,$A42),"-",2)),"")</f>
        <v/>
      </c>
      <c r="BZ42" s="35" t="str">
        <f ca="1">IFERROR((separ(INDEX(Sheet!T$2:T$7967,$A42),"-",2)),"")</f>
        <v/>
      </c>
      <c r="CA42" s="35" t="str">
        <f ca="1">IFERROR((separ(INDEX(Sheet!U$2:U$7967,$A42),"-",2)),"")</f>
        <v/>
      </c>
      <c r="CB42" s="35" t="str">
        <f ca="1">IFERROR((separ(INDEX(Sheet!V$2:V$7967,$A42),"-",2)),"")</f>
        <v/>
      </c>
      <c r="CC42" s="35" t="str">
        <f ca="1">IFERROR((separ(INDEX(Sheet!W$2:W$7967,$A42),"-",2)),"")</f>
        <v/>
      </c>
      <c r="CD42" s="35" t="str">
        <f ca="1">IFERROR((separ(INDEX(Sheet!X$2:X$7967,$A42),"-",2)),"")</f>
        <v/>
      </c>
      <c r="CE42" s="35" t="str">
        <f ca="1">IFERROR((separ(INDEX(Sheet!Y$2:Y$7967,$A42),"-",2)),"")</f>
        <v/>
      </c>
      <c r="CF42" s="35" t="str">
        <f ca="1">IFERROR((separ(INDEX(Sheet!Z$2:Z$7967,$A42),"-",2)),"")</f>
        <v/>
      </c>
      <c r="CG42" s="35" t="str">
        <f ca="1">IFERROR((separ(INDEX(Sheet!AA$2:AA$7967,$A42),"-",2)),"")</f>
        <v/>
      </c>
      <c r="CH42" s="35" t="str">
        <f ca="1">IFERROR((separ(INDEX(Sheet!AB$2:AB$7967,$A42),"-",2)),"")</f>
        <v/>
      </c>
      <c r="CI42" s="35" t="str">
        <f ca="1">IFERROR((separ(INDEX(Sheet!AC$2:AC$7967,$A42),"-",2)),"")</f>
        <v/>
      </c>
      <c r="CJ42" s="35" t="str">
        <f ca="1">IFERROR((separ(INDEX(Sheet!AD$2:AD$7967,$A42),"-",2)),"")</f>
        <v/>
      </c>
      <c r="CK42" s="35" t="str">
        <f ca="1">IFERROR((separ(INDEX(Sheet!AE$2:AE$7967,$A42),"-",2)),"")</f>
        <v/>
      </c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</row>
    <row r="43" spans="1:104" s="29" customFormat="1">
      <c r="A43" s="45" t="str">
        <f ca="1">IFERROR(MATCH($B$3,OFFSET(Sheet!$D$2,A42,0):'Sheet'!$D$7657,0)+A42,"")</f>
        <v/>
      </c>
      <c r="B43" s="29" t="str">
        <f ca="1">IF(ROW(A36)&lt;=COUNT($A$6:$A$800),INDEX(Sheet!$A$2:$A$7967,$A43),IF(ROW(A36)=COUNT($A$6:$A$800)+1," ",IF(ROW(A36)=COUNT($A$6:$A$800)+2,"  ","")))</f>
        <v/>
      </c>
      <c r="C43" s="67" t="str">
        <f ca="1">IF($A43="","",INDEX(Sheet!E$2:E$7967,$A43))</f>
        <v/>
      </c>
      <c r="D43" s="31" t="str">
        <f ca="1">IF(B40=" ",$AR$1,IF(B43=" ",$AQ$1,IF(A43="","",INDEX(Sheet!G$2:G$7967,$A43))))</f>
        <v/>
      </c>
      <c r="E43" s="32" t="str">
        <f ca="1">IF($A43="","",TEXT(INDEX(Sheet!J$2:J$7967,$A43),"#,#")&amp;" "&amp;INDEX(Sheet!AT$2:AT$7967,$A43))</f>
        <v/>
      </c>
      <c r="F43" s="53" t="str">
        <f ca="1">IF($A43="","",INDEX(Sheet!F$2:F$7967,$A43))</f>
        <v/>
      </c>
      <c r="G43" s="32" t="str">
        <f ca="1">IF($A43="","",INDEX(Sheet!I$2:I$7967,$A43))</f>
        <v/>
      </c>
      <c r="H43" s="32" t="str">
        <f ca="1">IF($A43="","",INDEX(Sheet!L$2:L$7967,$A43))</f>
        <v/>
      </c>
      <c r="I43" s="32" t="str">
        <f ca="1">IF($A43="","",INDEX(Sheet!N$2:N$7967,$A43))</f>
        <v/>
      </c>
      <c r="J43" s="53" t="str">
        <f ca="1">IF($A43="","",INDEX(Sheet!AS$2:AS$7967,$A43))</f>
        <v/>
      </c>
      <c r="K43" s="33" t="str">
        <f ca="1">IF($A43="","",IF(INDEX(Sheet!S$2:S$7967,$A43)="","",INDEX(Sheet!S$2:S$7967,$A43)))</f>
        <v/>
      </c>
      <c r="L43" s="33" t="str">
        <f ca="1">IF($A43="","",IF(INDEX(Sheet!R$2:R$7967,$A43)="","",INDEX(Sheet!R$2:R$7967,$A43)))</f>
        <v/>
      </c>
      <c r="M43" s="33" t="str">
        <f ca="1">IF($A43="","",IF(INDEX(Sheet!AO$2:AO$7967,$A43)="","",INDEX(Sheet!AO$2:AO$7967,$A43)))</f>
        <v/>
      </c>
      <c r="N43" s="33" t="str">
        <f ca="1">IF($A43="","",IF(INDEX(Sheet!T$2:T$7967,$A43)="","",INDEX(Sheet!T$2:T$7967,$A43)))</f>
        <v/>
      </c>
      <c r="O43" s="33" t="str">
        <f ca="1">IF($A43="","",IF(INDEX(Sheet!U$2:U$7967,$A43)="","",INDEX(Sheet!U$2:U$7967,$A43)))</f>
        <v/>
      </c>
      <c r="P43" s="33" t="str">
        <f ca="1">IF($A43="","",IF(INDEX(Sheet!W$2:W$7967,$A43)="","",INDEX(Sheet!W$2:W$7967,$A43)))</f>
        <v/>
      </c>
      <c r="Q43" s="33" t="str">
        <f ca="1">IF($A43="","",IF(INDEX(Sheet!V$2:V$7967,$A43)="","",INDEX(Sheet!V$2:V$7967,$A43)))</f>
        <v/>
      </c>
      <c r="R43" s="33" t="str">
        <f ca="1">IF($A43="","",IF(INDEX(Sheet!Z$2:Z$7967,$A43)="","",INDEX(Sheet!Z$2:Z$7967,$A43)))</f>
        <v/>
      </c>
      <c r="S43" s="33" t="str">
        <f ca="1">IF($A43="","",IF(INDEX(Sheet!Y$2:Y$7967,$A43)="","",INDEX(Sheet!Y$2:Y$7967,$A43)))</f>
        <v/>
      </c>
      <c r="T43" s="33" t="str">
        <f ca="1">IF($A43="","",IF(INDEX(Sheet!X$2:X$7967,$A43)="","",INDEX(Sheet!X$2:X$7967,$A43)))</f>
        <v/>
      </c>
      <c r="U43" s="33" t="str">
        <f ca="1">IF($A43="","",IF(INDEX(Sheet!AA$2:AA$7967,$A43)="","",INDEX(Sheet!AA$2:AA$7967,$A43)))</f>
        <v/>
      </c>
      <c r="V43" s="33" t="str">
        <f ca="1">IF($A43="","",IF(INDEX(Sheet!AB$2:AB$7967,$A43)="","",INDEX(Sheet!AB$2:AB$7967,$A43)))</f>
        <v/>
      </c>
      <c r="W43" s="33" t="str">
        <f ca="1">IF($A43="","",IF(INDEX(Sheet!AH$2:AH$7967,$A43)="","",INDEX(Sheet!AH$2:AH$7967,$A43)))</f>
        <v/>
      </c>
      <c r="X43" s="33" t="str">
        <f ca="1">IF($A43="","",IF(INDEX(Sheet!AC$2:AC$7967,$A43)="","",INDEX(Sheet!AC$2:AC$7967,$A43)))</f>
        <v/>
      </c>
      <c r="Y43" s="33" t="str">
        <f ca="1">IF($A43="","",IF(INDEX(Sheet!AD$2:AD$7967,$A43)="","",INDEX(Sheet!AD$2:AD$7967,$A43)))</f>
        <v/>
      </c>
      <c r="Z43" s="33" t="str">
        <f ca="1">IF($A43="","",IF(INDEX(Sheet!AL$2:AL$7967,$A43)="","",INDEX(Sheet!AL$2:AL$7967,$A43)))</f>
        <v/>
      </c>
      <c r="AA43" s="33" t="str">
        <f ca="1">IF($A43="","",IF(INDEX(Sheet!AE$2:AE$7967,$A43)="","",INDEX(Sheet!AE$2:AE$7967,$A43)))</f>
        <v/>
      </c>
      <c r="AB43" s="33" t="str">
        <f ca="1">IF($A43="","",IF(INDEX(Sheet!AF$2:AF$7967,$A43)="","",INDEX(Sheet!AF$2:AF$7967,$A43)))</f>
        <v/>
      </c>
      <c r="AC43" s="33" t="str">
        <f ca="1">IF($A43="","",IF(INDEX(Sheet!AG$2:AG$7967,$A43)="","",INDEX(Sheet!AG$2:AG$7967,$A43)))</f>
        <v/>
      </c>
      <c r="AD43" s="33" t="str">
        <f ca="1">IF($A43="","",IF(INDEX(Sheet!AM$2:AM$7967,$A43)="","",INDEX(Sheet!AM$2:AM$7967,$A43)))</f>
        <v/>
      </c>
      <c r="AE43" s="33" t="str">
        <f ca="1">IF($A43="","",IF(INDEX(Sheet!AJ$2:AJ$7967,$A43)="","",INDEX(Sheet!AJ$2:AJ$7967,$A43)))</f>
        <v/>
      </c>
      <c r="AF43" s="33" t="str">
        <f ca="1">IF($A43="","",IF(INDEX(Sheet!AI$2:AI$7967,$A43)="","",INDEX(Sheet!AI$2:AI$7967,$A43)))</f>
        <v/>
      </c>
      <c r="AG43" s="33" t="str">
        <f ca="1">IF(D43="duyệt sản xuất"," Bảo Bảo, Ngày "&amp;DAY($J$4)&amp;" Tháng "&amp;MONTH($J$4)&amp;" Năm "&amp;YEAR($J$4),IF(D43="Phê duyệt","NGƯỜI LẬP",IF(D43="Nguyễn Ngọc Thắng","NGUYỄN THỊ MAI",IF($A43="","",INDEX(Sheet!AK$2:AK$7967,$A43)))))</f>
        <v/>
      </c>
      <c r="AH43" s="58" t="str">
        <f ca="1">IF($A43="","",INDEX(Sheet!AR$2:AR$7967,$A43)&amp;" ; "&amp;INDEX(Sheet!M$2:M$7967,$A43))</f>
        <v/>
      </c>
      <c r="AI43" s="1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G43" s="35" t="str">
        <f ca="1">IFERROR(VALUE(separ(INDEX(Sheet!Q$2:Q$7967,$A43),"-",1)),"")</f>
        <v/>
      </c>
      <c r="BH43" s="35" t="str">
        <f ca="1">IFERROR(VALUE(separ(INDEX(Sheet!R$2:R$7967,$A43),"-",1)),"")</f>
        <v/>
      </c>
      <c r="BI43" s="35" t="str">
        <f ca="1">IFERROR(VALUE(separ(INDEX(Sheet!S$2:S$7967,$A43),"-",1)),"")</f>
        <v/>
      </c>
      <c r="BJ43" s="35" t="str">
        <f ca="1">IFERROR(VALUE(separ(INDEX(Sheet!T$2:T$7967,$A43),"-",1)),"")</f>
        <v/>
      </c>
      <c r="BK43" s="35" t="str">
        <f ca="1">IFERROR(VALUE(separ(INDEX(Sheet!U$2:U$7967,$A43),"-",1)),"")</f>
        <v/>
      </c>
      <c r="BL43" s="35" t="str">
        <f ca="1">IFERROR(VALUE(separ(INDEX(Sheet!V$2:V$7967,$A43),"-",1)),"")</f>
        <v/>
      </c>
      <c r="BM43" s="35" t="str">
        <f ca="1">IFERROR(VALUE(separ(INDEX(Sheet!W$2:W$7967,$A43),"-",1)),"")</f>
        <v/>
      </c>
      <c r="BN43" s="35" t="str">
        <f ca="1">IFERROR(VALUE(separ(INDEX(Sheet!X$2:X$7967,$A43),"-",1)),"")</f>
        <v/>
      </c>
      <c r="BO43" s="35" t="str">
        <f ca="1">IFERROR(VALUE(separ(INDEX(Sheet!Y$2:Y$7967,$A43),"-",1)),"")</f>
        <v/>
      </c>
      <c r="BP43" s="35" t="str">
        <f ca="1">IFERROR(VALUE(separ(INDEX(Sheet!Z$2:Z$7967,$A43),"-",1)),"")</f>
        <v/>
      </c>
      <c r="BQ43" s="35" t="str">
        <f ca="1">IFERROR(VALUE(separ(INDEX(Sheet!AA$2:AA$7967,$A43),"-",1)),"")</f>
        <v/>
      </c>
      <c r="BR43" s="35" t="str">
        <f ca="1">IFERROR(VALUE(separ(INDEX(Sheet!AB$2:AB$7967,$A43),"-",1)),"")</f>
        <v/>
      </c>
      <c r="BS43" s="35" t="str">
        <f ca="1">IFERROR(VALUE(separ(INDEX(Sheet!AC$2:AC$7967,$A43),"-",1)),"")</f>
        <v/>
      </c>
      <c r="BT43" s="35" t="str">
        <f ca="1">IFERROR(VALUE(separ(INDEX(Sheet!AD$2:AD$7967,$A43),"-",1)),"")</f>
        <v/>
      </c>
      <c r="BU43" s="35" t="str">
        <f ca="1">IFERROR(VALUE(separ(INDEX(Sheet!AE$2:AE$7967,$A43),"-",1)),"")</f>
        <v/>
      </c>
      <c r="BV43" s="35"/>
      <c r="BW43" s="35" t="str">
        <f ca="1">IFERROR((separ(INDEX(Sheet!Q$2:Q$7967,$A43),"-",2)),"")</f>
        <v/>
      </c>
      <c r="BX43" s="35" t="str">
        <f ca="1">IFERROR((separ(INDEX(Sheet!R$2:R$7967,$A43),"-",2)),"")</f>
        <v/>
      </c>
      <c r="BY43" s="35" t="str">
        <f ca="1">IFERROR((separ(INDEX(Sheet!S$2:S$7967,$A43),"-",2)),"")</f>
        <v/>
      </c>
      <c r="BZ43" s="35" t="str">
        <f ca="1">IFERROR((separ(INDEX(Sheet!T$2:T$7967,$A43),"-",2)),"")</f>
        <v/>
      </c>
      <c r="CA43" s="35" t="str">
        <f ca="1">IFERROR((separ(INDEX(Sheet!U$2:U$7967,$A43),"-",2)),"")</f>
        <v/>
      </c>
      <c r="CB43" s="35" t="str">
        <f ca="1">IFERROR((separ(INDEX(Sheet!V$2:V$7967,$A43),"-",2)),"")</f>
        <v/>
      </c>
      <c r="CC43" s="35" t="str">
        <f ca="1">IFERROR((separ(INDEX(Sheet!W$2:W$7967,$A43),"-",2)),"")</f>
        <v/>
      </c>
      <c r="CD43" s="35" t="str">
        <f ca="1">IFERROR((separ(INDEX(Sheet!X$2:X$7967,$A43),"-",2)),"")</f>
        <v/>
      </c>
      <c r="CE43" s="35" t="str">
        <f ca="1">IFERROR((separ(INDEX(Sheet!Y$2:Y$7967,$A43),"-",2)),"")</f>
        <v/>
      </c>
      <c r="CF43" s="35" t="str">
        <f ca="1">IFERROR((separ(INDEX(Sheet!Z$2:Z$7967,$A43),"-",2)),"")</f>
        <v/>
      </c>
      <c r="CG43" s="35" t="str">
        <f ca="1">IFERROR((separ(INDEX(Sheet!AA$2:AA$7967,$A43),"-",2)),"")</f>
        <v/>
      </c>
      <c r="CH43" s="35" t="str">
        <f ca="1">IFERROR((separ(INDEX(Sheet!AB$2:AB$7967,$A43),"-",2)),"")</f>
        <v/>
      </c>
      <c r="CI43" s="35" t="str">
        <f ca="1">IFERROR((separ(INDEX(Sheet!AC$2:AC$7967,$A43),"-",2)),"")</f>
        <v/>
      </c>
      <c r="CJ43" s="35" t="str">
        <f ca="1">IFERROR((separ(INDEX(Sheet!AD$2:AD$7967,$A43),"-",2)),"")</f>
        <v/>
      </c>
      <c r="CK43" s="35" t="str">
        <f ca="1">IFERROR((separ(INDEX(Sheet!AE$2:AE$7967,$A43),"-",2)),"")</f>
        <v/>
      </c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</row>
    <row r="44" spans="1:104" s="29" customFormat="1">
      <c r="A44" s="45" t="str">
        <f ca="1">IFERROR(MATCH($B$3,OFFSET(Sheet!$D$2,A43,0):'Sheet'!$D$7657,0)+A43,"")</f>
        <v/>
      </c>
      <c r="B44" s="29" t="str">
        <f ca="1">IF(ROW(A37)&lt;=COUNT($A$6:$A$800),INDEX(Sheet!$A$2:$A$7967,$A44),IF(ROW(A37)=COUNT($A$6:$A$800)+1," ",IF(ROW(A37)=COUNT($A$6:$A$800)+2,"  ","")))</f>
        <v/>
      </c>
      <c r="C44" s="67" t="str">
        <f ca="1">IF($A44="","",INDEX(Sheet!E$2:E$7967,$A44))</f>
        <v/>
      </c>
      <c r="D44" s="31" t="str">
        <f ca="1">IF(B41=" ",$AR$1,IF(B44=" ",$AQ$1,IF(A44="","",INDEX(Sheet!G$2:G$7967,$A44))))</f>
        <v/>
      </c>
      <c r="E44" s="32" t="str">
        <f ca="1">IF($A44="","",TEXT(INDEX(Sheet!J$2:J$7967,$A44),"#,#")&amp;" "&amp;INDEX(Sheet!AT$2:AT$7967,$A44))</f>
        <v/>
      </c>
      <c r="F44" s="53" t="str">
        <f ca="1">IF($A44="","",INDEX(Sheet!F$2:F$7967,$A44))</f>
        <v/>
      </c>
      <c r="G44" s="32" t="str">
        <f ca="1">IF($A44="","",INDEX(Sheet!I$2:I$7967,$A44))</f>
        <v/>
      </c>
      <c r="H44" s="32" t="str">
        <f ca="1">IF($A44="","",INDEX(Sheet!L$2:L$7967,$A44))</f>
        <v/>
      </c>
      <c r="I44" s="32" t="str">
        <f ca="1">IF($A44="","",INDEX(Sheet!N$2:N$7967,$A44))</f>
        <v/>
      </c>
      <c r="J44" s="53" t="str">
        <f ca="1">IF($A44="","",INDEX(Sheet!AS$2:AS$7967,$A44))</f>
        <v/>
      </c>
      <c r="K44" s="33" t="str">
        <f ca="1">IF($A44="","",IF(INDEX(Sheet!S$2:S$7967,$A44)="","",INDEX(Sheet!S$2:S$7967,$A44)))</f>
        <v/>
      </c>
      <c r="L44" s="33" t="str">
        <f ca="1">IF($A44="","",IF(INDEX(Sheet!R$2:R$7967,$A44)="","",INDEX(Sheet!R$2:R$7967,$A44)))</f>
        <v/>
      </c>
      <c r="M44" s="33" t="str">
        <f ca="1">IF($A44="","",IF(INDEX(Sheet!AO$2:AO$7967,$A44)="","",INDEX(Sheet!AO$2:AO$7967,$A44)))</f>
        <v/>
      </c>
      <c r="N44" s="33" t="str">
        <f ca="1">IF($A44="","",IF(INDEX(Sheet!T$2:T$7967,$A44)="","",INDEX(Sheet!T$2:T$7967,$A44)))</f>
        <v/>
      </c>
      <c r="O44" s="33" t="str">
        <f ca="1">IF($A44="","",IF(INDEX(Sheet!U$2:U$7967,$A44)="","",INDEX(Sheet!U$2:U$7967,$A44)))</f>
        <v/>
      </c>
      <c r="P44" s="33" t="str">
        <f ca="1">IF($A44="","",IF(INDEX(Sheet!W$2:W$7967,$A44)="","",INDEX(Sheet!W$2:W$7967,$A44)))</f>
        <v/>
      </c>
      <c r="Q44" s="33" t="str">
        <f ca="1">IF($A44="","",IF(INDEX(Sheet!V$2:V$7967,$A44)="","",INDEX(Sheet!V$2:V$7967,$A44)))</f>
        <v/>
      </c>
      <c r="R44" s="33" t="str">
        <f ca="1">IF($A44="","",IF(INDEX(Sheet!Z$2:Z$7967,$A44)="","",INDEX(Sheet!Z$2:Z$7967,$A44)))</f>
        <v/>
      </c>
      <c r="S44" s="33" t="str">
        <f ca="1">IF($A44="","",IF(INDEX(Sheet!Y$2:Y$7967,$A44)="","",INDEX(Sheet!Y$2:Y$7967,$A44)))</f>
        <v/>
      </c>
      <c r="T44" s="33" t="str">
        <f ca="1">IF($A44="","",IF(INDEX(Sheet!X$2:X$7967,$A44)="","",INDEX(Sheet!X$2:X$7967,$A44)))</f>
        <v/>
      </c>
      <c r="U44" s="33" t="str">
        <f ca="1">IF($A44="","",IF(INDEX(Sheet!AA$2:AA$7967,$A44)="","",INDEX(Sheet!AA$2:AA$7967,$A44)))</f>
        <v/>
      </c>
      <c r="V44" s="33" t="str">
        <f ca="1">IF($A44="","",IF(INDEX(Sheet!AB$2:AB$7967,$A44)="","",INDEX(Sheet!AB$2:AB$7967,$A44)))</f>
        <v/>
      </c>
      <c r="W44" s="33" t="str">
        <f ca="1">IF($A44="","",IF(INDEX(Sheet!AH$2:AH$7967,$A44)="","",INDEX(Sheet!AH$2:AH$7967,$A44)))</f>
        <v/>
      </c>
      <c r="X44" s="33" t="str">
        <f ca="1">IF($A44="","",IF(INDEX(Sheet!AC$2:AC$7967,$A44)="","",INDEX(Sheet!AC$2:AC$7967,$A44)))</f>
        <v/>
      </c>
      <c r="Y44" s="33" t="str">
        <f ca="1">IF($A44="","",IF(INDEX(Sheet!AD$2:AD$7967,$A44)="","",INDEX(Sheet!AD$2:AD$7967,$A44)))</f>
        <v/>
      </c>
      <c r="Z44" s="33" t="str">
        <f ca="1">IF($A44="","",IF(INDEX(Sheet!AL$2:AL$7967,$A44)="","",INDEX(Sheet!AL$2:AL$7967,$A44)))</f>
        <v/>
      </c>
      <c r="AA44" s="33" t="str">
        <f ca="1">IF($A44="","",IF(INDEX(Sheet!AE$2:AE$7967,$A44)="","",INDEX(Sheet!AE$2:AE$7967,$A44)))</f>
        <v/>
      </c>
      <c r="AB44" s="33" t="str">
        <f ca="1">IF($A44="","",IF(INDEX(Sheet!AF$2:AF$7967,$A44)="","",INDEX(Sheet!AF$2:AF$7967,$A44)))</f>
        <v/>
      </c>
      <c r="AC44" s="33" t="str">
        <f ca="1">IF($A44="","",IF(INDEX(Sheet!AG$2:AG$7967,$A44)="","",INDEX(Sheet!AG$2:AG$7967,$A44)))</f>
        <v/>
      </c>
      <c r="AD44" s="33" t="str">
        <f ca="1">IF($A44="","",IF(INDEX(Sheet!AM$2:AM$7967,$A44)="","",INDEX(Sheet!AM$2:AM$7967,$A44)))</f>
        <v/>
      </c>
      <c r="AE44" s="33" t="str">
        <f ca="1">IF($A44="","",IF(INDEX(Sheet!AJ$2:AJ$7967,$A44)="","",INDEX(Sheet!AJ$2:AJ$7967,$A44)))</f>
        <v/>
      </c>
      <c r="AF44" s="33" t="str">
        <f ca="1">IF($A44="","",IF(INDEX(Sheet!AI$2:AI$7967,$A44)="","",INDEX(Sheet!AI$2:AI$7967,$A44)))</f>
        <v/>
      </c>
      <c r="AG44" s="33" t="str">
        <f ca="1">IF(D44="duyệt sản xuất"," Bảo Bảo, Ngày "&amp;DAY($J$4)&amp;" Tháng "&amp;MONTH($J$4)&amp;" Năm "&amp;YEAR($J$4),IF(D44="Phê duyệt","NGƯỜI LẬP",IF(D44="Nguyễn Ngọc Thắng","NGUYỄN THỊ MAI",IF($A44="","",INDEX(Sheet!AK$2:AK$7967,$A44)))))</f>
        <v/>
      </c>
      <c r="AH44" s="58" t="str">
        <f ca="1">IF($A44="","",INDEX(Sheet!AR$2:AR$7967,$A44)&amp;" ; "&amp;INDEX(Sheet!M$2:M$7967,$A44))</f>
        <v/>
      </c>
      <c r="AI44" s="1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G44" s="35" t="str">
        <f ca="1">IFERROR(VALUE(separ(INDEX(Sheet!Q$2:Q$7967,$A44),"-",1)),"")</f>
        <v/>
      </c>
      <c r="BH44" s="35" t="str">
        <f ca="1">IFERROR(VALUE(separ(INDEX(Sheet!R$2:R$7967,$A44),"-",1)),"")</f>
        <v/>
      </c>
      <c r="BI44" s="35" t="str">
        <f ca="1">IFERROR(VALUE(separ(INDEX(Sheet!S$2:S$7967,$A44),"-",1)),"")</f>
        <v/>
      </c>
      <c r="BJ44" s="35" t="str">
        <f ca="1">IFERROR(VALUE(separ(INDEX(Sheet!T$2:T$7967,$A44),"-",1)),"")</f>
        <v/>
      </c>
      <c r="BK44" s="35" t="str">
        <f ca="1">IFERROR(VALUE(separ(INDEX(Sheet!U$2:U$7967,$A44),"-",1)),"")</f>
        <v/>
      </c>
      <c r="BL44" s="35" t="str">
        <f ca="1">IFERROR(VALUE(separ(INDEX(Sheet!V$2:V$7967,$A44),"-",1)),"")</f>
        <v/>
      </c>
      <c r="BM44" s="35" t="str">
        <f ca="1">IFERROR(VALUE(separ(INDEX(Sheet!W$2:W$7967,$A44),"-",1)),"")</f>
        <v/>
      </c>
      <c r="BN44" s="35" t="str">
        <f ca="1">IFERROR(VALUE(separ(INDEX(Sheet!X$2:X$7967,$A44),"-",1)),"")</f>
        <v/>
      </c>
      <c r="BO44" s="35" t="str">
        <f ca="1">IFERROR(VALUE(separ(INDEX(Sheet!Y$2:Y$7967,$A44),"-",1)),"")</f>
        <v/>
      </c>
      <c r="BP44" s="35" t="str">
        <f ca="1">IFERROR(VALUE(separ(INDEX(Sheet!Z$2:Z$7967,$A44),"-",1)),"")</f>
        <v/>
      </c>
      <c r="BQ44" s="35" t="str">
        <f ca="1">IFERROR(VALUE(separ(INDEX(Sheet!AA$2:AA$7967,$A44),"-",1)),"")</f>
        <v/>
      </c>
      <c r="BR44" s="35" t="str">
        <f ca="1">IFERROR(VALUE(separ(INDEX(Sheet!AB$2:AB$7967,$A44),"-",1)),"")</f>
        <v/>
      </c>
      <c r="BS44" s="35" t="str">
        <f ca="1">IFERROR(VALUE(separ(INDEX(Sheet!AC$2:AC$7967,$A44),"-",1)),"")</f>
        <v/>
      </c>
      <c r="BT44" s="35" t="str">
        <f ca="1">IFERROR(VALUE(separ(INDEX(Sheet!AD$2:AD$7967,$A44),"-",1)),"")</f>
        <v/>
      </c>
      <c r="BU44" s="35" t="str">
        <f ca="1">IFERROR(VALUE(separ(INDEX(Sheet!AE$2:AE$7967,$A44),"-",1)),"")</f>
        <v/>
      </c>
      <c r="BV44" s="35"/>
      <c r="BW44" s="35" t="str">
        <f ca="1">IFERROR((separ(INDEX(Sheet!Q$2:Q$7967,$A44),"-",2)),"")</f>
        <v/>
      </c>
      <c r="BX44" s="35" t="str">
        <f ca="1">IFERROR((separ(INDEX(Sheet!R$2:R$7967,$A44),"-",2)),"")</f>
        <v/>
      </c>
      <c r="BY44" s="35" t="str">
        <f ca="1">IFERROR((separ(INDEX(Sheet!S$2:S$7967,$A44),"-",2)),"")</f>
        <v/>
      </c>
      <c r="BZ44" s="35" t="str">
        <f ca="1">IFERROR((separ(INDEX(Sheet!T$2:T$7967,$A44),"-",2)),"")</f>
        <v/>
      </c>
      <c r="CA44" s="35" t="str">
        <f ca="1">IFERROR((separ(INDEX(Sheet!U$2:U$7967,$A44),"-",2)),"")</f>
        <v/>
      </c>
      <c r="CB44" s="35" t="str">
        <f ca="1">IFERROR((separ(INDEX(Sheet!V$2:V$7967,$A44),"-",2)),"")</f>
        <v/>
      </c>
      <c r="CC44" s="35" t="str">
        <f ca="1">IFERROR((separ(INDEX(Sheet!W$2:W$7967,$A44),"-",2)),"")</f>
        <v/>
      </c>
      <c r="CD44" s="35" t="str">
        <f ca="1">IFERROR((separ(INDEX(Sheet!X$2:X$7967,$A44),"-",2)),"")</f>
        <v/>
      </c>
      <c r="CE44" s="35" t="str">
        <f ca="1">IFERROR((separ(INDEX(Sheet!Y$2:Y$7967,$A44),"-",2)),"")</f>
        <v/>
      </c>
      <c r="CF44" s="35" t="str">
        <f ca="1">IFERROR((separ(INDEX(Sheet!Z$2:Z$7967,$A44),"-",2)),"")</f>
        <v/>
      </c>
      <c r="CG44" s="35" t="str">
        <f ca="1">IFERROR((separ(INDEX(Sheet!AA$2:AA$7967,$A44),"-",2)),"")</f>
        <v/>
      </c>
      <c r="CH44" s="35" t="str">
        <f ca="1">IFERROR((separ(INDEX(Sheet!AB$2:AB$7967,$A44),"-",2)),"")</f>
        <v/>
      </c>
      <c r="CI44" s="35" t="str">
        <f ca="1">IFERROR((separ(INDEX(Sheet!AC$2:AC$7967,$A44),"-",2)),"")</f>
        <v/>
      </c>
      <c r="CJ44" s="35" t="str">
        <f ca="1">IFERROR((separ(INDEX(Sheet!AD$2:AD$7967,$A44),"-",2)),"")</f>
        <v/>
      </c>
      <c r="CK44" s="35" t="str">
        <f ca="1">IFERROR((separ(INDEX(Sheet!AE$2:AE$7967,$A44),"-",2)),"")</f>
        <v/>
      </c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</row>
    <row r="45" spans="1:104" s="29" customFormat="1">
      <c r="A45" s="45" t="str">
        <f ca="1">IFERROR(MATCH($B$3,OFFSET(Sheet!$D$2,A44,0):'Sheet'!$D$7657,0)+A44,"")</f>
        <v/>
      </c>
      <c r="B45" s="29" t="str">
        <f ca="1">IF(ROW(A38)&lt;=COUNT($A$6:$A$800),INDEX(Sheet!$A$2:$A$7967,$A45),IF(ROW(A38)=COUNT($A$6:$A$800)+1," ",IF(ROW(A38)=COUNT($A$6:$A$800)+2,"  ","")))</f>
        <v/>
      </c>
      <c r="C45" s="67" t="str">
        <f ca="1">IF($A45="","",INDEX(Sheet!E$2:E$7967,$A45))</f>
        <v/>
      </c>
      <c r="D45" s="31" t="str">
        <f ca="1">IF(B42=" ",$AR$1,IF(B45=" ",$AQ$1,IF(A45="","",INDEX(Sheet!G$2:G$7967,$A45))))</f>
        <v/>
      </c>
      <c r="E45" s="32" t="str">
        <f ca="1">IF($A45="","",TEXT(INDEX(Sheet!J$2:J$7967,$A45),"#,#")&amp;" "&amp;INDEX(Sheet!AT$2:AT$7967,$A45))</f>
        <v/>
      </c>
      <c r="F45" s="53" t="str">
        <f ca="1">IF($A45="","",INDEX(Sheet!F$2:F$7967,$A45))</f>
        <v/>
      </c>
      <c r="G45" s="32" t="str">
        <f ca="1">IF($A45="","",INDEX(Sheet!I$2:I$7967,$A45))</f>
        <v/>
      </c>
      <c r="H45" s="32" t="str">
        <f ca="1">IF($A45="","",INDEX(Sheet!L$2:L$7967,$A45))</f>
        <v/>
      </c>
      <c r="I45" s="32" t="str">
        <f ca="1">IF($A45="","",INDEX(Sheet!N$2:N$7967,$A45))</f>
        <v/>
      </c>
      <c r="J45" s="53" t="str">
        <f ca="1">IF($A45="","",INDEX(Sheet!AS$2:AS$7967,$A45))</f>
        <v/>
      </c>
      <c r="K45" s="33" t="str">
        <f ca="1">IF($A45="","",IF(INDEX(Sheet!S$2:S$7967,$A45)="","",INDEX(Sheet!S$2:S$7967,$A45)))</f>
        <v/>
      </c>
      <c r="L45" s="33" t="str">
        <f ca="1">IF($A45="","",IF(INDEX(Sheet!R$2:R$7967,$A45)="","",INDEX(Sheet!R$2:R$7967,$A45)))</f>
        <v/>
      </c>
      <c r="M45" s="33" t="str">
        <f ca="1">IF($A45="","",IF(INDEX(Sheet!AO$2:AO$7967,$A45)="","",INDEX(Sheet!AO$2:AO$7967,$A45)))</f>
        <v/>
      </c>
      <c r="N45" s="33" t="str">
        <f ca="1">IF($A45="","",IF(INDEX(Sheet!T$2:T$7967,$A45)="","",INDEX(Sheet!T$2:T$7967,$A45)))</f>
        <v/>
      </c>
      <c r="O45" s="33" t="str">
        <f ca="1">IF($A45="","",IF(INDEX(Sheet!U$2:U$7967,$A45)="","",INDEX(Sheet!U$2:U$7967,$A45)))</f>
        <v/>
      </c>
      <c r="P45" s="33" t="str">
        <f ca="1">IF($A45="","",IF(INDEX(Sheet!W$2:W$7967,$A45)="","",INDEX(Sheet!W$2:W$7967,$A45)))</f>
        <v/>
      </c>
      <c r="Q45" s="33" t="str">
        <f ca="1">IF($A45="","",IF(INDEX(Sheet!V$2:V$7967,$A45)="","",INDEX(Sheet!V$2:V$7967,$A45)))</f>
        <v/>
      </c>
      <c r="R45" s="33" t="str">
        <f ca="1">IF($A45="","",IF(INDEX(Sheet!Z$2:Z$7967,$A45)="","",INDEX(Sheet!Z$2:Z$7967,$A45)))</f>
        <v/>
      </c>
      <c r="S45" s="33" t="str">
        <f ca="1">IF($A45="","",IF(INDEX(Sheet!Y$2:Y$7967,$A45)="","",INDEX(Sheet!Y$2:Y$7967,$A45)))</f>
        <v/>
      </c>
      <c r="T45" s="33" t="str">
        <f ca="1">IF($A45="","",IF(INDEX(Sheet!X$2:X$7967,$A45)="","",INDEX(Sheet!X$2:X$7967,$A45)))</f>
        <v/>
      </c>
      <c r="U45" s="33" t="str">
        <f ca="1">IF($A45="","",IF(INDEX(Sheet!AA$2:AA$7967,$A45)="","",INDEX(Sheet!AA$2:AA$7967,$A45)))</f>
        <v/>
      </c>
      <c r="V45" s="33" t="str">
        <f ca="1">IF($A45="","",IF(INDEX(Sheet!AB$2:AB$7967,$A45)="","",INDEX(Sheet!AB$2:AB$7967,$A45)))</f>
        <v/>
      </c>
      <c r="W45" s="33" t="str">
        <f ca="1">IF($A45="","",IF(INDEX(Sheet!AH$2:AH$7967,$A45)="","",INDEX(Sheet!AH$2:AH$7967,$A45)))</f>
        <v/>
      </c>
      <c r="X45" s="33" t="str">
        <f ca="1">IF($A45="","",IF(INDEX(Sheet!AC$2:AC$7967,$A45)="","",INDEX(Sheet!AC$2:AC$7967,$A45)))</f>
        <v/>
      </c>
      <c r="Y45" s="33" t="str">
        <f ca="1">IF($A45="","",IF(INDEX(Sheet!AD$2:AD$7967,$A45)="","",INDEX(Sheet!AD$2:AD$7967,$A45)))</f>
        <v/>
      </c>
      <c r="Z45" s="33" t="str">
        <f ca="1">IF($A45="","",IF(INDEX(Sheet!AL$2:AL$7967,$A45)="","",INDEX(Sheet!AL$2:AL$7967,$A45)))</f>
        <v/>
      </c>
      <c r="AA45" s="33" t="str">
        <f ca="1">IF($A45="","",IF(INDEX(Sheet!AE$2:AE$7967,$A45)="","",INDEX(Sheet!AE$2:AE$7967,$A45)))</f>
        <v/>
      </c>
      <c r="AB45" s="33" t="str">
        <f ca="1">IF($A45="","",IF(INDEX(Sheet!AF$2:AF$7967,$A45)="","",INDEX(Sheet!AF$2:AF$7967,$A45)))</f>
        <v/>
      </c>
      <c r="AC45" s="33" t="str">
        <f ca="1">IF($A45="","",IF(INDEX(Sheet!AG$2:AG$7967,$A45)="","",INDEX(Sheet!AG$2:AG$7967,$A45)))</f>
        <v/>
      </c>
      <c r="AD45" s="33" t="str">
        <f ca="1">IF($A45="","",IF(INDEX(Sheet!AM$2:AM$7967,$A45)="","",INDEX(Sheet!AM$2:AM$7967,$A45)))</f>
        <v/>
      </c>
      <c r="AE45" s="33" t="str">
        <f ca="1">IF($A45="","",IF(INDEX(Sheet!AJ$2:AJ$7967,$A45)="","",INDEX(Sheet!AJ$2:AJ$7967,$A45)))</f>
        <v/>
      </c>
      <c r="AF45" s="33" t="str">
        <f ca="1">IF($A45="","",IF(INDEX(Sheet!AI$2:AI$7967,$A45)="","",INDEX(Sheet!AI$2:AI$7967,$A45)))</f>
        <v/>
      </c>
      <c r="AG45" s="33" t="str">
        <f ca="1">IF(D45="duyệt sản xuất"," Bảo Bảo, Ngày "&amp;DAY($J$4)&amp;" Tháng "&amp;MONTH($J$4)&amp;" Năm "&amp;YEAR($J$4),IF(D45="Phê duyệt","NGƯỜI LẬP",IF(D45="Nguyễn Ngọc Thắng","NGUYỄN THỊ MAI",IF($A45="","",INDEX(Sheet!AK$2:AK$7967,$A45)))))</f>
        <v/>
      </c>
      <c r="AH45" s="58" t="str">
        <f ca="1">IF($A45="","",INDEX(Sheet!AR$2:AR$7967,$A45)&amp;" ; "&amp;INDEX(Sheet!M$2:M$7967,$A45))</f>
        <v/>
      </c>
      <c r="AI45" s="1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G45" s="35" t="str">
        <f ca="1">IFERROR(VALUE(separ(INDEX(Sheet!Q$2:Q$7967,$A45),"-",1)),"")</f>
        <v/>
      </c>
      <c r="BH45" s="35" t="str">
        <f ca="1">IFERROR(VALUE(separ(INDEX(Sheet!R$2:R$7967,$A45),"-",1)),"")</f>
        <v/>
      </c>
      <c r="BI45" s="35" t="str">
        <f ca="1">IFERROR(VALUE(separ(INDEX(Sheet!S$2:S$7967,$A45),"-",1)),"")</f>
        <v/>
      </c>
      <c r="BJ45" s="35" t="str">
        <f ca="1">IFERROR(VALUE(separ(INDEX(Sheet!T$2:T$7967,$A45),"-",1)),"")</f>
        <v/>
      </c>
      <c r="BK45" s="35" t="str">
        <f ca="1">IFERROR(VALUE(separ(INDEX(Sheet!U$2:U$7967,$A45),"-",1)),"")</f>
        <v/>
      </c>
      <c r="BL45" s="35" t="str">
        <f ca="1">IFERROR(VALUE(separ(INDEX(Sheet!V$2:V$7967,$A45),"-",1)),"")</f>
        <v/>
      </c>
      <c r="BM45" s="35" t="str">
        <f ca="1">IFERROR(VALUE(separ(INDEX(Sheet!W$2:W$7967,$A45),"-",1)),"")</f>
        <v/>
      </c>
      <c r="BN45" s="35" t="str">
        <f ca="1">IFERROR(VALUE(separ(INDEX(Sheet!X$2:X$7967,$A45),"-",1)),"")</f>
        <v/>
      </c>
      <c r="BO45" s="35" t="str">
        <f ca="1">IFERROR(VALUE(separ(INDEX(Sheet!Y$2:Y$7967,$A45),"-",1)),"")</f>
        <v/>
      </c>
      <c r="BP45" s="35" t="str">
        <f ca="1">IFERROR(VALUE(separ(INDEX(Sheet!Z$2:Z$7967,$A45),"-",1)),"")</f>
        <v/>
      </c>
      <c r="BQ45" s="35" t="str">
        <f ca="1">IFERROR(VALUE(separ(INDEX(Sheet!AA$2:AA$7967,$A45),"-",1)),"")</f>
        <v/>
      </c>
      <c r="BR45" s="35" t="str">
        <f ca="1">IFERROR(VALUE(separ(INDEX(Sheet!AB$2:AB$7967,$A45),"-",1)),"")</f>
        <v/>
      </c>
      <c r="BS45" s="35" t="str">
        <f ca="1">IFERROR(VALUE(separ(INDEX(Sheet!AC$2:AC$7967,$A45),"-",1)),"")</f>
        <v/>
      </c>
      <c r="BT45" s="35" t="str">
        <f ca="1">IFERROR(VALUE(separ(INDEX(Sheet!AD$2:AD$7967,$A45),"-",1)),"")</f>
        <v/>
      </c>
      <c r="BU45" s="35" t="str">
        <f ca="1">IFERROR(VALUE(separ(INDEX(Sheet!AE$2:AE$7967,$A45),"-",1)),"")</f>
        <v/>
      </c>
      <c r="BV45" s="35"/>
      <c r="BW45" s="35" t="str">
        <f ca="1">IFERROR((separ(INDEX(Sheet!Q$2:Q$7967,$A45),"-",2)),"")</f>
        <v/>
      </c>
      <c r="BX45" s="35" t="str">
        <f ca="1">IFERROR((separ(INDEX(Sheet!R$2:R$7967,$A45),"-",2)),"")</f>
        <v/>
      </c>
      <c r="BY45" s="35" t="str">
        <f ca="1">IFERROR((separ(INDEX(Sheet!S$2:S$7967,$A45),"-",2)),"")</f>
        <v/>
      </c>
      <c r="BZ45" s="35" t="str">
        <f ca="1">IFERROR((separ(INDEX(Sheet!T$2:T$7967,$A45),"-",2)),"")</f>
        <v/>
      </c>
      <c r="CA45" s="35" t="str">
        <f ca="1">IFERROR((separ(INDEX(Sheet!U$2:U$7967,$A45),"-",2)),"")</f>
        <v/>
      </c>
      <c r="CB45" s="35" t="str">
        <f ca="1">IFERROR((separ(INDEX(Sheet!V$2:V$7967,$A45),"-",2)),"")</f>
        <v/>
      </c>
      <c r="CC45" s="35" t="str">
        <f ca="1">IFERROR((separ(INDEX(Sheet!W$2:W$7967,$A45),"-",2)),"")</f>
        <v/>
      </c>
      <c r="CD45" s="35" t="str">
        <f ca="1">IFERROR((separ(INDEX(Sheet!X$2:X$7967,$A45),"-",2)),"")</f>
        <v/>
      </c>
      <c r="CE45" s="35" t="str">
        <f ca="1">IFERROR((separ(INDEX(Sheet!Y$2:Y$7967,$A45),"-",2)),"")</f>
        <v/>
      </c>
      <c r="CF45" s="35" t="str">
        <f ca="1">IFERROR((separ(INDEX(Sheet!Z$2:Z$7967,$A45),"-",2)),"")</f>
        <v/>
      </c>
      <c r="CG45" s="35" t="str">
        <f ca="1">IFERROR((separ(INDEX(Sheet!AA$2:AA$7967,$A45),"-",2)),"")</f>
        <v/>
      </c>
      <c r="CH45" s="35" t="str">
        <f ca="1">IFERROR((separ(INDEX(Sheet!AB$2:AB$7967,$A45),"-",2)),"")</f>
        <v/>
      </c>
      <c r="CI45" s="35" t="str">
        <f ca="1">IFERROR((separ(INDEX(Sheet!AC$2:AC$7967,$A45),"-",2)),"")</f>
        <v/>
      </c>
      <c r="CJ45" s="35" t="str">
        <f ca="1">IFERROR((separ(INDEX(Sheet!AD$2:AD$7967,$A45),"-",2)),"")</f>
        <v/>
      </c>
      <c r="CK45" s="35" t="str">
        <f ca="1">IFERROR((separ(INDEX(Sheet!AE$2:AE$7967,$A45),"-",2)),"")</f>
        <v/>
      </c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</row>
    <row r="46" spans="1:104" s="29" customFormat="1">
      <c r="A46" s="45" t="str">
        <f ca="1">IFERROR(MATCH($B$3,OFFSET(Sheet!$D$2,A45,0):'Sheet'!$D$7657,0)+A45,"")</f>
        <v/>
      </c>
      <c r="B46" s="29" t="str">
        <f ca="1">IF(ROW(A39)&lt;=COUNT($A$6:$A$800),INDEX(Sheet!$A$2:$A$7967,$A46),IF(ROW(A39)=COUNT($A$6:$A$800)+1," ",IF(ROW(A39)=COUNT($A$6:$A$800)+2,"  ","")))</f>
        <v/>
      </c>
      <c r="C46" s="67" t="str">
        <f ca="1">IF($A46="","",INDEX(Sheet!E$2:E$7967,$A46))</f>
        <v/>
      </c>
      <c r="D46" s="31" t="str">
        <f ca="1">IF(B43=" ",$AR$1,IF(B46=" ",$AQ$1,IF(A46="","",INDEX(Sheet!G$2:G$7967,$A46))))</f>
        <v/>
      </c>
      <c r="E46" s="32" t="str">
        <f ca="1">IF($A46="","",TEXT(INDEX(Sheet!J$2:J$7967,$A46),"#,#")&amp;" "&amp;INDEX(Sheet!AT$2:AT$7967,$A46))</f>
        <v/>
      </c>
      <c r="F46" s="53" t="str">
        <f ca="1">IF($A46="","",INDEX(Sheet!F$2:F$7967,$A46))</f>
        <v/>
      </c>
      <c r="G46" s="32" t="str">
        <f ca="1">IF($A46="","",INDEX(Sheet!I$2:I$7967,$A46))</f>
        <v/>
      </c>
      <c r="H46" s="32" t="str">
        <f ca="1">IF($A46="","",INDEX(Sheet!L$2:L$7967,$A46))</f>
        <v/>
      </c>
      <c r="I46" s="32" t="str">
        <f ca="1">IF($A46="","",INDEX(Sheet!N$2:N$7967,$A46))</f>
        <v/>
      </c>
      <c r="J46" s="53" t="str">
        <f ca="1">IF($A46="","",INDEX(Sheet!AS$2:AS$7967,$A46))</f>
        <v/>
      </c>
      <c r="K46" s="33" t="str">
        <f ca="1">IF($A46="","",IF(INDEX(Sheet!S$2:S$7967,$A46)="","",INDEX(Sheet!S$2:S$7967,$A46)))</f>
        <v/>
      </c>
      <c r="L46" s="33" t="str">
        <f ca="1">IF($A46="","",IF(INDEX(Sheet!R$2:R$7967,$A46)="","",INDEX(Sheet!R$2:R$7967,$A46)))</f>
        <v/>
      </c>
      <c r="M46" s="33" t="str">
        <f ca="1">IF($A46="","",IF(INDEX(Sheet!AO$2:AO$7967,$A46)="","",INDEX(Sheet!AO$2:AO$7967,$A46)))</f>
        <v/>
      </c>
      <c r="N46" s="33" t="str">
        <f ca="1">IF($A46="","",IF(INDEX(Sheet!T$2:T$7967,$A46)="","",INDEX(Sheet!T$2:T$7967,$A46)))</f>
        <v/>
      </c>
      <c r="O46" s="33" t="str">
        <f ca="1">IF($A46="","",IF(INDEX(Sheet!U$2:U$7967,$A46)="","",INDEX(Sheet!U$2:U$7967,$A46)))</f>
        <v/>
      </c>
      <c r="P46" s="33" t="str">
        <f ca="1">IF($A46="","",IF(INDEX(Sheet!W$2:W$7967,$A46)="","",INDEX(Sheet!W$2:W$7967,$A46)))</f>
        <v/>
      </c>
      <c r="Q46" s="33" t="str">
        <f ca="1">IF($A46="","",IF(INDEX(Sheet!V$2:V$7967,$A46)="","",INDEX(Sheet!V$2:V$7967,$A46)))</f>
        <v/>
      </c>
      <c r="R46" s="33" t="str">
        <f ca="1">IF($A46="","",IF(INDEX(Sheet!Z$2:Z$7967,$A46)="","",INDEX(Sheet!Z$2:Z$7967,$A46)))</f>
        <v/>
      </c>
      <c r="S46" s="33" t="str">
        <f ca="1">IF($A46="","",IF(INDEX(Sheet!Y$2:Y$7967,$A46)="","",INDEX(Sheet!Y$2:Y$7967,$A46)))</f>
        <v/>
      </c>
      <c r="T46" s="33" t="str">
        <f ca="1">IF($A46="","",IF(INDEX(Sheet!X$2:X$7967,$A46)="","",INDEX(Sheet!X$2:X$7967,$A46)))</f>
        <v/>
      </c>
      <c r="U46" s="33" t="str">
        <f ca="1">IF($A46="","",IF(INDEX(Sheet!AA$2:AA$7967,$A46)="","",INDEX(Sheet!AA$2:AA$7967,$A46)))</f>
        <v/>
      </c>
      <c r="V46" s="33" t="str">
        <f ca="1">IF($A46="","",IF(INDEX(Sheet!AB$2:AB$7967,$A46)="","",INDEX(Sheet!AB$2:AB$7967,$A46)))</f>
        <v/>
      </c>
      <c r="W46" s="33" t="str">
        <f ca="1">IF($A46="","",IF(INDEX(Sheet!AH$2:AH$7967,$A46)="","",INDEX(Sheet!AH$2:AH$7967,$A46)))</f>
        <v/>
      </c>
      <c r="X46" s="33" t="str">
        <f ca="1">IF($A46="","",IF(INDEX(Sheet!AC$2:AC$7967,$A46)="","",INDEX(Sheet!AC$2:AC$7967,$A46)))</f>
        <v/>
      </c>
      <c r="Y46" s="33" t="str">
        <f ca="1">IF($A46="","",IF(INDEX(Sheet!AD$2:AD$7967,$A46)="","",INDEX(Sheet!AD$2:AD$7967,$A46)))</f>
        <v/>
      </c>
      <c r="Z46" s="33" t="str">
        <f ca="1">IF($A46="","",IF(INDEX(Sheet!AL$2:AL$7967,$A46)="","",INDEX(Sheet!AL$2:AL$7967,$A46)))</f>
        <v/>
      </c>
      <c r="AA46" s="33" t="str">
        <f ca="1">IF($A46="","",IF(INDEX(Sheet!AE$2:AE$7967,$A46)="","",INDEX(Sheet!AE$2:AE$7967,$A46)))</f>
        <v/>
      </c>
      <c r="AB46" s="33" t="str">
        <f ca="1">IF($A46="","",IF(INDEX(Sheet!AF$2:AF$7967,$A46)="","",INDEX(Sheet!AF$2:AF$7967,$A46)))</f>
        <v/>
      </c>
      <c r="AC46" s="33" t="str">
        <f ca="1">IF($A46="","",IF(INDEX(Sheet!AG$2:AG$7967,$A46)="","",INDEX(Sheet!AG$2:AG$7967,$A46)))</f>
        <v/>
      </c>
      <c r="AD46" s="33" t="str">
        <f ca="1">IF($A46="","",IF(INDEX(Sheet!AM$2:AM$7967,$A46)="","",INDEX(Sheet!AM$2:AM$7967,$A46)))</f>
        <v/>
      </c>
      <c r="AE46" s="33" t="str">
        <f ca="1">IF($A46="","",IF(INDEX(Sheet!AJ$2:AJ$7967,$A46)="","",INDEX(Sheet!AJ$2:AJ$7967,$A46)))</f>
        <v/>
      </c>
      <c r="AF46" s="33" t="str">
        <f ca="1">IF($A46="","",IF(INDEX(Sheet!AI$2:AI$7967,$A46)="","",INDEX(Sheet!AI$2:AI$7967,$A46)))</f>
        <v/>
      </c>
      <c r="AG46" s="33" t="str">
        <f ca="1">IF(D46="duyệt sản xuất"," Bảo Bảo, Ngày "&amp;DAY($J$4)&amp;" Tháng "&amp;MONTH($J$4)&amp;" Năm "&amp;YEAR($J$4),IF(D46="Phê duyệt","NGƯỜI LẬP",IF(D46="Nguyễn Ngọc Thắng","NGUYỄN THỊ MAI",IF($A46="","",INDEX(Sheet!AK$2:AK$7967,$A46)))))</f>
        <v/>
      </c>
      <c r="AH46" s="58" t="str">
        <f ca="1">IF($A46="","",INDEX(Sheet!AR$2:AR$7967,$A46)&amp;" ; "&amp;INDEX(Sheet!M$2:M$7967,$A46))</f>
        <v/>
      </c>
      <c r="AI46" s="1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G46" s="35" t="str">
        <f ca="1">IFERROR(VALUE(separ(INDEX(Sheet!Q$2:Q$7967,$A46),"-",1)),"")</f>
        <v/>
      </c>
      <c r="BH46" s="35" t="str">
        <f ca="1">IFERROR(VALUE(separ(INDEX(Sheet!R$2:R$7967,$A46),"-",1)),"")</f>
        <v/>
      </c>
      <c r="BI46" s="35" t="str">
        <f ca="1">IFERROR(VALUE(separ(INDEX(Sheet!S$2:S$7967,$A46),"-",1)),"")</f>
        <v/>
      </c>
      <c r="BJ46" s="35" t="str">
        <f ca="1">IFERROR(VALUE(separ(INDEX(Sheet!T$2:T$7967,$A46),"-",1)),"")</f>
        <v/>
      </c>
      <c r="BK46" s="35" t="str">
        <f ca="1">IFERROR(VALUE(separ(INDEX(Sheet!U$2:U$7967,$A46),"-",1)),"")</f>
        <v/>
      </c>
      <c r="BL46" s="35" t="str">
        <f ca="1">IFERROR(VALUE(separ(INDEX(Sheet!V$2:V$7967,$A46),"-",1)),"")</f>
        <v/>
      </c>
      <c r="BM46" s="35" t="str">
        <f ca="1">IFERROR(VALUE(separ(INDEX(Sheet!W$2:W$7967,$A46),"-",1)),"")</f>
        <v/>
      </c>
      <c r="BN46" s="35" t="str">
        <f ca="1">IFERROR(VALUE(separ(INDEX(Sheet!X$2:X$7967,$A46),"-",1)),"")</f>
        <v/>
      </c>
      <c r="BO46" s="35" t="str">
        <f ca="1">IFERROR(VALUE(separ(INDEX(Sheet!Y$2:Y$7967,$A46),"-",1)),"")</f>
        <v/>
      </c>
      <c r="BP46" s="35" t="str">
        <f ca="1">IFERROR(VALUE(separ(INDEX(Sheet!Z$2:Z$7967,$A46),"-",1)),"")</f>
        <v/>
      </c>
      <c r="BQ46" s="35" t="str">
        <f ca="1">IFERROR(VALUE(separ(INDEX(Sheet!AA$2:AA$7967,$A46),"-",1)),"")</f>
        <v/>
      </c>
      <c r="BR46" s="35" t="str">
        <f ca="1">IFERROR(VALUE(separ(INDEX(Sheet!AB$2:AB$7967,$A46),"-",1)),"")</f>
        <v/>
      </c>
      <c r="BS46" s="35" t="str">
        <f ca="1">IFERROR(VALUE(separ(INDEX(Sheet!AC$2:AC$7967,$A46),"-",1)),"")</f>
        <v/>
      </c>
      <c r="BT46" s="35" t="str">
        <f ca="1">IFERROR(VALUE(separ(INDEX(Sheet!AD$2:AD$7967,$A46),"-",1)),"")</f>
        <v/>
      </c>
      <c r="BU46" s="35" t="str">
        <f ca="1">IFERROR(VALUE(separ(INDEX(Sheet!AE$2:AE$7967,$A46),"-",1)),"")</f>
        <v/>
      </c>
      <c r="BV46" s="35"/>
      <c r="BW46" s="35" t="str">
        <f ca="1">IFERROR((separ(INDEX(Sheet!Q$2:Q$7967,$A46),"-",2)),"")</f>
        <v/>
      </c>
      <c r="BX46" s="35" t="str">
        <f ca="1">IFERROR((separ(INDEX(Sheet!R$2:R$7967,$A46),"-",2)),"")</f>
        <v/>
      </c>
      <c r="BY46" s="35" t="str">
        <f ca="1">IFERROR((separ(INDEX(Sheet!S$2:S$7967,$A46),"-",2)),"")</f>
        <v/>
      </c>
      <c r="BZ46" s="35" t="str">
        <f ca="1">IFERROR((separ(INDEX(Sheet!T$2:T$7967,$A46),"-",2)),"")</f>
        <v/>
      </c>
      <c r="CA46" s="35" t="str">
        <f ca="1">IFERROR((separ(INDEX(Sheet!U$2:U$7967,$A46),"-",2)),"")</f>
        <v/>
      </c>
      <c r="CB46" s="35" t="str">
        <f ca="1">IFERROR((separ(INDEX(Sheet!V$2:V$7967,$A46),"-",2)),"")</f>
        <v/>
      </c>
      <c r="CC46" s="35" t="str">
        <f ca="1">IFERROR((separ(INDEX(Sheet!W$2:W$7967,$A46),"-",2)),"")</f>
        <v/>
      </c>
      <c r="CD46" s="35" t="str">
        <f ca="1">IFERROR((separ(INDEX(Sheet!X$2:X$7967,$A46),"-",2)),"")</f>
        <v/>
      </c>
      <c r="CE46" s="35" t="str">
        <f ca="1">IFERROR((separ(INDEX(Sheet!Y$2:Y$7967,$A46),"-",2)),"")</f>
        <v/>
      </c>
      <c r="CF46" s="35" t="str">
        <f ca="1">IFERROR((separ(INDEX(Sheet!Z$2:Z$7967,$A46),"-",2)),"")</f>
        <v/>
      </c>
      <c r="CG46" s="35" t="str">
        <f ca="1">IFERROR((separ(INDEX(Sheet!AA$2:AA$7967,$A46),"-",2)),"")</f>
        <v/>
      </c>
      <c r="CH46" s="35" t="str">
        <f ca="1">IFERROR((separ(INDEX(Sheet!AB$2:AB$7967,$A46),"-",2)),"")</f>
        <v/>
      </c>
      <c r="CI46" s="35" t="str">
        <f ca="1">IFERROR((separ(INDEX(Sheet!AC$2:AC$7967,$A46),"-",2)),"")</f>
        <v/>
      </c>
      <c r="CJ46" s="35" t="str">
        <f ca="1">IFERROR((separ(INDEX(Sheet!AD$2:AD$7967,$A46),"-",2)),"")</f>
        <v/>
      </c>
      <c r="CK46" s="35" t="str">
        <f ca="1">IFERROR((separ(INDEX(Sheet!AE$2:AE$7967,$A46),"-",2)),"")</f>
        <v/>
      </c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</row>
    <row r="47" spans="1:104" s="29" customFormat="1">
      <c r="A47" s="45" t="str">
        <f ca="1">IFERROR(MATCH($B$3,OFFSET(Sheet!$D$2,A46,0):'Sheet'!$D$7657,0)+A46,"")</f>
        <v/>
      </c>
      <c r="B47" s="29" t="str">
        <f ca="1">IF(ROW(A40)&lt;=COUNT($A$6:$A$800),INDEX(Sheet!$A$2:$A$7967,$A47),IF(ROW(A40)=COUNT($A$6:$A$800)+1," ",IF(ROW(A40)=COUNT($A$6:$A$800)+2,"  ","")))</f>
        <v/>
      </c>
      <c r="C47" s="67" t="str">
        <f ca="1">IF($A47="","",INDEX(Sheet!E$2:E$7967,$A47))</f>
        <v/>
      </c>
      <c r="D47" s="31" t="str">
        <f ca="1">IF(B44=" ",$AR$1,IF(B47=" ",$AQ$1,IF(A47="","",INDEX(Sheet!G$2:G$7967,$A47))))</f>
        <v/>
      </c>
      <c r="E47" s="32" t="str">
        <f ca="1">IF($A47="","",TEXT(INDEX(Sheet!J$2:J$7967,$A47),"#,#")&amp;" "&amp;INDEX(Sheet!AT$2:AT$7967,$A47))</f>
        <v/>
      </c>
      <c r="F47" s="53" t="str">
        <f ca="1">IF($A47="","",INDEX(Sheet!F$2:F$7967,$A47))</f>
        <v/>
      </c>
      <c r="G47" s="32" t="str">
        <f ca="1">IF($A47="","",INDEX(Sheet!I$2:I$7967,$A47))</f>
        <v/>
      </c>
      <c r="H47" s="32" t="str">
        <f ca="1">IF($A47="","",INDEX(Sheet!L$2:L$7967,$A47))</f>
        <v/>
      </c>
      <c r="I47" s="32" t="str">
        <f ca="1">IF($A47="","",INDEX(Sheet!N$2:N$7967,$A47))</f>
        <v/>
      </c>
      <c r="J47" s="53" t="str">
        <f ca="1">IF($A47="","",INDEX(Sheet!AS$2:AS$7967,$A47))</f>
        <v/>
      </c>
      <c r="K47" s="33" t="str">
        <f ca="1">IF($A47="","",IF(INDEX(Sheet!S$2:S$7967,$A47)="","",INDEX(Sheet!S$2:S$7967,$A47)))</f>
        <v/>
      </c>
      <c r="L47" s="33" t="str">
        <f ca="1">IF($A47="","",IF(INDEX(Sheet!R$2:R$7967,$A47)="","",INDEX(Sheet!R$2:R$7967,$A47)))</f>
        <v/>
      </c>
      <c r="M47" s="33" t="str">
        <f ca="1">IF($A47="","",IF(INDEX(Sheet!AO$2:AO$7967,$A47)="","",INDEX(Sheet!AO$2:AO$7967,$A47)))</f>
        <v/>
      </c>
      <c r="N47" s="33" t="str">
        <f ca="1">IF($A47="","",IF(INDEX(Sheet!T$2:T$7967,$A47)="","",INDEX(Sheet!T$2:T$7967,$A47)))</f>
        <v/>
      </c>
      <c r="O47" s="33" t="str">
        <f ca="1">IF($A47="","",IF(INDEX(Sheet!U$2:U$7967,$A47)="","",INDEX(Sheet!U$2:U$7967,$A47)))</f>
        <v/>
      </c>
      <c r="P47" s="33" t="str">
        <f ca="1">IF($A47="","",IF(INDEX(Sheet!W$2:W$7967,$A47)="","",INDEX(Sheet!W$2:W$7967,$A47)))</f>
        <v/>
      </c>
      <c r="Q47" s="33" t="str">
        <f ca="1">IF($A47="","",IF(INDEX(Sheet!V$2:V$7967,$A47)="","",INDEX(Sheet!V$2:V$7967,$A47)))</f>
        <v/>
      </c>
      <c r="R47" s="33" t="str">
        <f ca="1">IF($A47="","",IF(INDEX(Sheet!Z$2:Z$7967,$A47)="","",INDEX(Sheet!Z$2:Z$7967,$A47)))</f>
        <v/>
      </c>
      <c r="S47" s="33" t="str">
        <f ca="1">IF($A47="","",IF(INDEX(Sheet!Y$2:Y$7967,$A47)="","",INDEX(Sheet!Y$2:Y$7967,$A47)))</f>
        <v/>
      </c>
      <c r="T47" s="33" t="str">
        <f ca="1">IF($A47="","",IF(INDEX(Sheet!X$2:X$7967,$A47)="","",INDEX(Sheet!X$2:X$7967,$A47)))</f>
        <v/>
      </c>
      <c r="U47" s="33" t="str">
        <f ca="1">IF($A47="","",IF(INDEX(Sheet!AA$2:AA$7967,$A47)="","",INDEX(Sheet!AA$2:AA$7967,$A47)))</f>
        <v/>
      </c>
      <c r="V47" s="33" t="str">
        <f ca="1">IF($A47="","",IF(INDEX(Sheet!AB$2:AB$7967,$A47)="","",INDEX(Sheet!AB$2:AB$7967,$A47)))</f>
        <v/>
      </c>
      <c r="W47" s="33" t="str">
        <f ca="1">IF($A47="","",IF(INDEX(Sheet!AH$2:AH$7967,$A47)="","",INDEX(Sheet!AH$2:AH$7967,$A47)))</f>
        <v/>
      </c>
      <c r="X47" s="33" t="str">
        <f ca="1">IF($A47="","",IF(INDEX(Sheet!AC$2:AC$7967,$A47)="","",INDEX(Sheet!AC$2:AC$7967,$A47)))</f>
        <v/>
      </c>
      <c r="Y47" s="33" t="str">
        <f ca="1">IF($A47="","",IF(INDEX(Sheet!AD$2:AD$7967,$A47)="","",INDEX(Sheet!AD$2:AD$7967,$A47)))</f>
        <v/>
      </c>
      <c r="Z47" s="33" t="str">
        <f ca="1">IF($A47="","",IF(INDEX(Sheet!AL$2:AL$7967,$A47)="","",INDEX(Sheet!AL$2:AL$7967,$A47)))</f>
        <v/>
      </c>
      <c r="AA47" s="33" t="str">
        <f ca="1">IF($A47="","",IF(INDEX(Sheet!AE$2:AE$7967,$A47)="","",INDEX(Sheet!AE$2:AE$7967,$A47)))</f>
        <v/>
      </c>
      <c r="AB47" s="33" t="str">
        <f ca="1">IF($A47="","",IF(INDEX(Sheet!AF$2:AF$7967,$A47)="","",INDEX(Sheet!AF$2:AF$7967,$A47)))</f>
        <v/>
      </c>
      <c r="AC47" s="33" t="str">
        <f ca="1">IF($A47="","",IF(INDEX(Sheet!AG$2:AG$7967,$A47)="","",INDEX(Sheet!AG$2:AG$7967,$A47)))</f>
        <v/>
      </c>
      <c r="AD47" s="33" t="str">
        <f ca="1">IF($A47="","",IF(INDEX(Sheet!AM$2:AM$7967,$A47)="","",INDEX(Sheet!AM$2:AM$7967,$A47)))</f>
        <v/>
      </c>
      <c r="AE47" s="33" t="str">
        <f ca="1">IF($A47="","",IF(INDEX(Sheet!AJ$2:AJ$7967,$A47)="","",INDEX(Sheet!AJ$2:AJ$7967,$A47)))</f>
        <v/>
      </c>
      <c r="AF47" s="33" t="str">
        <f ca="1">IF($A47="","",IF(INDEX(Sheet!AI$2:AI$7967,$A47)="","",INDEX(Sheet!AI$2:AI$7967,$A47)))</f>
        <v/>
      </c>
      <c r="AG47" s="33" t="str">
        <f ca="1">IF(D47="duyệt sản xuất"," Bảo Bảo, Ngày "&amp;DAY($J$4)&amp;" Tháng "&amp;MONTH($J$4)&amp;" Năm "&amp;YEAR($J$4),IF(D47="Phê duyệt","NGƯỜI LẬP",IF(D47="Nguyễn Ngọc Thắng","NGUYỄN THỊ MAI",IF($A47="","",INDEX(Sheet!AK$2:AK$7967,$A47)))))</f>
        <v/>
      </c>
      <c r="AH47" s="58" t="str">
        <f ca="1">IF($A47="","",INDEX(Sheet!AR$2:AR$7967,$A47)&amp;" ; "&amp;INDEX(Sheet!M$2:M$7967,$A47))</f>
        <v/>
      </c>
      <c r="AI47" s="1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G47" s="35" t="str">
        <f ca="1">IFERROR(VALUE(separ(INDEX(Sheet!Q$2:Q$7967,$A47),"-",1)),"")</f>
        <v/>
      </c>
      <c r="BH47" s="35" t="str">
        <f ca="1">IFERROR(VALUE(separ(INDEX(Sheet!R$2:R$7967,$A47),"-",1)),"")</f>
        <v/>
      </c>
      <c r="BI47" s="35" t="str">
        <f ca="1">IFERROR(VALUE(separ(INDEX(Sheet!S$2:S$7967,$A47),"-",1)),"")</f>
        <v/>
      </c>
      <c r="BJ47" s="35" t="str">
        <f ca="1">IFERROR(VALUE(separ(INDEX(Sheet!T$2:T$7967,$A47),"-",1)),"")</f>
        <v/>
      </c>
      <c r="BK47" s="35" t="str">
        <f ca="1">IFERROR(VALUE(separ(INDEX(Sheet!U$2:U$7967,$A47),"-",1)),"")</f>
        <v/>
      </c>
      <c r="BL47" s="35" t="str">
        <f ca="1">IFERROR(VALUE(separ(INDEX(Sheet!V$2:V$7967,$A47),"-",1)),"")</f>
        <v/>
      </c>
      <c r="BM47" s="35" t="str">
        <f ca="1">IFERROR(VALUE(separ(INDEX(Sheet!W$2:W$7967,$A47),"-",1)),"")</f>
        <v/>
      </c>
      <c r="BN47" s="35" t="str">
        <f ca="1">IFERROR(VALUE(separ(INDEX(Sheet!X$2:X$7967,$A47),"-",1)),"")</f>
        <v/>
      </c>
      <c r="BO47" s="35" t="str">
        <f ca="1">IFERROR(VALUE(separ(INDEX(Sheet!Y$2:Y$7967,$A47),"-",1)),"")</f>
        <v/>
      </c>
      <c r="BP47" s="35" t="str">
        <f ca="1">IFERROR(VALUE(separ(INDEX(Sheet!Z$2:Z$7967,$A47),"-",1)),"")</f>
        <v/>
      </c>
      <c r="BQ47" s="35" t="str">
        <f ca="1">IFERROR(VALUE(separ(INDEX(Sheet!AA$2:AA$7967,$A47),"-",1)),"")</f>
        <v/>
      </c>
      <c r="BR47" s="35" t="str">
        <f ca="1">IFERROR(VALUE(separ(INDEX(Sheet!AB$2:AB$7967,$A47),"-",1)),"")</f>
        <v/>
      </c>
      <c r="BS47" s="35" t="str">
        <f ca="1">IFERROR(VALUE(separ(INDEX(Sheet!AC$2:AC$7967,$A47),"-",1)),"")</f>
        <v/>
      </c>
      <c r="BT47" s="35" t="str">
        <f ca="1">IFERROR(VALUE(separ(INDEX(Sheet!AD$2:AD$7967,$A47),"-",1)),"")</f>
        <v/>
      </c>
      <c r="BU47" s="35" t="str">
        <f ca="1">IFERROR(VALUE(separ(INDEX(Sheet!AE$2:AE$7967,$A47),"-",1)),"")</f>
        <v/>
      </c>
      <c r="BV47" s="35"/>
      <c r="BW47" s="35" t="str">
        <f ca="1">IFERROR((separ(INDEX(Sheet!Q$2:Q$7967,$A47),"-",2)),"")</f>
        <v/>
      </c>
      <c r="BX47" s="35" t="str">
        <f ca="1">IFERROR((separ(INDEX(Sheet!R$2:R$7967,$A47),"-",2)),"")</f>
        <v/>
      </c>
      <c r="BY47" s="35" t="str">
        <f ca="1">IFERROR((separ(INDEX(Sheet!S$2:S$7967,$A47),"-",2)),"")</f>
        <v/>
      </c>
      <c r="BZ47" s="35" t="str">
        <f ca="1">IFERROR((separ(INDEX(Sheet!T$2:T$7967,$A47),"-",2)),"")</f>
        <v/>
      </c>
      <c r="CA47" s="35" t="str">
        <f ca="1">IFERROR((separ(INDEX(Sheet!U$2:U$7967,$A47),"-",2)),"")</f>
        <v/>
      </c>
      <c r="CB47" s="35" t="str">
        <f ca="1">IFERROR((separ(INDEX(Sheet!V$2:V$7967,$A47),"-",2)),"")</f>
        <v/>
      </c>
      <c r="CC47" s="35" t="str">
        <f ca="1">IFERROR((separ(INDEX(Sheet!W$2:W$7967,$A47),"-",2)),"")</f>
        <v/>
      </c>
      <c r="CD47" s="35" t="str">
        <f ca="1">IFERROR((separ(INDEX(Sheet!X$2:X$7967,$A47),"-",2)),"")</f>
        <v/>
      </c>
      <c r="CE47" s="35" t="str">
        <f ca="1">IFERROR((separ(INDEX(Sheet!Y$2:Y$7967,$A47),"-",2)),"")</f>
        <v/>
      </c>
      <c r="CF47" s="35" t="str">
        <f ca="1">IFERROR((separ(INDEX(Sheet!Z$2:Z$7967,$A47),"-",2)),"")</f>
        <v/>
      </c>
      <c r="CG47" s="35" t="str">
        <f ca="1">IFERROR((separ(INDEX(Sheet!AA$2:AA$7967,$A47),"-",2)),"")</f>
        <v/>
      </c>
      <c r="CH47" s="35" t="str">
        <f ca="1">IFERROR((separ(INDEX(Sheet!AB$2:AB$7967,$A47),"-",2)),"")</f>
        <v/>
      </c>
      <c r="CI47" s="35" t="str">
        <f ca="1">IFERROR((separ(INDEX(Sheet!AC$2:AC$7967,$A47),"-",2)),"")</f>
        <v/>
      </c>
      <c r="CJ47" s="35" t="str">
        <f ca="1">IFERROR((separ(INDEX(Sheet!AD$2:AD$7967,$A47),"-",2)),"")</f>
        <v/>
      </c>
      <c r="CK47" s="35" t="str">
        <f ca="1">IFERROR((separ(INDEX(Sheet!AE$2:AE$7967,$A47),"-",2)),"")</f>
        <v/>
      </c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</row>
    <row r="48" spans="1:104" s="29" customFormat="1">
      <c r="A48" s="45" t="str">
        <f ca="1">IFERROR(MATCH($B$3,OFFSET(Sheet!$D$2,A47,0):'Sheet'!$D$7657,0)+A47,"")</f>
        <v/>
      </c>
      <c r="B48" s="29" t="str">
        <f ca="1">IF(ROW(A41)&lt;=COUNT($A$6:$A$800),INDEX(Sheet!$A$2:$A$7967,$A48),IF(ROW(A41)=COUNT($A$6:$A$800)+1," ",IF(ROW(A41)=COUNT($A$6:$A$800)+2,"  ","")))</f>
        <v/>
      </c>
      <c r="C48" s="67" t="str">
        <f ca="1">IF($A48="","",INDEX(Sheet!E$2:E$7967,$A48))</f>
        <v/>
      </c>
      <c r="D48" s="31" t="str">
        <f ca="1">IF(B45=" ",$AR$1,IF(B48=" ",$AQ$1,IF(A48="","",INDEX(Sheet!G$2:G$7967,$A48))))</f>
        <v/>
      </c>
      <c r="E48" s="32" t="str">
        <f ca="1">IF($A48="","",TEXT(INDEX(Sheet!J$2:J$7967,$A48),"#,#")&amp;" "&amp;INDEX(Sheet!AT$2:AT$7967,$A48))</f>
        <v/>
      </c>
      <c r="F48" s="53" t="str">
        <f ca="1">IF($A48="","",INDEX(Sheet!F$2:F$7967,$A48))</f>
        <v/>
      </c>
      <c r="G48" s="32" t="str">
        <f ca="1">IF($A48="","",INDEX(Sheet!I$2:I$7967,$A48))</f>
        <v/>
      </c>
      <c r="H48" s="32" t="str">
        <f ca="1">IF($A48="","",INDEX(Sheet!L$2:L$7967,$A48))</f>
        <v/>
      </c>
      <c r="I48" s="32" t="str">
        <f ca="1">IF($A48="","",INDEX(Sheet!N$2:N$7967,$A48))</f>
        <v/>
      </c>
      <c r="J48" s="53" t="str">
        <f ca="1">IF($A48="","",INDEX(Sheet!AS$2:AS$7967,$A48))</f>
        <v/>
      </c>
      <c r="K48" s="33" t="str">
        <f ca="1">IF($A48="","",IF(INDEX(Sheet!S$2:S$7967,$A48)="","",INDEX(Sheet!S$2:S$7967,$A48)))</f>
        <v/>
      </c>
      <c r="L48" s="33" t="str">
        <f ca="1">IF($A48="","",IF(INDEX(Sheet!R$2:R$7967,$A48)="","",INDEX(Sheet!R$2:R$7967,$A48)))</f>
        <v/>
      </c>
      <c r="M48" s="33" t="str">
        <f ca="1">IF($A48="","",IF(INDEX(Sheet!AO$2:AO$7967,$A48)="","",INDEX(Sheet!AO$2:AO$7967,$A48)))</f>
        <v/>
      </c>
      <c r="N48" s="33" t="str">
        <f ca="1">IF($A48="","",IF(INDEX(Sheet!T$2:T$7967,$A48)="","",INDEX(Sheet!T$2:T$7967,$A48)))</f>
        <v/>
      </c>
      <c r="O48" s="33" t="str">
        <f ca="1">IF($A48="","",IF(INDEX(Sheet!U$2:U$7967,$A48)="","",INDEX(Sheet!U$2:U$7967,$A48)))</f>
        <v/>
      </c>
      <c r="P48" s="33" t="str">
        <f ca="1">IF($A48="","",IF(INDEX(Sheet!W$2:W$7967,$A48)="","",INDEX(Sheet!W$2:W$7967,$A48)))</f>
        <v/>
      </c>
      <c r="Q48" s="33" t="str">
        <f ca="1">IF($A48="","",IF(INDEX(Sheet!V$2:V$7967,$A48)="","",INDEX(Sheet!V$2:V$7967,$A48)))</f>
        <v/>
      </c>
      <c r="R48" s="33" t="str">
        <f ca="1">IF($A48="","",IF(INDEX(Sheet!Z$2:Z$7967,$A48)="","",INDEX(Sheet!Z$2:Z$7967,$A48)))</f>
        <v/>
      </c>
      <c r="S48" s="33" t="str">
        <f ca="1">IF($A48="","",IF(INDEX(Sheet!Y$2:Y$7967,$A48)="","",INDEX(Sheet!Y$2:Y$7967,$A48)))</f>
        <v/>
      </c>
      <c r="T48" s="33" t="str">
        <f ca="1">IF($A48="","",IF(INDEX(Sheet!X$2:X$7967,$A48)="","",INDEX(Sheet!X$2:X$7967,$A48)))</f>
        <v/>
      </c>
      <c r="U48" s="33" t="str">
        <f ca="1">IF($A48="","",IF(INDEX(Sheet!AA$2:AA$7967,$A48)="","",INDEX(Sheet!AA$2:AA$7967,$A48)))</f>
        <v/>
      </c>
      <c r="V48" s="33" t="str">
        <f ca="1">IF($A48="","",IF(INDEX(Sheet!AB$2:AB$7967,$A48)="","",INDEX(Sheet!AB$2:AB$7967,$A48)))</f>
        <v/>
      </c>
      <c r="W48" s="33" t="str">
        <f ca="1">IF($A48="","",IF(INDEX(Sheet!AH$2:AH$7967,$A48)="","",INDEX(Sheet!AH$2:AH$7967,$A48)))</f>
        <v/>
      </c>
      <c r="X48" s="33" t="str">
        <f ca="1">IF($A48="","",IF(INDEX(Sheet!AC$2:AC$7967,$A48)="","",INDEX(Sheet!AC$2:AC$7967,$A48)))</f>
        <v/>
      </c>
      <c r="Y48" s="33" t="str">
        <f ca="1">IF($A48="","",IF(INDEX(Sheet!AD$2:AD$7967,$A48)="","",INDEX(Sheet!AD$2:AD$7967,$A48)))</f>
        <v/>
      </c>
      <c r="Z48" s="33" t="str">
        <f ca="1">IF($A48="","",IF(INDEX(Sheet!AL$2:AL$7967,$A48)="","",INDEX(Sheet!AL$2:AL$7967,$A48)))</f>
        <v/>
      </c>
      <c r="AA48" s="33" t="str">
        <f ca="1">IF($A48="","",IF(INDEX(Sheet!AE$2:AE$7967,$A48)="","",INDEX(Sheet!AE$2:AE$7967,$A48)))</f>
        <v/>
      </c>
      <c r="AB48" s="33" t="str">
        <f ca="1">IF($A48="","",IF(INDEX(Sheet!AF$2:AF$7967,$A48)="","",INDEX(Sheet!AF$2:AF$7967,$A48)))</f>
        <v/>
      </c>
      <c r="AC48" s="33" t="str">
        <f ca="1">IF($A48="","",IF(INDEX(Sheet!AG$2:AG$7967,$A48)="","",INDEX(Sheet!AG$2:AG$7967,$A48)))</f>
        <v/>
      </c>
      <c r="AD48" s="33" t="str">
        <f ca="1">IF($A48="","",IF(INDEX(Sheet!AM$2:AM$7967,$A48)="","",INDEX(Sheet!AM$2:AM$7967,$A48)))</f>
        <v/>
      </c>
      <c r="AE48" s="33" t="str">
        <f ca="1">IF($A48="","",IF(INDEX(Sheet!AJ$2:AJ$7967,$A48)="","",INDEX(Sheet!AJ$2:AJ$7967,$A48)))</f>
        <v/>
      </c>
      <c r="AF48" s="33" t="str">
        <f ca="1">IF($A48="","",IF(INDEX(Sheet!AI$2:AI$7967,$A48)="","",INDEX(Sheet!AI$2:AI$7967,$A48)))</f>
        <v/>
      </c>
      <c r="AG48" s="33" t="str">
        <f ca="1">IF(D48="duyệt sản xuất"," Bảo Bảo, Ngày "&amp;DAY($J$4)&amp;" Tháng "&amp;MONTH($J$4)&amp;" Năm "&amp;YEAR($J$4),IF(D48="Phê duyệt","NGƯỜI LẬP",IF(D48="Nguyễn Ngọc Thắng","NGUYỄN THỊ MAI",IF($A48="","",INDEX(Sheet!AK$2:AK$7967,$A48)))))</f>
        <v/>
      </c>
      <c r="AH48" s="58" t="str">
        <f ca="1">IF($A48="","",INDEX(Sheet!AR$2:AR$7967,$A48)&amp;" ; "&amp;INDEX(Sheet!M$2:M$7967,$A48))</f>
        <v/>
      </c>
      <c r="AI48" s="1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G48" s="35" t="str">
        <f ca="1">IFERROR(VALUE(separ(INDEX(Sheet!Q$2:Q$7967,$A48),"-",1)),"")</f>
        <v/>
      </c>
      <c r="BH48" s="35" t="str">
        <f ca="1">IFERROR(VALUE(separ(INDEX(Sheet!R$2:R$7967,$A48),"-",1)),"")</f>
        <v/>
      </c>
      <c r="BI48" s="35" t="str">
        <f ca="1">IFERROR(VALUE(separ(INDEX(Sheet!S$2:S$7967,$A48),"-",1)),"")</f>
        <v/>
      </c>
      <c r="BJ48" s="35" t="str">
        <f ca="1">IFERROR(VALUE(separ(INDEX(Sheet!T$2:T$7967,$A48),"-",1)),"")</f>
        <v/>
      </c>
      <c r="BK48" s="35" t="str">
        <f ca="1">IFERROR(VALUE(separ(INDEX(Sheet!U$2:U$7967,$A48),"-",1)),"")</f>
        <v/>
      </c>
      <c r="BL48" s="35" t="str">
        <f ca="1">IFERROR(VALUE(separ(INDEX(Sheet!V$2:V$7967,$A48),"-",1)),"")</f>
        <v/>
      </c>
      <c r="BM48" s="35" t="str">
        <f ca="1">IFERROR(VALUE(separ(INDEX(Sheet!W$2:W$7967,$A48),"-",1)),"")</f>
        <v/>
      </c>
      <c r="BN48" s="35" t="str">
        <f ca="1">IFERROR(VALUE(separ(INDEX(Sheet!X$2:X$7967,$A48),"-",1)),"")</f>
        <v/>
      </c>
      <c r="BO48" s="35" t="str">
        <f ca="1">IFERROR(VALUE(separ(INDEX(Sheet!Y$2:Y$7967,$A48),"-",1)),"")</f>
        <v/>
      </c>
      <c r="BP48" s="35" t="str">
        <f ca="1">IFERROR(VALUE(separ(INDEX(Sheet!Z$2:Z$7967,$A48),"-",1)),"")</f>
        <v/>
      </c>
      <c r="BQ48" s="35" t="str">
        <f ca="1">IFERROR(VALUE(separ(INDEX(Sheet!AA$2:AA$7967,$A48),"-",1)),"")</f>
        <v/>
      </c>
      <c r="BR48" s="35" t="str">
        <f ca="1">IFERROR(VALUE(separ(INDEX(Sheet!AB$2:AB$7967,$A48),"-",1)),"")</f>
        <v/>
      </c>
      <c r="BS48" s="35" t="str">
        <f ca="1">IFERROR(VALUE(separ(INDEX(Sheet!AC$2:AC$7967,$A48),"-",1)),"")</f>
        <v/>
      </c>
      <c r="BT48" s="35" t="str">
        <f ca="1">IFERROR(VALUE(separ(INDEX(Sheet!AD$2:AD$7967,$A48),"-",1)),"")</f>
        <v/>
      </c>
      <c r="BU48" s="35" t="str">
        <f ca="1">IFERROR(VALUE(separ(INDEX(Sheet!AE$2:AE$7967,$A48),"-",1)),"")</f>
        <v/>
      </c>
      <c r="BV48" s="35"/>
      <c r="BW48" s="35" t="str">
        <f ca="1">IFERROR((separ(INDEX(Sheet!Q$2:Q$7967,$A48),"-",2)),"")</f>
        <v/>
      </c>
      <c r="BX48" s="35" t="str">
        <f ca="1">IFERROR((separ(INDEX(Sheet!R$2:R$7967,$A48),"-",2)),"")</f>
        <v/>
      </c>
      <c r="BY48" s="35" t="str">
        <f ca="1">IFERROR((separ(INDEX(Sheet!S$2:S$7967,$A48),"-",2)),"")</f>
        <v/>
      </c>
      <c r="BZ48" s="35" t="str">
        <f ca="1">IFERROR((separ(INDEX(Sheet!T$2:T$7967,$A48),"-",2)),"")</f>
        <v/>
      </c>
      <c r="CA48" s="35" t="str">
        <f ca="1">IFERROR((separ(INDEX(Sheet!U$2:U$7967,$A48),"-",2)),"")</f>
        <v/>
      </c>
      <c r="CB48" s="35" t="str">
        <f ca="1">IFERROR((separ(INDEX(Sheet!V$2:V$7967,$A48),"-",2)),"")</f>
        <v/>
      </c>
      <c r="CC48" s="35" t="str">
        <f ca="1">IFERROR((separ(INDEX(Sheet!W$2:W$7967,$A48),"-",2)),"")</f>
        <v/>
      </c>
      <c r="CD48" s="35" t="str">
        <f ca="1">IFERROR((separ(INDEX(Sheet!X$2:X$7967,$A48),"-",2)),"")</f>
        <v/>
      </c>
      <c r="CE48" s="35" t="str">
        <f ca="1">IFERROR((separ(INDEX(Sheet!Y$2:Y$7967,$A48),"-",2)),"")</f>
        <v/>
      </c>
      <c r="CF48" s="35" t="str">
        <f ca="1">IFERROR((separ(INDEX(Sheet!Z$2:Z$7967,$A48),"-",2)),"")</f>
        <v/>
      </c>
      <c r="CG48" s="35" t="str">
        <f ca="1">IFERROR((separ(INDEX(Sheet!AA$2:AA$7967,$A48),"-",2)),"")</f>
        <v/>
      </c>
      <c r="CH48" s="35" t="str">
        <f ca="1">IFERROR((separ(INDEX(Sheet!AB$2:AB$7967,$A48),"-",2)),"")</f>
        <v/>
      </c>
      <c r="CI48" s="35" t="str">
        <f ca="1">IFERROR((separ(INDEX(Sheet!AC$2:AC$7967,$A48),"-",2)),"")</f>
        <v/>
      </c>
      <c r="CJ48" s="35" t="str">
        <f ca="1">IFERROR((separ(INDEX(Sheet!AD$2:AD$7967,$A48),"-",2)),"")</f>
        <v/>
      </c>
      <c r="CK48" s="35" t="str">
        <f ca="1">IFERROR((separ(INDEX(Sheet!AE$2:AE$7967,$A48),"-",2)),"")</f>
        <v/>
      </c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</row>
    <row r="49" spans="1:104" s="29" customFormat="1">
      <c r="A49" s="45" t="str">
        <f ca="1">IFERROR(MATCH($B$3,OFFSET(Sheet!$D$2,A48,0):'Sheet'!$D$7657,0)+A48,"")</f>
        <v/>
      </c>
      <c r="B49" s="29" t="str">
        <f ca="1">IF(ROW(A42)&lt;=COUNT($A$6:$A$800),INDEX(Sheet!$A$2:$A$7967,$A49),IF(ROW(A42)=COUNT($A$6:$A$800)+1," ",IF(ROW(A42)=COUNT($A$6:$A$800)+2,"  ","")))</f>
        <v/>
      </c>
      <c r="C49" s="67" t="str">
        <f ca="1">IF($A49="","",INDEX(Sheet!E$2:E$7967,$A49))</f>
        <v/>
      </c>
      <c r="D49" s="31" t="str">
        <f ca="1">IF(B46=" ",$AR$1,IF(B49=" ",$AQ$1,IF(A49="","",INDEX(Sheet!G$2:G$7967,$A49))))</f>
        <v/>
      </c>
      <c r="E49" s="32" t="str">
        <f ca="1">IF($A49="","",TEXT(INDEX(Sheet!J$2:J$7967,$A49),"#,#")&amp;" "&amp;INDEX(Sheet!AT$2:AT$7967,$A49))</f>
        <v/>
      </c>
      <c r="F49" s="53" t="str">
        <f ca="1">IF($A49="","",INDEX(Sheet!F$2:F$7967,$A49))</f>
        <v/>
      </c>
      <c r="G49" s="32" t="str">
        <f ca="1">IF($A49="","",INDEX(Sheet!I$2:I$7967,$A49))</f>
        <v/>
      </c>
      <c r="H49" s="32" t="str">
        <f ca="1">IF($A49="","",INDEX(Sheet!L$2:L$7967,$A49))</f>
        <v/>
      </c>
      <c r="I49" s="32" t="str">
        <f ca="1">IF($A49="","",INDEX(Sheet!N$2:N$7967,$A49))</f>
        <v/>
      </c>
      <c r="J49" s="53" t="str">
        <f ca="1">IF($A49="","",INDEX(Sheet!AS$2:AS$7967,$A49))</f>
        <v/>
      </c>
      <c r="K49" s="33" t="str">
        <f ca="1">IF($A49="","",IF(INDEX(Sheet!S$2:S$7967,$A49)="","",INDEX(Sheet!S$2:S$7967,$A49)))</f>
        <v/>
      </c>
      <c r="L49" s="33" t="str">
        <f ca="1">IF($A49="","",IF(INDEX(Sheet!R$2:R$7967,$A49)="","",INDEX(Sheet!R$2:R$7967,$A49)))</f>
        <v/>
      </c>
      <c r="M49" s="33" t="str">
        <f ca="1">IF($A49="","",IF(INDEX(Sheet!AO$2:AO$7967,$A49)="","",INDEX(Sheet!AO$2:AO$7967,$A49)))</f>
        <v/>
      </c>
      <c r="N49" s="33" t="str">
        <f ca="1">IF($A49="","",IF(INDEX(Sheet!T$2:T$7967,$A49)="","",INDEX(Sheet!T$2:T$7967,$A49)))</f>
        <v/>
      </c>
      <c r="O49" s="33" t="str">
        <f ca="1">IF($A49="","",IF(INDEX(Sheet!U$2:U$7967,$A49)="","",INDEX(Sheet!U$2:U$7967,$A49)))</f>
        <v/>
      </c>
      <c r="P49" s="33" t="str">
        <f ca="1">IF($A49="","",IF(INDEX(Sheet!W$2:W$7967,$A49)="","",INDEX(Sheet!W$2:W$7967,$A49)))</f>
        <v/>
      </c>
      <c r="Q49" s="33" t="str">
        <f ca="1">IF($A49="","",IF(INDEX(Sheet!V$2:V$7967,$A49)="","",INDEX(Sheet!V$2:V$7967,$A49)))</f>
        <v/>
      </c>
      <c r="R49" s="33" t="str">
        <f ca="1">IF($A49="","",IF(INDEX(Sheet!Z$2:Z$7967,$A49)="","",INDEX(Sheet!Z$2:Z$7967,$A49)))</f>
        <v/>
      </c>
      <c r="S49" s="33" t="str">
        <f ca="1">IF($A49="","",IF(INDEX(Sheet!Y$2:Y$7967,$A49)="","",INDEX(Sheet!Y$2:Y$7967,$A49)))</f>
        <v/>
      </c>
      <c r="T49" s="33" t="str">
        <f ca="1">IF($A49="","",IF(INDEX(Sheet!X$2:X$7967,$A49)="","",INDEX(Sheet!X$2:X$7967,$A49)))</f>
        <v/>
      </c>
      <c r="U49" s="33" t="str">
        <f ca="1">IF($A49="","",IF(INDEX(Sheet!AA$2:AA$7967,$A49)="","",INDEX(Sheet!AA$2:AA$7967,$A49)))</f>
        <v/>
      </c>
      <c r="V49" s="33" t="str">
        <f ca="1">IF($A49="","",IF(INDEX(Sheet!AB$2:AB$7967,$A49)="","",INDEX(Sheet!AB$2:AB$7967,$A49)))</f>
        <v/>
      </c>
      <c r="W49" s="33" t="str">
        <f ca="1">IF($A49="","",IF(INDEX(Sheet!AH$2:AH$7967,$A49)="","",INDEX(Sheet!AH$2:AH$7967,$A49)))</f>
        <v/>
      </c>
      <c r="X49" s="33" t="str">
        <f ca="1">IF($A49="","",IF(INDEX(Sheet!AC$2:AC$7967,$A49)="","",INDEX(Sheet!AC$2:AC$7967,$A49)))</f>
        <v/>
      </c>
      <c r="Y49" s="33" t="str">
        <f ca="1">IF($A49="","",IF(INDEX(Sheet!AD$2:AD$7967,$A49)="","",INDEX(Sheet!AD$2:AD$7967,$A49)))</f>
        <v/>
      </c>
      <c r="Z49" s="33" t="str">
        <f ca="1">IF($A49="","",IF(INDEX(Sheet!AL$2:AL$7967,$A49)="","",INDEX(Sheet!AL$2:AL$7967,$A49)))</f>
        <v/>
      </c>
      <c r="AA49" s="33" t="str">
        <f ca="1">IF($A49="","",IF(INDEX(Sheet!AE$2:AE$7967,$A49)="","",INDEX(Sheet!AE$2:AE$7967,$A49)))</f>
        <v/>
      </c>
      <c r="AB49" s="33" t="str">
        <f ca="1">IF($A49="","",IF(INDEX(Sheet!AF$2:AF$7967,$A49)="","",INDEX(Sheet!AF$2:AF$7967,$A49)))</f>
        <v/>
      </c>
      <c r="AC49" s="33" t="str">
        <f ca="1">IF($A49="","",IF(INDEX(Sheet!AG$2:AG$7967,$A49)="","",INDEX(Sheet!AG$2:AG$7967,$A49)))</f>
        <v/>
      </c>
      <c r="AD49" s="33" t="str">
        <f ca="1">IF($A49="","",IF(INDEX(Sheet!AM$2:AM$7967,$A49)="","",INDEX(Sheet!AM$2:AM$7967,$A49)))</f>
        <v/>
      </c>
      <c r="AE49" s="33" t="str">
        <f ca="1">IF($A49="","",IF(INDEX(Sheet!AJ$2:AJ$7967,$A49)="","",INDEX(Sheet!AJ$2:AJ$7967,$A49)))</f>
        <v/>
      </c>
      <c r="AF49" s="33" t="str">
        <f ca="1">IF($A49="","",IF(INDEX(Sheet!AI$2:AI$7967,$A49)="","",INDEX(Sheet!AI$2:AI$7967,$A49)))</f>
        <v/>
      </c>
      <c r="AG49" s="33" t="str">
        <f ca="1">IF(D49="duyệt sản xuất"," Bảo Bảo, Ngày "&amp;DAY($J$4)&amp;" Tháng "&amp;MONTH($J$4)&amp;" Năm "&amp;YEAR($J$4),IF(D49="Phê duyệt","NGƯỜI LẬP",IF(D49="Nguyễn Ngọc Thắng","NGUYỄN THỊ MAI",IF($A49="","",INDEX(Sheet!AK$2:AK$7967,$A49)))))</f>
        <v/>
      </c>
      <c r="AH49" s="58" t="str">
        <f ca="1">IF($A49="","",INDEX(Sheet!AR$2:AR$7967,$A49)&amp;" ; "&amp;INDEX(Sheet!M$2:M$7967,$A49))</f>
        <v/>
      </c>
      <c r="AI49" s="1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G49" s="35" t="str">
        <f ca="1">IFERROR(VALUE(separ(INDEX(Sheet!Q$2:Q$7967,$A49),"-",1)),"")</f>
        <v/>
      </c>
      <c r="BH49" s="35" t="str">
        <f ca="1">IFERROR(VALUE(separ(INDEX(Sheet!R$2:R$7967,$A49),"-",1)),"")</f>
        <v/>
      </c>
      <c r="BI49" s="35" t="str">
        <f ca="1">IFERROR(VALUE(separ(INDEX(Sheet!S$2:S$7967,$A49),"-",1)),"")</f>
        <v/>
      </c>
      <c r="BJ49" s="35" t="str">
        <f ca="1">IFERROR(VALUE(separ(INDEX(Sheet!T$2:T$7967,$A49),"-",1)),"")</f>
        <v/>
      </c>
      <c r="BK49" s="35" t="str">
        <f ca="1">IFERROR(VALUE(separ(INDEX(Sheet!U$2:U$7967,$A49),"-",1)),"")</f>
        <v/>
      </c>
      <c r="BL49" s="35" t="str">
        <f ca="1">IFERROR(VALUE(separ(INDEX(Sheet!V$2:V$7967,$A49),"-",1)),"")</f>
        <v/>
      </c>
      <c r="BM49" s="35" t="str">
        <f ca="1">IFERROR(VALUE(separ(INDEX(Sheet!W$2:W$7967,$A49),"-",1)),"")</f>
        <v/>
      </c>
      <c r="BN49" s="35" t="str">
        <f ca="1">IFERROR(VALUE(separ(INDEX(Sheet!X$2:X$7967,$A49),"-",1)),"")</f>
        <v/>
      </c>
      <c r="BO49" s="35" t="str">
        <f ca="1">IFERROR(VALUE(separ(INDEX(Sheet!Y$2:Y$7967,$A49),"-",1)),"")</f>
        <v/>
      </c>
      <c r="BP49" s="35" t="str">
        <f ca="1">IFERROR(VALUE(separ(INDEX(Sheet!Z$2:Z$7967,$A49),"-",1)),"")</f>
        <v/>
      </c>
      <c r="BQ49" s="35" t="str">
        <f ca="1">IFERROR(VALUE(separ(INDEX(Sheet!AA$2:AA$7967,$A49),"-",1)),"")</f>
        <v/>
      </c>
      <c r="BR49" s="35" t="str">
        <f ca="1">IFERROR(VALUE(separ(INDEX(Sheet!AB$2:AB$7967,$A49),"-",1)),"")</f>
        <v/>
      </c>
      <c r="BS49" s="35" t="str">
        <f ca="1">IFERROR(VALUE(separ(INDEX(Sheet!AC$2:AC$7967,$A49),"-",1)),"")</f>
        <v/>
      </c>
      <c r="BT49" s="35" t="str">
        <f ca="1">IFERROR(VALUE(separ(INDEX(Sheet!AD$2:AD$7967,$A49),"-",1)),"")</f>
        <v/>
      </c>
      <c r="BU49" s="35" t="str">
        <f ca="1">IFERROR(VALUE(separ(INDEX(Sheet!AE$2:AE$7967,$A49),"-",1)),"")</f>
        <v/>
      </c>
      <c r="BV49" s="35"/>
      <c r="BW49" s="35" t="str">
        <f ca="1">IFERROR((separ(INDEX(Sheet!Q$2:Q$7967,$A49),"-",2)),"")</f>
        <v/>
      </c>
      <c r="BX49" s="35" t="str">
        <f ca="1">IFERROR((separ(INDEX(Sheet!R$2:R$7967,$A49),"-",2)),"")</f>
        <v/>
      </c>
      <c r="BY49" s="35" t="str">
        <f ca="1">IFERROR((separ(INDEX(Sheet!S$2:S$7967,$A49),"-",2)),"")</f>
        <v/>
      </c>
      <c r="BZ49" s="35" t="str">
        <f ca="1">IFERROR((separ(INDEX(Sheet!T$2:T$7967,$A49),"-",2)),"")</f>
        <v/>
      </c>
      <c r="CA49" s="35" t="str">
        <f ca="1">IFERROR((separ(INDEX(Sheet!U$2:U$7967,$A49),"-",2)),"")</f>
        <v/>
      </c>
      <c r="CB49" s="35" t="str">
        <f ca="1">IFERROR((separ(INDEX(Sheet!V$2:V$7967,$A49),"-",2)),"")</f>
        <v/>
      </c>
      <c r="CC49" s="35" t="str">
        <f ca="1">IFERROR((separ(INDEX(Sheet!W$2:W$7967,$A49),"-",2)),"")</f>
        <v/>
      </c>
      <c r="CD49" s="35" t="str">
        <f ca="1">IFERROR((separ(INDEX(Sheet!X$2:X$7967,$A49),"-",2)),"")</f>
        <v/>
      </c>
      <c r="CE49" s="35" t="str">
        <f ca="1">IFERROR((separ(INDEX(Sheet!Y$2:Y$7967,$A49),"-",2)),"")</f>
        <v/>
      </c>
      <c r="CF49" s="35" t="str">
        <f ca="1">IFERROR((separ(INDEX(Sheet!Z$2:Z$7967,$A49),"-",2)),"")</f>
        <v/>
      </c>
      <c r="CG49" s="35" t="str">
        <f ca="1">IFERROR((separ(INDEX(Sheet!AA$2:AA$7967,$A49),"-",2)),"")</f>
        <v/>
      </c>
      <c r="CH49" s="35" t="str">
        <f ca="1">IFERROR((separ(INDEX(Sheet!AB$2:AB$7967,$A49),"-",2)),"")</f>
        <v/>
      </c>
      <c r="CI49" s="35" t="str">
        <f ca="1">IFERROR((separ(INDEX(Sheet!AC$2:AC$7967,$A49),"-",2)),"")</f>
        <v/>
      </c>
      <c r="CJ49" s="35" t="str">
        <f ca="1">IFERROR((separ(INDEX(Sheet!AD$2:AD$7967,$A49),"-",2)),"")</f>
        <v/>
      </c>
      <c r="CK49" s="35" t="str">
        <f ca="1">IFERROR((separ(INDEX(Sheet!AE$2:AE$7967,$A49),"-",2)),"")</f>
        <v/>
      </c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</row>
    <row r="50" spans="1:104" s="29" customFormat="1">
      <c r="A50" s="45" t="str">
        <f ca="1">IFERROR(MATCH($B$3,OFFSET(Sheet!$D$2,A49,0):'Sheet'!$D$7657,0)+A49,"")</f>
        <v/>
      </c>
      <c r="B50" s="29" t="str">
        <f ca="1">IF(ROW(A43)&lt;=COUNT($A$6:$A$800),INDEX(Sheet!$A$2:$A$7967,$A50),IF(ROW(A43)=COUNT($A$6:$A$800)+1," ",IF(ROW(A43)=COUNT($A$6:$A$800)+2,"  ","")))</f>
        <v/>
      </c>
      <c r="C50" s="67" t="str">
        <f ca="1">IF($A50="","",INDEX(Sheet!E$2:E$7967,$A50))</f>
        <v/>
      </c>
      <c r="D50" s="31" t="str">
        <f ca="1">IF(B47=" ",$AR$1,IF(B50=" ",$AQ$1,IF(A50="","",INDEX(Sheet!G$2:G$7967,$A50))))</f>
        <v/>
      </c>
      <c r="E50" s="32" t="str">
        <f ca="1">IF($A50="","",TEXT(INDEX(Sheet!J$2:J$7967,$A50),"#,#")&amp;" "&amp;INDEX(Sheet!AT$2:AT$7967,$A50))</f>
        <v/>
      </c>
      <c r="F50" s="53" t="str">
        <f ca="1">IF($A50="","",INDEX(Sheet!F$2:F$7967,$A50))</f>
        <v/>
      </c>
      <c r="G50" s="32" t="str">
        <f ca="1">IF($A50="","",INDEX(Sheet!I$2:I$7967,$A50))</f>
        <v/>
      </c>
      <c r="H50" s="32" t="str">
        <f ca="1">IF($A50="","",INDEX(Sheet!L$2:L$7967,$A50))</f>
        <v/>
      </c>
      <c r="I50" s="32" t="str">
        <f ca="1">IF($A50="","",INDEX(Sheet!N$2:N$7967,$A50))</f>
        <v/>
      </c>
      <c r="J50" s="53" t="str">
        <f ca="1">IF($A50="","",INDEX(Sheet!AS$2:AS$7967,$A50))</f>
        <v/>
      </c>
      <c r="K50" s="33" t="str">
        <f ca="1">IF($A50="","",IF(INDEX(Sheet!S$2:S$7967,$A50)="","",INDEX(Sheet!S$2:S$7967,$A50)))</f>
        <v/>
      </c>
      <c r="L50" s="33" t="str">
        <f ca="1">IF($A50="","",IF(INDEX(Sheet!R$2:R$7967,$A50)="","",INDEX(Sheet!R$2:R$7967,$A50)))</f>
        <v/>
      </c>
      <c r="M50" s="33" t="str">
        <f ca="1">IF($A50="","",IF(INDEX(Sheet!AO$2:AO$7967,$A50)="","",INDEX(Sheet!AO$2:AO$7967,$A50)))</f>
        <v/>
      </c>
      <c r="N50" s="33" t="str">
        <f ca="1">IF($A50="","",IF(INDEX(Sheet!T$2:T$7967,$A50)="","",INDEX(Sheet!T$2:T$7967,$A50)))</f>
        <v/>
      </c>
      <c r="O50" s="33" t="str">
        <f ca="1">IF($A50="","",IF(INDEX(Sheet!U$2:U$7967,$A50)="","",INDEX(Sheet!U$2:U$7967,$A50)))</f>
        <v/>
      </c>
      <c r="P50" s="33" t="str">
        <f ca="1">IF($A50="","",IF(INDEX(Sheet!W$2:W$7967,$A50)="","",INDEX(Sheet!W$2:W$7967,$A50)))</f>
        <v/>
      </c>
      <c r="Q50" s="33" t="str">
        <f ca="1">IF($A50="","",IF(INDEX(Sheet!V$2:V$7967,$A50)="","",INDEX(Sheet!V$2:V$7967,$A50)))</f>
        <v/>
      </c>
      <c r="R50" s="33" t="str">
        <f ca="1">IF($A50="","",IF(INDEX(Sheet!Z$2:Z$7967,$A50)="","",INDEX(Sheet!Z$2:Z$7967,$A50)))</f>
        <v/>
      </c>
      <c r="S50" s="33" t="str">
        <f ca="1">IF($A50="","",IF(INDEX(Sheet!Y$2:Y$7967,$A50)="","",INDEX(Sheet!Y$2:Y$7967,$A50)))</f>
        <v/>
      </c>
      <c r="T50" s="33" t="str">
        <f ca="1">IF($A50="","",IF(INDEX(Sheet!X$2:X$7967,$A50)="","",INDEX(Sheet!X$2:X$7967,$A50)))</f>
        <v/>
      </c>
      <c r="U50" s="33" t="str">
        <f ca="1">IF($A50="","",IF(INDEX(Sheet!AA$2:AA$7967,$A50)="","",INDEX(Sheet!AA$2:AA$7967,$A50)))</f>
        <v/>
      </c>
      <c r="V50" s="33" t="str">
        <f ca="1">IF($A50="","",IF(INDEX(Sheet!AB$2:AB$7967,$A50)="","",INDEX(Sheet!AB$2:AB$7967,$A50)))</f>
        <v/>
      </c>
      <c r="W50" s="33" t="str">
        <f ca="1">IF($A50="","",IF(INDEX(Sheet!AH$2:AH$7967,$A50)="","",INDEX(Sheet!AH$2:AH$7967,$A50)))</f>
        <v/>
      </c>
      <c r="X50" s="33" t="str">
        <f ca="1">IF($A50="","",IF(INDEX(Sheet!AC$2:AC$7967,$A50)="","",INDEX(Sheet!AC$2:AC$7967,$A50)))</f>
        <v/>
      </c>
      <c r="Y50" s="33" t="str">
        <f ca="1">IF($A50="","",IF(INDEX(Sheet!AD$2:AD$7967,$A50)="","",INDEX(Sheet!AD$2:AD$7967,$A50)))</f>
        <v/>
      </c>
      <c r="Z50" s="33" t="str">
        <f ca="1">IF($A50="","",IF(INDEX(Sheet!AL$2:AL$7967,$A50)="","",INDEX(Sheet!AL$2:AL$7967,$A50)))</f>
        <v/>
      </c>
      <c r="AA50" s="33" t="str">
        <f ca="1">IF($A50="","",IF(INDEX(Sheet!AE$2:AE$7967,$A50)="","",INDEX(Sheet!AE$2:AE$7967,$A50)))</f>
        <v/>
      </c>
      <c r="AB50" s="33" t="str">
        <f ca="1">IF($A50="","",IF(INDEX(Sheet!AF$2:AF$7967,$A50)="","",INDEX(Sheet!AF$2:AF$7967,$A50)))</f>
        <v/>
      </c>
      <c r="AC50" s="33" t="str">
        <f ca="1">IF($A50="","",IF(INDEX(Sheet!AG$2:AG$7967,$A50)="","",INDEX(Sheet!AG$2:AG$7967,$A50)))</f>
        <v/>
      </c>
      <c r="AD50" s="33" t="str">
        <f ca="1">IF($A50="","",IF(INDEX(Sheet!AM$2:AM$7967,$A50)="","",INDEX(Sheet!AM$2:AM$7967,$A50)))</f>
        <v/>
      </c>
      <c r="AE50" s="33" t="str">
        <f ca="1">IF($A50="","",IF(INDEX(Sheet!AJ$2:AJ$7967,$A50)="","",INDEX(Sheet!AJ$2:AJ$7967,$A50)))</f>
        <v/>
      </c>
      <c r="AF50" s="33" t="str">
        <f ca="1">IF($A50="","",IF(INDEX(Sheet!AI$2:AI$7967,$A50)="","",INDEX(Sheet!AI$2:AI$7967,$A50)))</f>
        <v/>
      </c>
      <c r="AG50" s="33" t="str">
        <f ca="1">IF(D50="duyệt sản xuất"," Bảo Bảo, Ngày "&amp;DAY($J$4)&amp;" Tháng "&amp;MONTH($J$4)&amp;" Năm "&amp;YEAR($J$4),IF(D50="Phê duyệt","NGƯỜI LẬP",IF(D50="Nguyễn Ngọc Thắng","NGUYỄN THỊ MAI",IF($A50="","",INDEX(Sheet!AK$2:AK$7967,$A50)))))</f>
        <v/>
      </c>
      <c r="AH50" s="58" t="str">
        <f ca="1">IF($A50="","",INDEX(Sheet!AR$2:AR$7967,$A50)&amp;" ; "&amp;INDEX(Sheet!M$2:M$7967,$A50))</f>
        <v/>
      </c>
      <c r="AI50" s="1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G50" s="35" t="str">
        <f ca="1">IFERROR(VALUE(separ(INDEX(Sheet!Q$2:Q$7967,$A50),"-",1)),"")</f>
        <v/>
      </c>
      <c r="BH50" s="35" t="str">
        <f ca="1">IFERROR(VALUE(separ(INDEX(Sheet!R$2:R$7967,$A50),"-",1)),"")</f>
        <v/>
      </c>
      <c r="BI50" s="35" t="str">
        <f ca="1">IFERROR(VALUE(separ(INDEX(Sheet!S$2:S$7967,$A50),"-",1)),"")</f>
        <v/>
      </c>
      <c r="BJ50" s="35" t="str">
        <f ca="1">IFERROR(VALUE(separ(INDEX(Sheet!T$2:T$7967,$A50),"-",1)),"")</f>
        <v/>
      </c>
      <c r="BK50" s="35" t="str">
        <f ca="1">IFERROR(VALUE(separ(INDEX(Sheet!U$2:U$7967,$A50),"-",1)),"")</f>
        <v/>
      </c>
      <c r="BL50" s="35" t="str">
        <f ca="1">IFERROR(VALUE(separ(INDEX(Sheet!V$2:V$7967,$A50),"-",1)),"")</f>
        <v/>
      </c>
      <c r="BM50" s="35" t="str">
        <f ca="1">IFERROR(VALUE(separ(INDEX(Sheet!W$2:W$7967,$A50),"-",1)),"")</f>
        <v/>
      </c>
      <c r="BN50" s="35" t="str">
        <f ca="1">IFERROR(VALUE(separ(INDEX(Sheet!X$2:X$7967,$A50),"-",1)),"")</f>
        <v/>
      </c>
      <c r="BO50" s="35" t="str">
        <f ca="1">IFERROR(VALUE(separ(INDEX(Sheet!Y$2:Y$7967,$A50),"-",1)),"")</f>
        <v/>
      </c>
      <c r="BP50" s="35" t="str">
        <f ca="1">IFERROR(VALUE(separ(INDEX(Sheet!Z$2:Z$7967,$A50),"-",1)),"")</f>
        <v/>
      </c>
      <c r="BQ50" s="35" t="str">
        <f ca="1">IFERROR(VALUE(separ(INDEX(Sheet!AA$2:AA$7967,$A50),"-",1)),"")</f>
        <v/>
      </c>
      <c r="BR50" s="35" t="str">
        <f ca="1">IFERROR(VALUE(separ(INDEX(Sheet!AB$2:AB$7967,$A50),"-",1)),"")</f>
        <v/>
      </c>
      <c r="BS50" s="35" t="str">
        <f ca="1">IFERROR(VALUE(separ(INDEX(Sheet!AC$2:AC$7967,$A50),"-",1)),"")</f>
        <v/>
      </c>
      <c r="BT50" s="35" t="str">
        <f ca="1">IFERROR(VALUE(separ(INDEX(Sheet!AD$2:AD$7967,$A50),"-",1)),"")</f>
        <v/>
      </c>
      <c r="BU50" s="35" t="str">
        <f ca="1">IFERROR(VALUE(separ(INDEX(Sheet!AE$2:AE$7967,$A50),"-",1)),"")</f>
        <v/>
      </c>
      <c r="BV50" s="35"/>
      <c r="BW50" s="35" t="str">
        <f ca="1">IFERROR((separ(INDEX(Sheet!Q$2:Q$7967,$A50),"-",2)),"")</f>
        <v/>
      </c>
      <c r="BX50" s="35" t="str">
        <f ca="1">IFERROR((separ(INDEX(Sheet!R$2:R$7967,$A50),"-",2)),"")</f>
        <v/>
      </c>
      <c r="BY50" s="35" t="str">
        <f ca="1">IFERROR((separ(INDEX(Sheet!S$2:S$7967,$A50),"-",2)),"")</f>
        <v/>
      </c>
      <c r="BZ50" s="35" t="str">
        <f ca="1">IFERROR((separ(INDEX(Sheet!T$2:T$7967,$A50),"-",2)),"")</f>
        <v/>
      </c>
      <c r="CA50" s="35" t="str">
        <f ca="1">IFERROR((separ(INDEX(Sheet!U$2:U$7967,$A50),"-",2)),"")</f>
        <v/>
      </c>
      <c r="CB50" s="35" t="str">
        <f ca="1">IFERROR((separ(INDEX(Sheet!V$2:V$7967,$A50),"-",2)),"")</f>
        <v/>
      </c>
      <c r="CC50" s="35" t="str">
        <f ca="1">IFERROR((separ(INDEX(Sheet!W$2:W$7967,$A50),"-",2)),"")</f>
        <v/>
      </c>
      <c r="CD50" s="35" t="str">
        <f ca="1">IFERROR((separ(INDEX(Sheet!X$2:X$7967,$A50),"-",2)),"")</f>
        <v/>
      </c>
      <c r="CE50" s="35" t="str">
        <f ca="1">IFERROR((separ(INDEX(Sheet!Y$2:Y$7967,$A50),"-",2)),"")</f>
        <v/>
      </c>
      <c r="CF50" s="35" t="str">
        <f ca="1">IFERROR((separ(INDEX(Sheet!Z$2:Z$7967,$A50),"-",2)),"")</f>
        <v/>
      </c>
      <c r="CG50" s="35" t="str">
        <f ca="1">IFERROR((separ(INDEX(Sheet!AA$2:AA$7967,$A50),"-",2)),"")</f>
        <v/>
      </c>
      <c r="CH50" s="35" t="str">
        <f ca="1">IFERROR((separ(INDEX(Sheet!AB$2:AB$7967,$A50),"-",2)),"")</f>
        <v/>
      </c>
      <c r="CI50" s="35" t="str">
        <f ca="1">IFERROR((separ(INDEX(Sheet!AC$2:AC$7967,$A50),"-",2)),"")</f>
        <v/>
      </c>
      <c r="CJ50" s="35" t="str">
        <f ca="1">IFERROR((separ(INDEX(Sheet!AD$2:AD$7967,$A50),"-",2)),"")</f>
        <v/>
      </c>
      <c r="CK50" s="35" t="str">
        <f ca="1">IFERROR((separ(INDEX(Sheet!AE$2:AE$7967,$A50),"-",2)),"")</f>
        <v/>
      </c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</row>
    <row r="51" spans="1:104" s="29" customFormat="1">
      <c r="A51" s="45" t="str">
        <f ca="1">IFERROR(MATCH($B$3,OFFSET(Sheet!$D$2,A50,0):'Sheet'!$D$7657,0)+A50,"")</f>
        <v/>
      </c>
      <c r="B51" s="29" t="str">
        <f ca="1">IF(ROW(A44)&lt;=COUNT($A$6:$A$800),INDEX(Sheet!$A$2:$A$7967,$A51),IF(ROW(A44)=COUNT($A$6:$A$800)+1," ",IF(ROW(A44)=COUNT($A$6:$A$800)+2,"  ","")))</f>
        <v/>
      </c>
      <c r="C51" s="67" t="str">
        <f ca="1">IF($A51="","",INDEX(Sheet!E$2:E$7967,$A51))</f>
        <v/>
      </c>
      <c r="D51" s="31" t="str">
        <f ca="1">IF(B48=" ",$AR$1,IF(B51=" ",$AQ$1,IF(A51="","",INDEX(Sheet!G$2:G$7967,$A51))))</f>
        <v/>
      </c>
      <c r="E51" s="32" t="str">
        <f ca="1">IF($A51="","",TEXT(INDEX(Sheet!J$2:J$7967,$A51),"#,#")&amp;" "&amp;INDEX(Sheet!AT$2:AT$7967,$A51))</f>
        <v/>
      </c>
      <c r="F51" s="53" t="str">
        <f ca="1">IF($A51="","",INDEX(Sheet!F$2:F$7967,$A51))</f>
        <v/>
      </c>
      <c r="G51" s="32" t="str">
        <f ca="1">IF($A51="","",INDEX(Sheet!I$2:I$7967,$A51))</f>
        <v/>
      </c>
      <c r="H51" s="32" t="str">
        <f ca="1">IF($A51="","",INDEX(Sheet!L$2:L$7967,$A51))</f>
        <v/>
      </c>
      <c r="I51" s="32" t="str">
        <f ca="1">IF($A51="","",INDEX(Sheet!N$2:N$7967,$A51))</f>
        <v/>
      </c>
      <c r="J51" s="53" t="str">
        <f ca="1">IF($A51="","",INDEX(Sheet!AS$2:AS$7967,$A51))</f>
        <v/>
      </c>
      <c r="K51" s="33" t="str">
        <f ca="1">IF($A51="","",IF(INDEX(Sheet!S$2:S$7967,$A51)="","",INDEX(Sheet!S$2:S$7967,$A51)))</f>
        <v/>
      </c>
      <c r="L51" s="33" t="str">
        <f ca="1">IF($A51="","",IF(INDEX(Sheet!R$2:R$7967,$A51)="","",INDEX(Sheet!R$2:R$7967,$A51)))</f>
        <v/>
      </c>
      <c r="M51" s="33" t="str">
        <f ca="1">IF($A51="","",IF(INDEX(Sheet!AO$2:AO$7967,$A51)="","",INDEX(Sheet!AO$2:AO$7967,$A51)))</f>
        <v/>
      </c>
      <c r="N51" s="33" t="str">
        <f ca="1">IF($A51="","",IF(INDEX(Sheet!T$2:T$7967,$A51)="","",INDEX(Sheet!T$2:T$7967,$A51)))</f>
        <v/>
      </c>
      <c r="O51" s="33" t="str">
        <f ca="1">IF($A51="","",IF(INDEX(Sheet!U$2:U$7967,$A51)="","",INDEX(Sheet!U$2:U$7967,$A51)))</f>
        <v/>
      </c>
      <c r="P51" s="33" t="str">
        <f ca="1">IF($A51="","",IF(INDEX(Sheet!W$2:W$7967,$A51)="","",INDEX(Sheet!W$2:W$7967,$A51)))</f>
        <v/>
      </c>
      <c r="Q51" s="33" t="str">
        <f ca="1">IF($A51="","",IF(INDEX(Sheet!V$2:V$7967,$A51)="","",INDEX(Sheet!V$2:V$7967,$A51)))</f>
        <v/>
      </c>
      <c r="R51" s="33" t="str">
        <f ca="1">IF($A51="","",IF(INDEX(Sheet!Z$2:Z$7967,$A51)="","",INDEX(Sheet!Z$2:Z$7967,$A51)))</f>
        <v/>
      </c>
      <c r="S51" s="33" t="str">
        <f ca="1">IF($A51="","",IF(INDEX(Sheet!Y$2:Y$7967,$A51)="","",INDEX(Sheet!Y$2:Y$7967,$A51)))</f>
        <v/>
      </c>
      <c r="T51" s="33" t="str">
        <f ca="1">IF($A51="","",IF(INDEX(Sheet!X$2:X$7967,$A51)="","",INDEX(Sheet!X$2:X$7967,$A51)))</f>
        <v/>
      </c>
      <c r="U51" s="33" t="str">
        <f ca="1">IF($A51="","",IF(INDEX(Sheet!AA$2:AA$7967,$A51)="","",INDEX(Sheet!AA$2:AA$7967,$A51)))</f>
        <v/>
      </c>
      <c r="V51" s="33" t="str">
        <f ca="1">IF($A51="","",IF(INDEX(Sheet!AB$2:AB$7967,$A51)="","",INDEX(Sheet!AB$2:AB$7967,$A51)))</f>
        <v/>
      </c>
      <c r="W51" s="33" t="str">
        <f ca="1">IF($A51="","",IF(INDEX(Sheet!AH$2:AH$7967,$A51)="","",INDEX(Sheet!AH$2:AH$7967,$A51)))</f>
        <v/>
      </c>
      <c r="X51" s="33" t="str">
        <f ca="1">IF($A51="","",IF(INDEX(Sheet!AC$2:AC$7967,$A51)="","",INDEX(Sheet!AC$2:AC$7967,$A51)))</f>
        <v/>
      </c>
      <c r="Y51" s="33" t="str">
        <f ca="1">IF($A51="","",IF(INDEX(Sheet!AD$2:AD$7967,$A51)="","",INDEX(Sheet!AD$2:AD$7967,$A51)))</f>
        <v/>
      </c>
      <c r="Z51" s="33" t="str">
        <f ca="1">IF($A51="","",IF(INDEX(Sheet!AL$2:AL$7967,$A51)="","",INDEX(Sheet!AL$2:AL$7967,$A51)))</f>
        <v/>
      </c>
      <c r="AA51" s="33" t="str">
        <f ca="1">IF($A51="","",IF(INDEX(Sheet!AE$2:AE$7967,$A51)="","",INDEX(Sheet!AE$2:AE$7967,$A51)))</f>
        <v/>
      </c>
      <c r="AB51" s="33" t="str">
        <f ca="1">IF($A51="","",IF(INDEX(Sheet!AF$2:AF$7967,$A51)="","",INDEX(Sheet!AF$2:AF$7967,$A51)))</f>
        <v/>
      </c>
      <c r="AC51" s="33" t="str">
        <f ca="1">IF($A51="","",IF(INDEX(Sheet!AG$2:AG$7967,$A51)="","",INDEX(Sheet!AG$2:AG$7967,$A51)))</f>
        <v/>
      </c>
      <c r="AD51" s="33" t="str">
        <f ca="1">IF($A51="","",IF(INDEX(Sheet!AM$2:AM$7967,$A51)="","",INDEX(Sheet!AM$2:AM$7967,$A51)))</f>
        <v/>
      </c>
      <c r="AE51" s="33" t="str">
        <f ca="1">IF($A51="","",IF(INDEX(Sheet!AJ$2:AJ$7967,$A51)="","",INDEX(Sheet!AJ$2:AJ$7967,$A51)))</f>
        <v/>
      </c>
      <c r="AF51" s="33" t="str">
        <f ca="1">IF($A51="","",IF(INDEX(Sheet!AI$2:AI$7967,$A51)="","",INDEX(Sheet!AI$2:AI$7967,$A51)))</f>
        <v/>
      </c>
      <c r="AG51" s="33" t="str">
        <f ca="1">IF(D51="duyệt sản xuất"," Bảo Bảo, Ngày "&amp;DAY($J$4)&amp;" Tháng "&amp;MONTH($J$4)&amp;" Năm "&amp;YEAR($J$4),IF(D51="Phê duyệt","NGƯỜI LẬP",IF(D51="Nguyễn Ngọc Thắng","NGUYỄN THỊ MAI",IF($A51="","",INDEX(Sheet!AK$2:AK$7967,$A51)))))</f>
        <v/>
      </c>
      <c r="AH51" s="58" t="str">
        <f ca="1">IF($A51="","",INDEX(Sheet!AR$2:AR$7967,$A51)&amp;" ; "&amp;INDEX(Sheet!M$2:M$7967,$A51))</f>
        <v/>
      </c>
      <c r="AI51" s="1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G51" s="35" t="str">
        <f ca="1">IFERROR(VALUE(separ(INDEX(Sheet!Q$2:Q$7967,$A51),"-",1)),"")</f>
        <v/>
      </c>
      <c r="BH51" s="35" t="str">
        <f ca="1">IFERROR(VALUE(separ(INDEX(Sheet!R$2:R$7967,$A51),"-",1)),"")</f>
        <v/>
      </c>
      <c r="BI51" s="35" t="str">
        <f ca="1">IFERROR(VALUE(separ(INDEX(Sheet!S$2:S$7967,$A51),"-",1)),"")</f>
        <v/>
      </c>
      <c r="BJ51" s="35" t="str">
        <f ca="1">IFERROR(VALUE(separ(INDEX(Sheet!T$2:T$7967,$A51),"-",1)),"")</f>
        <v/>
      </c>
      <c r="BK51" s="35" t="str">
        <f ca="1">IFERROR(VALUE(separ(INDEX(Sheet!U$2:U$7967,$A51),"-",1)),"")</f>
        <v/>
      </c>
      <c r="BL51" s="35" t="str">
        <f ca="1">IFERROR(VALUE(separ(INDEX(Sheet!V$2:V$7967,$A51),"-",1)),"")</f>
        <v/>
      </c>
      <c r="BM51" s="35" t="str">
        <f ca="1">IFERROR(VALUE(separ(INDEX(Sheet!W$2:W$7967,$A51),"-",1)),"")</f>
        <v/>
      </c>
      <c r="BN51" s="35" t="str">
        <f ca="1">IFERROR(VALUE(separ(INDEX(Sheet!X$2:X$7967,$A51),"-",1)),"")</f>
        <v/>
      </c>
      <c r="BO51" s="35" t="str">
        <f ca="1">IFERROR(VALUE(separ(INDEX(Sheet!Y$2:Y$7967,$A51),"-",1)),"")</f>
        <v/>
      </c>
      <c r="BP51" s="35" t="str">
        <f ca="1">IFERROR(VALUE(separ(INDEX(Sheet!Z$2:Z$7967,$A51),"-",1)),"")</f>
        <v/>
      </c>
      <c r="BQ51" s="35" t="str">
        <f ca="1">IFERROR(VALUE(separ(INDEX(Sheet!AA$2:AA$7967,$A51),"-",1)),"")</f>
        <v/>
      </c>
      <c r="BR51" s="35" t="str">
        <f ca="1">IFERROR(VALUE(separ(INDEX(Sheet!AB$2:AB$7967,$A51),"-",1)),"")</f>
        <v/>
      </c>
      <c r="BS51" s="35" t="str">
        <f ca="1">IFERROR(VALUE(separ(INDEX(Sheet!AC$2:AC$7967,$A51),"-",1)),"")</f>
        <v/>
      </c>
      <c r="BT51" s="35" t="str">
        <f ca="1">IFERROR(VALUE(separ(INDEX(Sheet!AD$2:AD$7967,$A51),"-",1)),"")</f>
        <v/>
      </c>
      <c r="BU51" s="35" t="str">
        <f ca="1">IFERROR(VALUE(separ(INDEX(Sheet!AE$2:AE$7967,$A51),"-",1)),"")</f>
        <v/>
      </c>
      <c r="BV51" s="35"/>
      <c r="BW51" s="35" t="str">
        <f ca="1">IFERROR((separ(INDEX(Sheet!Q$2:Q$7967,$A51),"-",2)),"")</f>
        <v/>
      </c>
      <c r="BX51" s="35" t="str">
        <f ca="1">IFERROR((separ(INDEX(Sheet!R$2:R$7967,$A51),"-",2)),"")</f>
        <v/>
      </c>
      <c r="BY51" s="35" t="str">
        <f ca="1">IFERROR((separ(INDEX(Sheet!S$2:S$7967,$A51),"-",2)),"")</f>
        <v/>
      </c>
      <c r="BZ51" s="35" t="str">
        <f ca="1">IFERROR((separ(INDEX(Sheet!T$2:T$7967,$A51),"-",2)),"")</f>
        <v/>
      </c>
      <c r="CA51" s="35" t="str">
        <f ca="1">IFERROR((separ(INDEX(Sheet!U$2:U$7967,$A51),"-",2)),"")</f>
        <v/>
      </c>
      <c r="CB51" s="35" t="str">
        <f ca="1">IFERROR((separ(INDEX(Sheet!V$2:V$7967,$A51),"-",2)),"")</f>
        <v/>
      </c>
      <c r="CC51" s="35" t="str">
        <f ca="1">IFERROR((separ(INDEX(Sheet!W$2:W$7967,$A51),"-",2)),"")</f>
        <v/>
      </c>
      <c r="CD51" s="35" t="str">
        <f ca="1">IFERROR((separ(INDEX(Sheet!X$2:X$7967,$A51),"-",2)),"")</f>
        <v/>
      </c>
      <c r="CE51" s="35" t="str">
        <f ca="1">IFERROR((separ(INDEX(Sheet!Y$2:Y$7967,$A51),"-",2)),"")</f>
        <v/>
      </c>
      <c r="CF51" s="35" t="str">
        <f ca="1">IFERROR((separ(INDEX(Sheet!Z$2:Z$7967,$A51),"-",2)),"")</f>
        <v/>
      </c>
      <c r="CG51" s="35" t="str">
        <f ca="1">IFERROR((separ(INDEX(Sheet!AA$2:AA$7967,$A51),"-",2)),"")</f>
        <v/>
      </c>
      <c r="CH51" s="35" t="str">
        <f ca="1">IFERROR((separ(INDEX(Sheet!AB$2:AB$7967,$A51),"-",2)),"")</f>
        <v/>
      </c>
      <c r="CI51" s="35" t="str">
        <f ca="1">IFERROR((separ(INDEX(Sheet!AC$2:AC$7967,$A51),"-",2)),"")</f>
        <v/>
      </c>
      <c r="CJ51" s="35" t="str">
        <f ca="1">IFERROR((separ(INDEX(Sheet!AD$2:AD$7967,$A51),"-",2)),"")</f>
        <v/>
      </c>
      <c r="CK51" s="35" t="str">
        <f ca="1">IFERROR((separ(INDEX(Sheet!AE$2:AE$7967,$A51),"-",2)),"")</f>
        <v/>
      </c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</row>
    <row r="52" spans="1:104" s="29" customFormat="1">
      <c r="A52" s="45" t="str">
        <f ca="1">IFERROR(MATCH($B$3,OFFSET(Sheet!$D$2,A51,0):'Sheet'!$D$7657,0)+A51,"")</f>
        <v/>
      </c>
      <c r="B52" s="29" t="str">
        <f ca="1">IF(ROW(A45)&lt;=COUNT($A$6:$A$800),INDEX(Sheet!$A$2:$A$7967,$A52),IF(ROW(A45)=COUNT($A$6:$A$800)+1," ",IF(ROW(A45)=COUNT($A$6:$A$800)+2,"  ","")))</f>
        <v/>
      </c>
      <c r="C52" s="67" t="str">
        <f ca="1">IF($A52="","",INDEX(Sheet!E$2:E$7967,$A52))</f>
        <v/>
      </c>
      <c r="D52" s="31" t="str">
        <f ca="1">IF(B49=" ",$AR$1,IF(B52=" ",$AQ$1,IF(A52="","",INDEX(Sheet!G$2:G$7967,$A52))))</f>
        <v/>
      </c>
      <c r="E52" s="32" t="str">
        <f ca="1">IF($A52="","",TEXT(INDEX(Sheet!J$2:J$7967,$A52),"#,#")&amp;" "&amp;INDEX(Sheet!AT$2:AT$7967,$A52))</f>
        <v/>
      </c>
      <c r="F52" s="53" t="str">
        <f ca="1">IF($A52="","",INDEX(Sheet!F$2:F$7967,$A52))</f>
        <v/>
      </c>
      <c r="G52" s="32" t="str">
        <f ca="1">IF($A52="","",INDEX(Sheet!I$2:I$7967,$A52))</f>
        <v/>
      </c>
      <c r="H52" s="32" t="str">
        <f ca="1">IF($A52="","",INDEX(Sheet!L$2:L$7967,$A52))</f>
        <v/>
      </c>
      <c r="I52" s="32" t="str">
        <f ca="1">IF($A52="","",INDEX(Sheet!N$2:N$7967,$A52))</f>
        <v/>
      </c>
      <c r="J52" s="53" t="str">
        <f ca="1">IF($A52="","",INDEX(Sheet!AS$2:AS$7967,$A52))</f>
        <v/>
      </c>
      <c r="K52" s="33" t="str">
        <f ca="1">IF($A52="","",IF(INDEX(Sheet!S$2:S$7967,$A52)="","",INDEX(Sheet!S$2:S$7967,$A52)))</f>
        <v/>
      </c>
      <c r="L52" s="33" t="str">
        <f ca="1">IF($A52="","",IF(INDEX(Sheet!R$2:R$7967,$A52)="","",INDEX(Sheet!R$2:R$7967,$A52)))</f>
        <v/>
      </c>
      <c r="M52" s="33" t="str">
        <f ca="1">IF($A52="","",IF(INDEX(Sheet!AO$2:AO$7967,$A52)="","",INDEX(Sheet!AO$2:AO$7967,$A52)))</f>
        <v/>
      </c>
      <c r="N52" s="33" t="str">
        <f ca="1">IF($A52="","",IF(INDEX(Sheet!T$2:T$7967,$A52)="","",INDEX(Sheet!T$2:T$7967,$A52)))</f>
        <v/>
      </c>
      <c r="O52" s="33" t="str">
        <f ca="1">IF($A52="","",IF(INDEX(Sheet!U$2:U$7967,$A52)="","",INDEX(Sheet!U$2:U$7967,$A52)))</f>
        <v/>
      </c>
      <c r="P52" s="33" t="str">
        <f ca="1">IF($A52="","",IF(INDEX(Sheet!W$2:W$7967,$A52)="","",INDEX(Sheet!W$2:W$7967,$A52)))</f>
        <v/>
      </c>
      <c r="Q52" s="33" t="str">
        <f ca="1">IF($A52="","",IF(INDEX(Sheet!V$2:V$7967,$A52)="","",INDEX(Sheet!V$2:V$7967,$A52)))</f>
        <v/>
      </c>
      <c r="R52" s="33" t="str">
        <f ca="1">IF($A52="","",IF(INDEX(Sheet!Z$2:Z$7967,$A52)="","",INDEX(Sheet!Z$2:Z$7967,$A52)))</f>
        <v/>
      </c>
      <c r="S52" s="33" t="str">
        <f ca="1">IF($A52="","",IF(INDEX(Sheet!Y$2:Y$7967,$A52)="","",INDEX(Sheet!Y$2:Y$7967,$A52)))</f>
        <v/>
      </c>
      <c r="T52" s="33" t="str">
        <f ca="1">IF($A52="","",IF(INDEX(Sheet!X$2:X$7967,$A52)="","",INDEX(Sheet!X$2:X$7967,$A52)))</f>
        <v/>
      </c>
      <c r="U52" s="33" t="str">
        <f ca="1">IF($A52="","",IF(INDEX(Sheet!AA$2:AA$7967,$A52)="","",INDEX(Sheet!AA$2:AA$7967,$A52)))</f>
        <v/>
      </c>
      <c r="V52" s="33" t="str">
        <f ca="1">IF($A52="","",IF(INDEX(Sheet!AB$2:AB$7967,$A52)="","",INDEX(Sheet!AB$2:AB$7967,$A52)))</f>
        <v/>
      </c>
      <c r="W52" s="33" t="str">
        <f ca="1">IF($A52="","",IF(INDEX(Sheet!AH$2:AH$7967,$A52)="","",INDEX(Sheet!AH$2:AH$7967,$A52)))</f>
        <v/>
      </c>
      <c r="X52" s="33" t="str">
        <f ca="1">IF($A52="","",IF(INDEX(Sheet!AC$2:AC$7967,$A52)="","",INDEX(Sheet!AC$2:AC$7967,$A52)))</f>
        <v/>
      </c>
      <c r="Y52" s="33" t="str">
        <f ca="1">IF($A52="","",IF(INDEX(Sheet!AD$2:AD$7967,$A52)="","",INDEX(Sheet!AD$2:AD$7967,$A52)))</f>
        <v/>
      </c>
      <c r="Z52" s="33" t="str">
        <f ca="1">IF($A52="","",IF(INDEX(Sheet!AL$2:AL$7967,$A52)="","",INDEX(Sheet!AL$2:AL$7967,$A52)))</f>
        <v/>
      </c>
      <c r="AA52" s="33" t="str">
        <f ca="1">IF($A52="","",IF(INDEX(Sheet!AE$2:AE$7967,$A52)="","",INDEX(Sheet!AE$2:AE$7967,$A52)))</f>
        <v/>
      </c>
      <c r="AB52" s="33" t="str">
        <f ca="1">IF($A52="","",IF(INDEX(Sheet!AF$2:AF$7967,$A52)="","",INDEX(Sheet!AF$2:AF$7967,$A52)))</f>
        <v/>
      </c>
      <c r="AC52" s="33" t="str">
        <f ca="1">IF($A52="","",IF(INDEX(Sheet!AG$2:AG$7967,$A52)="","",INDEX(Sheet!AG$2:AG$7967,$A52)))</f>
        <v/>
      </c>
      <c r="AD52" s="33" t="str">
        <f ca="1">IF($A52="","",IF(INDEX(Sheet!AM$2:AM$7967,$A52)="","",INDEX(Sheet!AM$2:AM$7967,$A52)))</f>
        <v/>
      </c>
      <c r="AE52" s="33" t="str">
        <f ca="1">IF($A52="","",IF(INDEX(Sheet!AJ$2:AJ$7967,$A52)="","",INDEX(Sheet!AJ$2:AJ$7967,$A52)))</f>
        <v/>
      </c>
      <c r="AF52" s="33" t="str">
        <f ca="1">IF($A52="","",IF(INDEX(Sheet!AI$2:AI$7967,$A52)="","",INDEX(Sheet!AI$2:AI$7967,$A52)))</f>
        <v/>
      </c>
      <c r="AG52" s="33" t="str">
        <f ca="1">IF(D52="duyệt sản xuất"," Bảo Bảo, Ngày "&amp;DAY($J$4)&amp;" Tháng "&amp;MONTH($J$4)&amp;" Năm "&amp;YEAR($J$4),IF(D52="Phê duyệt","NGƯỜI LẬP",IF(D52="Nguyễn Ngọc Thắng","NGUYỄN THỊ MAI",IF($A52="","",INDEX(Sheet!AK$2:AK$7967,$A52)))))</f>
        <v/>
      </c>
      <c r="AH52" s="58" t="str">
        <f ca="1">IF($A52="","",INDEX(Sheet!AR$2:AR$7967,$A52)&amp;" ; "&amp;INDEX(Sheet!M$2:M$7967,$A52))</f>
        <v/>
      </c>
      <c r="AI52" s="1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G52" s="35" t="str">
        <f ca="1">IFERROR(VALUE(separ(INDEX(Sheet!Q$2:Q$7967,$A52),"-",1)),"")</f>
        <v/>
      </c>
      <c r="BH52" s="35" t="str">
        <f ca="1">IFERROR(VALUE(separ(INDEX(Sheet!R$2:R$7967,$A52),"-",1)),"")</f>
        <v/>
      </c>
      <c r="BI52" s="35" t="str">
        <f ca="1">IFERROR(VALUE(separ(INDEX(Sheet!S$2:S$7967,$A52),"-",1)),"")</f>
        <v/>
      </c>
      <c r="BJ52" s="35" t="str">
        <f ca="1">IFERROR(VALUE(separ(INDEX(Sheet!T$2:T$7967,$A52),"-",1)),"")</f>
        <v/>
      </c>
      <c r="BK52" s="35" t="str">
        <f ca="1">IFERROR(VALUE(separ(INDEX(Sheet!U$2:U$7967,$A52),"-",1)),"")</f>
        <v/>
      </c>
      <c r="BL52" s="35" t="str">
        <f ca="1">IFERROR(VALUE(separ(INDEX(Sheet!V$2:V$7967,$A52),"-",1)),"")</f>
        <v/>
      </c>
      <c r="BM52" s="35" t="str">
        <f ca="1">IFERROR(VALUE(separ(INDEX(Sheet!W$2:W$7967,$A52),"-",1)),"")</f>
        <v/>
      </c>
      <c r="BN52" s="35" t="str">
        <f ca="1">IFERROR(VALUE(separ(INDEX(Sheet!X$2:X$7967,$A52),"-",1)),"")</f>
        <v/>
      </c>
      <c r="BO52" s="35" t="str">
        <f ca="1">IFERROR(VALUE(separ(INDEX(Sheet!Y$2:Y$7967,$A52),"-",1)),"")</f>
        <v/>
      </c>
      <c r="BP52" s="35" t="str">
        <f ca="1">IFERROR(VALUE(separ(INDEX(Sheet!Z$2:Z$7967,$A52),"-",1)),"")</f>
        <v/>
      </c>
      <c r="BQ52" s="35" t="str">
        <f ca="1">IFERROR(VALUE(separ(INDEX(Sheet!AA$2:AA$7967,$A52),"-",1)),"")</f>
        <v/>
      </c>
      <c r="BR52" s="35" t="str">
        <f ca="1">IFERROR(VALUE(separ(INDEX(Sheet!AB$2:AB$7967,$A52),"-",1)),"")</f>
        <v/>
      </c>
      <c r="BS52" s="35" t="str">
        <f ca="1">IFERROR(VALUE(separ(INDEX(Sheet!AC$2:AC$7967,$A52),"-",1)),"")</f>
        <v/>
      </c>
      <c r="BT52" s="35" t="str">
        <f ca="1">IFERROR(VALUE(separ(INDEX(Sheet!AD$2:AD$7967,$A52),"-",1)),"")</f>
        <v/>
      </c>
      <c r="BU52" s="35" t="str">
        <f ca="1">IFERROR(VALUE(separ(INDEX(Sheet!AE$2:AE$7967,$A52),"-",1)),"")</f>
        <v/>
      </c>
      <c r="BV52" s="35"/>
      <c r="BW52" s="35" t="str">
        <f ca="1">IFERROR((separ(INDEX(Sheet!Q$2:Q$7967,$A52),"-",2)),"")</f>
        <v/>
      </c>
      <c r="BX52" s="35" t="str">
        <f ca="1">IFERROR((separ(INDEX(Sheet!R$2:R$7967,$A52),"-",2)),"")</f>
        <v/>
      </c>
      <c r="BY52" s="35" t="str">
        <f ca="1">IFERROR((separ(INDEX(Sheet!S$2:S$7967,$A52),"-",2)),"")</f>
        <v/>
      </c>
      <c r="BZ52" s="35" t="str">
        <f ca="1">IFERROR((separ(INDEX(Sheet!T$2:T$7967,$A52),"-",2)),"")</f>
        <v/>
      </c>
      <c r="CA52" s="35" t="str">
        <f ca="1">IFERROR((separ(INDEX(Sheet!U$2:U$7967,$A52),"-",2)),"")</f>
        <v/>
      </c>
      <c r="CB52" s="35" t="str">
        <f ca="1">IFERROR((separ(INDEX(Sheet!V$2:V$7967,$A52),"-",2)),"")</f>
        <v/>
      </c>
      <c r="CC52" s="35" t="str">
        <f ca="1">IFERROR((separ(INDEX(Sheet!W$2:W$7967,$A52),"-",2)),"")</f>
        <v/>
      </c>
      <c r="CD52" s="35" t="str">
        <f ca="1">IFERROR((separ(INDEX(Sheet!X$2:X$7967,$A52),"-",2)),"")</f>
        <v/>
      </c>
      <c r="CE52" s="35" t="str">
        <f ca="1">IFERROR((separ(INDEX(Sheet!Y$2:Y$7967,$A52),"-",2)),"")</f>
        <v/>
      </c>
      <c r="CF52" s="35" t="str">
        <f ca="1">IFERROR((separ(INDEX(Sheet!Z$2:Z$7967,$A52),"-",2)),"")</f>
        <v/>
      </c>
      <c r="CG52" s="35" t="str">
        <f ca="1">IFERROR((separ(INDEX(Sheet!AA$2:AA$7967,$A52),"-",2)),"")</f>
        <v/>
      </c>
      <c r="CH52" s="35" t="str">
        <f ca="1">IFERROR((separ(INDEX(Sheet!AB$2:AB$7967,$A52),"-",2)),"")</f>
        <v/>
      </c>
      <c r="CI52" s="35" t="str">
        <f ca="1">IFERROR((separ(INDEX(Sheet!AC$2:AC$7967,$A52),"-",2)),"")</f>
        <v/>
      </c>
      <c r="CJ52" s="35" t="str">
        <f ca="1">IFERROR((separ(INDEX(Sheet!AD$2:AD$7967,$A52),"-",2)),"")</f>
        <v/>
      </c>
      <c r="CK52" s="35" t="str">
        <f ca="1">IFERROR((separ(INDEX(Sheet!AE$2:AE$7967,$A52),"-",2)),"")</f>
        <v/>
      </c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</row>
    <row r="53" spans="1:104" s="29" customFormat="1">
      <c r="A53" s="45" t="str">
        <f ca="1">IFERROR(MATCH($B$3,OFFSET(Sheet!$D$2,A52,0):'Sheet'!$D$7657,0)+A52,"")</f>
        <v/>
      </c>
      <c r="B53" s="29" t="str">
        <f ca="1">IF(ROW(A46)&lt;=COUNT($A$6:$A$800),INDEX(Sheet!$A$2:$A$7967,$A53),IF(ROW(A46)=COUNT($A$6:$A$800)+1," ",IF(ROW(A46)=COUNT($A$6:$A$800)+2,"  ","")))</f>
        <v/>
      </c>
      <c r="C53" s="67" t="str">
        <f ca="1">IF($A53="","",INDEX(Sheet!E$2:E$7967,$A53))</f>
        <v/>
      </c>
      <c r="D53" s="31" t="str">
        <f ca="1">IF(B50=" ",$AR$1,IF(B53=" ",$AQ$1,IF(A53="","",INDEX(Sheet!G$2:G$7967,$A53))))</f>
        <v/>
      </c>
      <c r="E53" s="32" t="str">
        <f ca="1">IF($A53="","",TEXT(INDEX(Sheet!J$2:J$7967,$A53),"#,#")&amp;" "&amp;INDEX(Sheet!AT$2:AT$7967,$A53))</f>
        <v/>
      </c>
      <c r="F53" s="53" t="str">
        <f ca="1">IF($A53="","",INDEX(Sheet!F$2:F$7967,$A53))</f>
        <v/>
      </c>
      <c r="G53" s="32" t="str">
        <f ca="1">IF($A53="","",INDEX(Sheet!I$2:I$7967,$A53))</f>
        <v/>
      </c>
      <c r="H53" s="32" t="str">
        <f ca="1">IF($A53="","",INDEX(Sheet!L$2:L$7967,$A53))</f>
        <v/>
      </c>
      <c r="I53" s="32" t="str">
        <f ca="1">IF($A53="","",INDEX(Sheet!N$2:N$7967,$A53))</f>
        <v/>
      </c>
      <c r="J53" s="53" t="str">
        <f ca="1">IF($A53="","",INDEX(Sheet!AS$2:AS$7967,$A53))</f>
        <v/>
      </c>
      <c r="K53" s="33" t="str">
        <f ca="1">IF($A53="","",IF(INDEX(Sheet!S$2:S$7967,$A53)="","",INDEX(Sheet!S$2:S$7967,$A53)))</f>
        <v/>
      </c>
      <c r="L53" s="33" t="str">
        <f ca="1">IF($A53="","",IF(INDEX(Sheet!R$2:R$7967,$A53)="","",INDEX(Sheet!R$2:R$7967,$A53)))</f>
        <v/>
      </c>
      <c r="M53" s="33" t="str">
        <f ca="1">IF($A53="","",IF(INDEX(Sheet!AO$2:AO$7967,$A53)="","",INDEX(Sheet!AO$2:AO$7967,$A53)))</f>
        <v/>
      </c>
      <c r="N53" s="33" t="str">
        <f ca="1">IF($A53="","",IF(INDEX(Sheet!T$2:T$7967,$A53)="","",INDEX(Sheet!T$2:T$7967,$A53)))</f>
        <v/>
      </c>
      <c r="O53" s="33" t="str">
        <f ca="1">IF($A53="","",IF(INDEX(Sheet!U$2:U$7967,$A53)="","",INDEX(Sheet!U$2:U$7967,$A53)))</f>
        <v/>
      </c>
      <c r="P53" s="33" t="str">
        <f ca="1">IF($A53="","",IF(INDEX(Sheet!W$2:W$7967,$A53)="","",INDEX(Sheet!W$2:W$7967,$A53)))</f>
        <v/>
      </c>
      <c r="Q53" s="33" t="str">
        <f ca="1">IF($A53="","",IF(INDEX(Sheet!V$2:V$7967,$A53)="","",INDEX(Sheet!V$2:V$7967,$A53)))</f>
        <v/>
      </c>
      <c r="R53" s="33" t="str">
        <f ca="1">IF($A53="","",IF(INDEX(Sheet!Z$2:Z$7967,$A53)="","",INDEX(Sheet!Z$2:Z$7967,$A53)))</f>
        <v/>
      </c>
      <c r="S53" s="33" t="str">
        <f ca="1">IF($A53="","",IF(INDEX(Sheet!Y$2:Y$7967,$A53)="","",INDEX(Sheet!Y$2:Y$7967,$A53)))</f>
        <v/>
      </c>
      <c r="T53" s="33" t="str">
        <f ca="1">IF($A53="","",IF(INDEX(Sheet!X$2:X$7967,$A53)="","",INDEX(Sheet!X$2:X$7967,$A53)))</f>
        <v/>
      </c>
      <c r="U53" s="33" t="str">
        <f ca="1">IF($A53="","",IF(INDEX(Sheet!AA$2:AA$7967,$A53)="","",INDEX(Sheet!AA$2:AA$7967,$A53)))</f>
        <v/>
      </c>
      <c r="V53" s="33" t="str">
        <f ca="1">IF($A53="","",IF(INDEX(Sheet!AB$2:AB$7967,$A53)="","",INDEX(Sheet!AB$2:AB$7967,$A53)))</f>
        <v/>
      </c>
      <c r="W53" s="33" t="str">
        <f ca="1">IF($A53="","",IF(INDEX(Sheet!AH$2:AH$7967,$A53)="","",INDEX(Sheet!AH$2:AH$7967,$A53)))</f>
        <v/>
      </c>
      <c r="X53" s="33" t="str">
        <f ca="1">IF($A53="","",IF(INDEX(Sheet!AC$2:AC$7967,$A53)="","",INDEX(Sheet!AC$2:AC$7967,$A53)))</f>
        <v/>
      </c>
      <c r="Y53" s="33" t="str">
        <f ca="1">IF($A53="","",IF(INDEX(Sheet!AD$2:AD$7967,$A53)="","",INDEX(Sheet!AD$2:AD$7967,$A53)))</f>
        <v/>
      </c>
      <c r="Z53" s="33" t="str">
        <f ca="1">IF($A53="","",IF(INDEX(Sheet!AL$2:AL$7967,$A53)="","",INDEX(Sheet!AL$2:AL$7967,$A53)))</f>
        <v/>
      </c>
      <c r="AA53" s="33" t="str">
        <f ca="1">IF($A53="","",IF(INDEX(Sheet!AE$2:AE$7967,$A53)="","",INDEX(Sheet!AE$2:AE$7967,$A53)))</f>
        <v/>
      </c>
      <c r="AB53" s="33" t="str">
        <f ca="1">IF($A53="","",IF(INDEX(Sheet!AF$2:AF$7967,$A53)="","",INDEX(Sheet!AF$2:AF$7967,$A53)))</f>
        <v/>
      </c>
      <c r="AC53" s="33" t="str">
        <f ca="1">IF($A53="","",IF(INDEX(Sheet!AG$2:AG$7967,$A53)="","",INDEX(Sheet!AG$2:AG$7967,$A53)))</f>
        <v/>
      </c>
      <c r="AD53" s="33" t="str">
        <f ca="1">IF($A53="","",IF(INDEX(Sheet!AM$2:AM$7967,$A53)="","",INDEX(Sheet!AM$2:AM$7967,$A53)))</f>
        <v/>
      </c>
      <c r="AE53" s="33" t="str">
        <f ca="1">IF($A53="","",IF(INDEX(Sheet!AJ$2:AJ$7967,$A53)="","",INDEX(Sheet!AJ$2:AJ$7967,$A53)))</f>
        <v/>
      </c>
      <c r="AF53" s="33" t="str">
        <f ca="1">IF($A53="","",IF(INDEX(Sheet!AI$2:AI$7967,$A53)="","",INDEX(Sheet!AI$2:AI$7967,$A53)))</f>
        <v/>
      </c>
      <c r="AG53" s="33" t="str">
        <f ca="1">IF(D53="duyệt sản xuất"," Bảo Bảo, Ngày "&amp;DAY($J$4)&amp;" Tháng "&amp;MONTH($J$4)&amp;" Năm "&amp;YEAR($J$4),IF(D53="Phê duyệt","NGƯỜI LẬP",IF(D53="Nguyễn Ngọc Thắng","NGUYỄN THỊ MAI",IF($A53="","",INDEX(Sheet!AK$2:AK$7967,$A53)))))</f>
        <v/>
      </c>
      <c r="AH53" s="58" t="str">
        <f ca="1">IF($A53="","",INDEX(Sheet!AR$2:AR$7967,$A53)&amp;" ; "&amp;INDEX(Sheet!M$2:M$7967,$A53))</f>
        <v/>
      </c>
      <c r="AI53" s="1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G53" s="35" t="str">
        <f ca="1">IFERROR(VALUE(separ(INDEX(Sheet!Q$2:Q$7967,$A53),"-",1)),"")</f>
        <v/>
      </c>
      <c r="BH53" s="35" t="str">
        <f ca="1">IFERROR(VALUE(separ(INDEX(Sheet!R$2:R$7967,$A53),"-",1)),"")</f>
        <v/>
      </c>
      <c r="BI53" s="35" t="str">
        <f ca="1">IFERROR(VALUE(separ(INDEX(Sheet!S$2:S$7967,$A53),"-",1)),"")</f>
        <v/>
      </c>
      <c r="BJ53" s="35" t="str">
        <f ca="1">IFERROR(VALUE(separ(INDEX(Sheet!T$2:T$7967,$A53),"-",1)),"")</f>
        <v/>
      </c>
      <c r="BK53" s="35" t="str">
        <f ca="1">IFERROR(VALUE(separ(INDEX(Sheet!U$2:U$7967,$A53),"-",1)),"")</f>
        <v/>
      </c>
      <c r="BL53" s="35" t="str">
        <f ca="1">IFERROR(VALUE(separ(INDEX(Sheet!V$2:V$7967,$A53),"-",1)),"")</f>
        <v/>
      </c>
      <c r="BM53" s="35" t="str">
        <f ca="1">IFERROR(VALUE(separ(INDEX(Sheet!W$2:W$7967,$A53),"-",1)),"")</f>
        <v/>
      </c>
      <c r="BN53" s="35" t="str">
        <f ca="1">IFERROR(VALUE(separ(INDEX(Sheet!X$2:X$7967,$A53),"-",1)),"")</f>
        <v/>
      </c>
      <c r="BO53" s="35" t="str">
        <f ca="1">IFERROR(VALUE(separ(INDEX(Sheet!Y$2:Y$7967,$A53),"-",1)),"")</f>
        <v/>
      </c>
      <c r="BP53" s="35" t="str">
        <f ca="1">IFERROR(VALUE(separ(INDEX(Sheet!Z$2:Z$7967,$A53),"-",1)),"")</f>
        <v/>
      </c>
      <c r="BQ53" s="35" t="str">
        <f ca="1">IFERROR(VALUE(separ(INDEX(Sheet!AA$2:AA$7967,$A53),"-",1)),"")</f>
        <v/>
      </c>
      <c r="BR53" s="35" t="str">
        <f ca="1">IFERROR(VALUE(separ(INDEX(Sheet!AB$2:AB$7967,$A53),"-",1)),"")</f>
        <v/>
      </c>
      <c r="BS53" s="35" t="str">
        <f ca="1">IFERROR(VALUE(separ(INDEX(Sheet!AC$2:AC$7967,$A53),"-",1)),"")</f>
        <v/>
      </c>
      <c r="BT53" s="35" t="str">
        <f ca="1">IFERROR(VALUE(separ(INDEX(Sheet!AD$2:AD$7967,$A53),"-",1)),"")</f>
        <v/>
      </c>
      <c r="BU53" s="35" t="str">
        <f ca="1">IFERROR(VALUE(separ(INDEX(Sheet!AE$2:AE$7967,$A53),"-",1)),"")</f>
        <v/>
      </c>
      <c r="BV53" s="35"/>
      <c r="BW53" s="35" t="str">
        <f ca="1">IFERROR((separ(INDEX(Sheet!Q$2:Q$7967,$A53),"-",2)),"")</f>
        <v/>
      </c>
      <c r="BX53" s="35" t="str">
        <f ca="1">IFERROR((separ(INDEX(Sheet!R$2:R$7967,$A53),"-",2)),"")</f>
        <v/>
      </c>
      <c r="BY53" s="35" t="str">
        <f ca="1">IFERROR((separ(INDEX(Sheet!S$2:S$7967,$A53),"-",2)),"")</f>
        <v/>
      </c>
      <c r="BZ53" s="35" t="str">
        <f ca="1">IFERROR((separ(INDEX(Sheet!T$2:T$7967,$A53),"-",2)),"")</f>
        <v/>
      </c>
      <c r="CA53" s="35" t="str">
        <f ca="1">IFERROR((separ(INDEX(Sheet!U$2:U$7967,$A53),"-",2)),"")</f>
        <v/>
      </c>
      <c r="CB53" s="35" t="str">
        <f ca="1">IFERROR((separ(INDEX(Sheet!V$2:V$7967,$A53),"-",2)),"")</f>
        <v/>
      </c>
      <c r="CC53" s="35" t="str">
        <f ca="1">IFERROR((separ(INDEX(Sheet!W$2:W$7967,$A53),"-",2)),"")</f>
        <v/>
      </c>
      <c r="CD53" s="35" t="str">
        <f ca="1">IFERROR((separ(INDEX(Sheet!X$2:X$7967,$A53),"-",2)),"")</f>
        <v/>
      </c>
      <c r="CE53" s="35" t="str">
        <f ca="1">IFERROR((separ(INDEX(Sheet!Y$2:Y$7967,$A53),"-",2)),"")</f>
        <v/>
      </c>
      <c r="CF53" s="35" t="str">
        <f ca="1">IFERROR((separ(INDEX(Sheet!Z$2:Z$7967,$A53),"-",2)),"")</f>
        <v/>
      </c>
      <c r="CG53" s="35" t="str">
        <f ca="1">IFERROR((separ(INDEX(Sheet!AA$2:AA$7967,$A53),"-",2)),"")</f>
        <v/>
      </c>
      <c r="CH53" s="35" t="str">
        <f ca="1">IFERROR((separ(INDEX(Sheet!AB$2:AB$7967,$A53),"-",2)),"")</f>
        <v/>
      </c>
      <c r="CI53" s="35" t="str">
        <f ca="1">IFERROR((separ(INDEX(Sheet!AC$2:AC$7967,$A53),"-",2)),"")</f>
        <v/>
      </c>
      <c r="CJ53" s="35" t="str">
        <f ca="1">IFERROR((separ(INDEX(Sheet!AD$2:AD$7967,$A53),"-",2)),"")</f>
        <v/>
      </c>
      <c r="CK53" s="35" t="str">
        <f ca="1">IFERROR((separ(INDEX(Sheet!AE$2:AE$7967,$A53),"-",2)),"")</f>
        <v/>
      </c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</row>
    <row r="54" spans="1:104" s="29" customFormat="1">
      <c r="A54" s="45" t="str">
        <f ca="1">IFERROR(MATCH($B$3,OFFSET(Sheet!$D$2,A53,0):'Sheet'!$D$7657,0)+A53,"")</f>
        <v/>
      </c>
      <c r="B54" s="29" t="str">
        <f ca="1">IF(ROW(A47)&lt;=COUNT($A$6:$A$800),INDEX(Sheet!$A$2:$A$7967,$A54),IF(ROW(A47)=COUNT($A$6:$A$800)+1," ",IF(ROW(A47)=COUNT($A$6:$A$800)+2,"  ","")))</f>
        <v/>
      </c>
      <c r="C54" s="67" t="str">
        <f ca="1">IF($A54="","",INDEX(Sheet!E$2:E$7967,$A54))</f>
        <v/>
      </c>
      <c r="D54" s="31" t="str">
        <f ca="1">IF(B51=" ",$AR$1,IF(B54=" ",$AQ$1,IF(A54="","",INDEX(Sheet!G$2:G$7967,$A54))))</f>
        <v/>
      </c>
      <c r="E54" s="32" t="str">
        <f ca="1">IF($A54="","",TEXT(INDEX(Sheet!J$2:J$7967,$A54),"#,#")&amp;" "&amp;INDEX(Sheet!AT$2:AT$7967,$A54))</f>
        <v/>
      </c>
      <c r="F54" s="53" t="str">
        <f ca="1">IF($A54="","",INDEX(Sheet!F$2:F$7967,$A54))</f>
        <v/>
      </c>
      <c r="G54" s="32" t="str">
        <f ca="1">IF($A54="","",INDEX(Sheet!I$2:I$7967,$A54))</f>
        <v/>
      </c>
      <c r="H54" s="32" t="str">
        <f ca="1">IF($A54="","",INDEX(Sheet!L$2:L$7967,$A54))</f>
        <v/>
      </c>
      <c r="I54" s="32" t="str">
        <f ca="1">IF($A54="","",INDEX(Sheet!N$2:N$7967,$A54))</f>
        <v/>
      </c>
      <c r="J54" s="53" t="str">
        <f ca="1">IF($A54="","",INDEX(Sheet!AS$2:AS$7967,$A54))</f>
        <v/>
      </c>
      <c r="K54" s="33" t="str">
        <f ca="1">IF($A54="","",IF(INDEX(Sheet!S$2:S$7967,$A54)="","",INDEX(Sheet!S$2:S$7967,$A54)))</f>
        <v/>
      </c>
      <c r="L54" s="33" t="str">
        <f ca="1">IF($A54="","",IF(INDEX(Sheet!R$2:R$7967,$A54)="","",INDEX(Sheet!R$2:R$7967,$A54)))</f>
        <v/>
      </c>
      <c r="M54" s="33" t="str">
        <f ca="1">IF($A54="","",IF(INDEX(Sheet!AO$2:AO$7967,$A54)="","",INDEX(Sheet!AO$2:AO$7967,$A54)))</f>
        <v/>
      </c>
      <c r="N54" s="33" t="str">
        <f ca="1">IF($A54="","",IF(INDEX(Sheet!T$2:T$7967,$A54)="","",INDEX(Sheet!T$2:T$7967,$A54)))</f>
        <v/>
      </c>
      <c r="O54" s="33" t="str">
        <f ca="1">IF($A54="","",IF(INDEX(Sheet!U$2:U$7967,$A54)="","",INDEX(Sheet!U$2:U$7967,$A54)))</f>
        <v/>
      </c>
      <c r="P54" s="33" t="str">
        <f ca="1">IF($A54="","",IF(INDEX(Sheet!W$2:W$7967,$A54)="","",INDEX(Sheet!W$2:W$7967,$A54)))</f>
        <v/>
      </c>
      <c r="Q54" s="33" t="str">
        <f ca="1">IF($A54="","",IF(INDEX(Sheet!V$2:V$7967,$A54)="","",INDEX(Sheet!V$2:V$7967,$A54)))</f>
        <v/>
      </c>
      <c r="R54" s="33" t="str">
        <f ca="1">IF($A54="","",IF(INDEX(Sheet!Z$2:Z$7967,$A54)="","",INDEX(Sheet!Z$2:Z$7967,$A54)))</f>
        <v/>
      </c>
      <c r="S54" s="33" t="str">
        <f ca="1">IF($A54="","",IF(INDEX(Sheet!Y$2:Y$7967,$A54)="","",INDEX(Sheet!Y$2:Y$7967,$A54)))</f>
        <v/>
      </c>
      <c r="T54" s="33" t="str">
        <f ca="1">IF($A54="","",IF(INDEX(Sheet!X$2:X$7967,$A54)="","",INDEX(Sheet!X$2:X$7967,$A54)))</f>
        <v/>
      </c>
      <c r="U54" s="33" t="str">
        <f ca="1">IF($A54="","",IF(INDEX(Sheet!AA$2:AA$7967,$A54)="","",INDEX(Sheet!AA$2:AA$7967,$A54)))</f>
        <v/>
      </c>
      <c r="V54" s="33" t="str">
        <f ca="1">IF($A54="","",IF(INDEX(Sheet!AB$2:AB$7967,$A54)="","",INDEX(Sheet!AB$2:AB$7967,$A54)))</f>
        <v/>
      </c>
      <c r="W54" s="33" t="str">
        <f ca="1">IF($A54="","",IF(INDEX(Sheet!AH$2:AH$7967,$A54)="","",INDEX(Sheet!AH$2:AH$7967,$A54)))</f>
        <v/>
      </c>
      <c r="X54" s="33" t="str">
        <f ca="1">IF($A54="","",IF(INDEX(Sheet!AC$2:AC$7967,$A54)="","",INDEX(Sheet!AC$2:AC$7967,$A54)))</f>
        <v/>
      </c>
      <c r="Y54" s="33" t="str">
        <f ca="1">IF($A54="","",IF(INDEX(Sheet!AD$2:AD$7967,$A54)="","",INDEX(Sheet!AD$2:AD$7967,$A54)))</f>
        <v/>
      </c>
      <c r="Z54" s="33" t="str">
        <f ca="1">IF($A54="","",IF(INDEX(Sheet!AL$2:AL$7967,$A54)="","",INDEX(Sheet!AL$2:AL$7967,$A54)))</f>
        <v/>
      </c>
      <c r="AA54" s="33" t="str">
        <f ca="1">IF($A54="","",IF(INDEX(Sheet!AE$2:AE$7967,$A54)="","",INDEX(Sheet!AE$2:AE$7967,$A54)))</f>
        <v/>
      </c>
      <c r="AB54" s="33" t="str">
        <f ca="1">IF($A54="","",IF(INDEX(Sheet!AF$2:AF$7967,$A54)="","",INDEX(Sheet!AF$2:AF$7967,$A54)))</f>
        <v/>
      </c>
      <c r="AC54" s="33" t="str">
        <f ca="1">IF($A54="","",IF(INDEX(Sheet!AG$2:AG$7967,$A54)="","",INDEX(Sheet!AG$2:AG$7967,$A54)))</f>
        <v/>
      </c>
      <c r="AD54" s="33" t="str">
        <f ca="1">IF($A54="","",IF(INDEX(Sheet!AM$2:AM$7967,$A54)="","",INDEX(Sheet!AM$2:AM$7967,$A54)))</f>
        <v/>
      </c>
      <c r="AE54" s="33" t="str">
        <f ca="1">IF($A54="","",IF(INDEX(Sheet!AJ$2:AJ$7967,$A54)="","",INDEX(Sheet!AJ$2:AJ$7967,$A54)))</f>
        <v/>
      </c>
      <c r="AF54" s="33" t="str">
        <f ca="1">IF($A54="","",IF(INDEX(Sheet!AI$2:AI$7967,$A54)="","",INDEX(Sheet!AI$2:AI$7967,$A54)))</f>
        <v/>
      </c>
      <c r="AG54" s="33" t="str">
        <f ca="1">IF(D54="duyệt sản xuất"," Bảo Bảo, Ngày "&amp;DAY($J$4)&amp;" Tháng "&amp;MONTH($J$4)&amp;" Năm "&amp;YEAR($J$4),IF(D54="Phê duyệt","NGƯỜI LẬP",IF(D54="Nguyễn Ngọc Thắng","NGUYỄN THỊ MAI",IF($A54="","",INDEX(Sheet!AK$2:AK$7967,$A54)))))</f>
        <v/>
      </c>
      <c r="AH54" s="58" t="str">
        <f ca="1">IF($A54="","",INDEX(Sheet!AR$2:AR$7967,$A54)&amp;" ; "&amp;INDEX(Sheet!M$2:M$7967,$A54))</f>
        <v/>
      </c>
      <c r="AI54" s="1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G54" s="35" t="str">
        <f ca="1">IFERROR(VALUE(separ(INDEX(Sheet!Q$2:Q$7967,$A54),"-",1)),"")</f>
        <v/>
      </c>
      <c r="BH54" s="35" t="str">
        <f ca="1">IFERROR(VALUE(separ(INDEX(Sheet!R$2:R$7967,$A54),"-",1)),"")</f>
        <v/>
      </c>
      <c r="BI54" s="35" t="str">
        <f ca="1">IFERROR(VALUE(separ(INDEX(Sheet!S$2:S$7967,$A54),"-",1)),"")</f>
        <v/>
      </c>
      <c r="BJ54" s="35" t="str">
        <f ca="1">IFERROR(VALUE(separ(INDEX(Sheet!T$2:T$7967,$A54),"-",1)),"")</f>
        <v/>
      </c>
      <c r="BK54" s="35" t="str">
        <f ca="1">IFERROR(VALUE(separ(INDEX(Sheet!U$2:U$7967,$A54),"-",1)),"")</f>
        <v/>
      </c>
      <c r="BL54" s="35" t="str">
        <f ca="1">IFERROR(VALUE(separ(INDEX(Sheet!V$2:V$7967,$A54),"-",1)),"")</f>
        <v/>
      </c>
      <c r="BM54" s="35" t="str">
        <f ca="1">IFERROR(VALUE(separ(INDEX(Sheet!W$2:W$7967,$A54),"-",1)),"")</f>
        <v/>
      </c>
      <c r="BN54" s="35" t="str">
        <f ca="1">IFERROR(VALUE(separ(INDEX(Sheet!X$2:X$7967,$A54),"-",1)),"")</f>
        <v/>
      </c>
      <c r="BO54" s="35" t="str">
        <f ca="1">IFERROR(VALUE(separ(INDEX(Sheet!Y$2:Y$7967,$A54),"-",1)),"")</f>
        <v/>
      </c>
      <c r="BP54" s="35" t="str">
        <f ca="1">IFERROR(VALUE(separ(INDEX(Sheet!Z$2:Z$7967,$A54),"-",1)),"")</f>
        <v/>
      </c>
      <c r="BQ54" s="35" t="str">
        <f ca="1">IFERROR(VALUE(separ(INDEX(Sheet!AA$2:AA$7967,$A54),"-",1)),"")</f>
        <v/>
      </c>
      <c r="BR54" s="35" t="str">
        <f ca="1">IFERROR(VALUE(separ(INDEX(Sheet!AB$2:AB$7967,$A54),"-",1)),"")</f>
        <v/>
      </c>
      <c r="BS54" s="35" t="str">
        <f ca="1">IFERROR(VALUE(separ(INDEX(Sheet!AC$2:AC$7967,$A54),"-",1)),"")</f>
        <v/>
      </c>
      <c r="BT54" s="35" t="str">
        <f ca="1">IFERROR(VALUE(separ(INDEX(Sheet!AD$2:AD$7967,$A54),"-",1)),"")</f>
        <v/>
      </c>
      <c r="BU54" s="35" t="str">
        <f ca="1">IFERROR(VALUE(separ(INDEX(Sheet!AE$2:AE$7967,$A54),"-",1)),"")</f>
        <v/>
      </c>
      <c r="BV54" s="35"/>
      <c r="BW54" s="35" t="str">
        <f ca="1">IFERROR((separ(INDEX(Sheet!Q$2:Q$7967,$A54),"-",2)),"")</f>
        <v/>
      </c>
      <c r="BX54" s="35" t="str">
        <f ca="1">IFERROR((separ(INDEX(Sheet!R$2:R$7967,$A54),"-",2)),"")</f>
        <v/>
      </c>
      <c r="BY54" s="35" t="str">
        <f ca="1">IFERROR((separ(INDEX(Sheet!S$2:S$7967,$A54),"-",2)),"")</f>
        <v/>
      </c>
      <c r="BZ54" s="35" t="str">
        <f ca="1">IFERROR((separ(INDEX(Sheet!T$2:T$7967,$A54),"-",2)),"")</f>
        <v/>
      </c>
      <c r="CA54" s="35" t="str">
        <f ca="1">IFERROR((separ(INDEX(Sheet!U$2:U$7967,$A54),"-",2)),"")</f>
        <v/>
      </c>
      <c r="CB54" s="35" t="str">
        <f ca="1">IFERROR((separ(INDEX(Sheet!V$2:V$7967,$A54),"-",2)),"")</f>
        <v/>
      </c>
      <c r="CC54" s="35" t="str">
        <f ca="1">IFERROR((separ(INDEX(Sheet!W$2:W$7967,$A54),"-",2)),"")</f>
        <v/>
      </c>
      <c r="CD54" s="35" t="str">
        <f ca="1">IFERROR((separ(INDEX(Sheet!X$2:X$7967,$A54),"-",2)),"")</f>
        <v/>
      </c>
      <c r="CE54" s="35" t="str">
        <f ca="1">IFERROR((separ(INDEX(Sheet!Y$2:Y$7967,$A54),"-",2)),"")</f>
        <v/>
      </c>
      <c r="CF54" s="35" t="str">
        <f ca="1">IFERROR((separ(INDEX(Sheet!Z$2:Z$7967,$A54),"-",2)),"")</f>
        <v/>
      </c>
      <c r="CG54" s="35" t="str">
        <f ca="1">IFERROR((separ(INDEX(Sheet!AA$2:AA$7967,$A54),"-",2)),"")</f>
        <v/>
      </c>
      <c r="CH54" s="35" t="str">
        <f ca="1">IFERROR((separ(INDEX(Sheet!AB$2:AB$7967,$A54),"-",2)),"")</f>
        <v/>
      </c>
      <c r="CI54" s="35" t="str">
        <f ca="1">IFERROR((separ(INDEX(Sheet!AC$2:AC$7967,$A54),"-",2)),"")</f>
        <v/>
      </c>
      <c r="CJ54" s="35" t="str">
        <f ca="1">IFERROR((separ(INDEX(Sheet!AD$2:AD$7967,$A54),"-",2)),"")</f>
        <v/>
      </c>
      <c r="CK54" s="35" t="str">
        <f ca="1">IFERROR((separ(INDEX(Sheet!AE$2:AE$7967,$A54),"-",2)),"")</f>
        <v/>
      </c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</row>
    <row r="55" spans="1:104" s="29" customFormat="1">
      <c r="A55" s="45" t="str">
        <f ca="1">IFERROR(MATCH($B$3,OFFSET(Sheet!$D$2,A54,0):'Sheet'!$D$7657,0)+A54,"")</f>
        <v/>
      </c>
      <c r="B55" s="29" t="str">
        <f ca="1">IF(ROW(A48)&lt;=COUNT($A$6:$A$800),INDEX(Sheet!$A$2:$A$7967,$A55),IF(ROW(A48)=COUNT($A$6:$A$800)+1," ",IF(ROW(A48)=COUNT($A$6:$A$800)+2,"  ","")))</f>
        <v/>
      </c>
      <c r="C55" s="67" t="str">
        <f ca="1">IF($A55="","",INDEX(Sheet!E$2:E$7967,$A55))</f>
        <v/>
      </c>
      <c r="D55" s="31" t="str">
        <f ca="1">IF(B52=" ",$AR$1,IF(B55=" ",$AQ$1,IF(A55="","",INDEX(Sheet!G$2:G$7967,$A55))))</f>
        <v/>
      </c>
      <c r="E55" s="32" t="str">
        <f ca="1">IF($A55="","",TEXT(INDEX(Sheet!J$2:J$7967,$A55),"#,#")&amp;" "&amp;INDEX(Sheet!AT$2:AT$7967,$A55))</f>
        <v/>
      </c>
      <c r="F55" s="53" t="str">
        <f ca="1">IF($A55="","",INDEX(Sheet!F$2:F$7967,$A55))</f>
        <v/>
      </c>
      <c r="G55" s="32" t="str">
        <f ca="1">IF($A55="","",INDEX(Sheet!I$2:I$7967,$A55))</f>
        <v/>
      </c>
      <c r="H55" s="32" t="str">
        <f ca="1">IF($A55="","",INDEX(Sheet!L$2:L$7967,$A55))</f>
        <v/>
      </c>
      <c r="I55" s="32" t="str">
        <f ca="1">IF($A55="","",INDEX(Sheet!N$2:N$7967,$A55))</f>
        <v/>
      </c>
      <c r="J55" s="53" t="str">
        <f ca="1">IF($A55="","",INDEX(Sheet!AS$2:AS$7967,$A55))</f>
        <v/>
      </c>
      <c r="K55" s="33" t="str">
        <f ca="1">IF($A55="","",IF(INDEX(Sheet!S$2:S$7967,$A55)="","",INDEX(Sheet!S$2:S$7967,$A55)))</f>
        <v/>
      </c>
      <c r="L55" s="33" t="str">
        <f ca="1">IF($A55="","",IF(INDEX(Sheet!R$2:R$7967,$A55)="","",INDEX(Sheet!R$2:R$7967,$A55)))</f>
        <v/>
      </c>
      <c r="M55" s="33" t="str">
        <f ca="1">IF($A55="","",IF(INDEX(Sheet!AO$2:AO$7967,$A55)="","",INDEX(Sheet!AO$2:AO$7967,$A55)))</f>
        <v/>
      </c>
      <c r="N55" s="33" t="str">
        <f ca="1">IF($A55="","",IF(INDEX(Sheet!T$2:T$7967,$A55)="","",INDEX(Sheet!T$2:T$7967,$A55)))</f>
        <v/>
      </c>
      <c r="O55" s="33" t="str">
        <f ca="1">IF($A55="","",IF(INDEX(Sheet!U$2:U$7967,$A55)="","",INDEX(Sheet!U$2:U$7967,$A55)))</f>
        <v/>
      </c>
      <c r="P55" s="33" t="str">
        <f ca="1">IF($A55="","",IF(INDEX(Sheet!W$2:W$7967,$A55)="","",INDEX(Sheet!W$2:W$7967,$A55)))</f>
        <v/>
      </c>
      <c r="Q55" s="33" t="str">
        <f ca="1">IF($A55="","",IF(INDEX(Sheet!V$2:V$7967,$A55)="","",INDEX(Sheet!V$2:V$7967,$A55)))</f>
        <v/>
      </c>
      <c r="R55" s="33" t="str">
        <f ca="1">IF($A55="","",IF(INDEX(Sheet!Z$2:Z$7967,$A55)="","",INDEX(Sheet!Z$2:Z$7967,$A55)))</f>
        <v/>
      </c>
      <c r="S55" s="33" t="str">
        <f ca="1">IF($A55="","",IF(INDEX(Sheet!Y$2:Y$7967,$A55)="","",INDEX(Sheet!Y$2:Y$7967,$A55)))</f>
        <v/>
      </c>
      <c r="T55" s="33" t="str">
        <f ca="1">IF($A55="","",IF(INDEX(Sheet!X$2:X$7967,$A55)="","",INDEX(Sheet!X$2:X$7967,$A55)))</f>
        <v/>
      </c>
      <c r="U55" s="33" t="str">
        <f ca="1">IF($A55="","",IF(INDEX(Sheet!AA$2:AA$7967,$A55)="","",INDEX(Sheet!AA$2:AA$7967,$A55)))</f>
        <v/>
      </c>
      <c r="V55" s="33" t="str">
        <f ca="1">IF($A55="","",IF(INDEX(Sheet!AB$2:AB$7967,$A55)="","",INDEX(Sheet!AB$2:AB$7967,$A55)))</f>
        <v/>
      </c>
      <c r="W55" s="33" t="str">
        <f ca="1">IF($A55="","",IF(INDEX(Sheet!AH$2:AH$7967,$A55)="","",INDEX(Sheet!AH$2:AH$7967,$A55)))</f>
        <v/>
      </c>
      <c r="X55" s="33" t="str">
        <f ca="1">IF($A55="","",IF(INDEX(Sheet!AC$2:AC$7967,$A55)="","",INDEX(Sheet!AC$2:AC$7967,$A55)))</f>
        <v/>
      </c>
      <c r="Y55" s="33" t="str">
        <f ca="1">IF($A55="","",IF(INDEX(Sheet!AD$2:AD$7967,$A55)="","",INDEX(Sheet!AD$2:AD$7967,$A55)))</f>
        <v/>
      </c>
      <c r="Z55" s="33" t="str">
        <f ca="1">IF($A55="","",IF(INDEX(Sheet!AL$2:AL$7967,$A55)="","",INDEX(Sheet!AL$2:AL$7967,$A55)))</f>
        <v/>
      </c>
      <c r="AA55" s="33" t="str">
        <f ca="1">IF($A55="","",IF(INDEX(Sheet!AE$2:AE$7967,$A55)="","",INDEX(Sheet!AE$2:AE$7967,$A55)))</f>
        <v/>
      </c>
      <c r="AB55" s="33" t="str">
        <f ca="1">IF($A55="","",IF(INDEX(Sheet!AF$2:AF$7967,$A55)="","",INDEX(Sheet!AF$2:AF$7967,$A55)))</f>
        <v/>
      </c>
      <c r="AC55" s="33" t="str">
        <f ca="1">IF($A55="","",IF(INDEX(Sheet!AG$2:AG$7967,$A55)="","",INDEX(Sheet!AG$2:AG$7967,$A55)))</f>
        <v/>
      </c>
      <c r="AD55" s="33" t="str">
        <f ca="1">IF($A55="","",IF(INDEX(Sheet!AM$2:AM$7967,$A55)="","",INDEX(Sheet!AM$2:AM$7967,$A55)))</f>
        <v/>
      </c>
      <c r="AE55" s="33" t="str">
        <f ca="1">IF($A55="","",IF(INDEX(Sheet!AJ$2:AJ$7967,$A55)="","",INDEX(Sheet!AJ$2:AJ$7967,$A55)))</f>
        <v/>
      </c>
      <c r="AF55" s="33" t="str">
        <f ca="1">IF($A55="","",IF(INDEX(Sheet!AI$2:AI$7967,$A55)="","",INDEX(Sheet!AI$2:AI$7967,$A55)))</f>
        <v/>
      </c>
      <c r="AG55" s="33" t="str">
        <f ca="1">IF(D55="duyệt sản xuất"," Bảo Bảo, Ngày "&amp;DAY($J$4)&amp;" Tháng "&amp;MONTH($J$4)&amp;" Năm "&amp;YEAR($J$4),IF(D55="Phê duyệt","NGƯỜI LẬP",IF(D55="Nguyễn Ngọc Thắng","NGUYỄN THỊ MAI",IF($A55="","",INDEX(Sheet!AK$2:AK$7967,$A55)))))</f>
        <v/>
      </c>
      <c r="AH55" s="58" t="str">
        <f ca="1">IF($A55="","",INDEX(Sheet!AR$2:AR$7967,$A55)&amp;" ; "&amp;INDEX(Sheet!M$2:M$7967,$A55))</f>
        <v/>
      </c>
      <c r="AI55" s="1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G55" s="35" t="str">
        <f ca="1">IFERROR(VALUE(separ(INDEX(Sheet!Q$2:Q$7967,$A55),"-",1)),"")</f>
        <v/>
      </c>
      <c r="BH55" s="35" t="str">
        <f ca="1">IFERROR(VALUE(separ(INDEX(Sheet!R$2:R$7967,$A55),"-",1)),"")</f>
        <v/>
      </c>
      <c r="BI55" s="35" t="str">
        <f ca="1">IFERROR(VALUE(separ(INDEX(Sheet!S$2:S$7967,$A55),"-",1)),"")</f>
        <v/>
      </c>
      <c r="BJ55" s="35" t="str">
        <f ca="1">IFERROR(VALUE(separ(INDEX(Sheet!T$2:T$7967,$A55),"-",1)),"")</f>
        <v/>
      </c>
      <c r="BK55" s="35" t="str">
        <f ca="1">IFERROR(VALUE(separ(INDEX(Sheet!U$2:U$7967,$A55),"-",1)),"")</f>
        <v/>
      </c>
      <c r="BL55" s="35" t="str">
        <f ca="1">IFERROR(VALUE(separ(INDEX(Sheet!V$2:V$7967,$A55),"-",1)),"")</f>
        <v/>
      </c>
      <c r="BM55" s="35" t="str">
        <f ca="1">IFERROR(VALUE(separ(INDEX(Sheet!W$2:W$7967,$A55),"-",1)),"")</f>
        <v/>
      </c>
      <c r="BN55" s="35" t="str">
        <f ca="1">IFERROR(VALUE(separ(INDEX(Sheet!X$2:X$7967,$A55),"-",1)),"")</f>
        <v/>
      </c>
      <c r="BO55" s="35" t="str">
        <f ca="1">IFERROR(VALUE(separ(INDEX(Sheet!Y$2:Y$7967,$A55),"-",1)),"")</f>
        <v/>
      </c>
      <c r="BP55" s="35" t="str">
        <f ca="1">IFERROR(VALUE(separ(INDEX(Sheet!Z$2:Z$7967,$A55),"-",1)),"")</f>
        <v/>
      </c>
      <c r="BQ55" s="35" t="str">
        <f ca="1">IFERROR(VALUE(separ(INDEX(Sheet!AA$2:AA$7967,$A55),"-",1)),"")</f>
        <v/>
      </c>
      <c r="BR55" s="35" t="str">
        <f ca="1">IFERROR(VALUE(separ(INDEX(Sheet!AB$2:AB$7967,$A55),"-",1)),"")</f>
        <v/>
      </c>
      <c r="BS55" s="35" t="str">
        <f ca="1">IFERROR(VALUE(separ(INDEX(Sheet!AC$2:AC$7967,$A55),"-",1)),"")</f>
        <v/>
      </c>
      <c r="BT55" s="35" t="str">
        <f ca="1">IFERROR(VALUE(separ(INDEX(Sheet!AD$2:AD$7967,$A55),"-",1)),"")</f>
        <v/>
      </c>
      <c r="BU55" s="35" t="str">
        <f ca="1">IFERROR(VALUE(separ(INDEX(Sheet!AE$2:AE$7967,$A55),"-",1)),"")</f>
        <v/>
      </c>
      <c r="BV55" s="35"/>
      <c r="BW55" s="35" t="str">
        <f ca="1">IFERROR((separ(INDEX(Sheet!Q$2:Q$7967,$A55),"-",2)),"")</f>
        <v/>
      </c>
      <c r="BX55" s="35" t="str">
        <f ca="1">IFERROR((separ(INDEX(Sheet!R$2:R$7967,$A55),"-",2)),"")</f>
        <v/>
      </c>
      <c r="BY55" s="35" t="str">
        <f ca="1">IFERROR((separ(INDEX(Sheet!S$2:S$7967,$A55),"-",2)),"")</f>
        <v/>
      </c>
      <c r="BZ55" s="35" t="str">
        <f ca="1">IFERROR((separ(INDEX(Sheet!T$2:T$7967,$A55),"-",2)),"")</f>
        <v/>
      </c>
      <c r="CA55" s="35" t="str">
        <f ca="1">IFERROR((separ(INDEX(Sheet!U$2:U$7967,$A55),"-",2)),"")</f>
        <v/>
      </c>
      <c r="CB55" s="35" t="str">
        <f ca="1">IFERROR((separ(INDEX(Sheet!V$2:V$7967,$A55),"-",2)),"")</f>
        <v/>
      </c>
      <c r="CC55" s="35" t="str">
        <f ca="1">IFERROR((separ(INDEX(Sheet!W$2:W$7967,$A55),"-",2)),"")</f>
        <v/>
      </c>
      <c r="CD55" s="35" t="str">
        <f ca="1">IFERROR((separ(INDEX(Sheet!X$2:X$7967,$A55),"-",2)),"")</f>
        <v/>
      </c>
      <c r="CE55" s="35" t="str">
        <f ca="1">IFERROR((separ(INDEX(Sheet!Y$2:Y$7967,$A55),"-",2)),"")</f>
        <v/>
      </c>
      <c r="CF55" s="35" t="str">
        <f ca="1">IFERROR((separ(INDEX(Sheet!Z$2:Z$7967,$A55),"-",2)),"")</f>
        <v/>
      </c>
      <c r="CG55" s="35" t="str">
        <f ca="1">IFERROR((separ(INDEX(Sheet!AA$2:AA$7967,$A55),"-",2)),"")</f>
        <v/>
      </c>
      <c r="CH55" s="35" t="str">
        <f ca="1">IFERROR((separ(INDEX(Sheet!AB$2:AB$7967,$A55),"-",2)),"")</f>
        <v/>
      </c>
      <c r="CI55" s="35" t="str">
        <f ca="1">IFERROR((separ(INDEX(Sheet!AC$2:AC$7967,$A55),"-",2)),"")</f>
        <v/>
      </c>
      <c r="CJ55" s="35" t="str">
        <f ca="1">IFERROR((separ(INDEX(Sheet!AD$2:AD$7967,$A55),"-",2)),"")</f>
        <v/>
      </c>
      <c r="CK55" s="35" t="str">
        <f ca="1">IFERROR((separ(INDEX(Sheet!AE$2:AE$7967,$A55),"-",2)),"")</f>
        <v/>
      </c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</row>
    <row r="56" spans="1:104" s="29" customFormat="1">
      <c r="A56" s="45" t="str">
        <f ca="1">IFERROR(MATCH($B$3,OFFSET(Sheet!$D$2,A55,0):'Sheet'!$D$7657,0)+A55,"")</f>
        <v/>
      </c>
      <c r="B56" s="29" t="str">
        <f ca="1">IF(ROW(A49)&lt;=COUNT($A$6:$A$800),INDEX(Sheet!$A$2:$A$7967,$A56),IF(ROW(A49)=COUNT($A$6:$A$800)+1," ",IF(ROW(A49)=COUNT($A$6:$A$800)+2,"  ","")))</f>
        <v/>
      </c>
      <c r="C56" s="67" t="str">
        <f ca="1">IF($A56="","",INDEX(Sheet!E$2:E$7967,$A56))</f>
        <v/>
      </c>
      <c r="D56" s="31" t="str">
        <f ca="1">IF(B53=" ",$AR$1,IF(B56=" ",$AQ$1,IF(A56="","",INDEX(Sheet!G$2:G$7967,$A56))))</f>
        <v/>
      </c>
      <c r="E56" s="32" t="str">
        <f ca="1">IF($A56="","",TEXT(INDEX(Sheet!J$2:J$7967,$A56),"#,#")&amp;" "&amp;INDEX(Sheet!AT$2:AT$7967,$A56))</f>
        <v/>
      </c>
      <c r="F56" s="53" t="str">
        <f ca="1">IF($A56="","",INDEX(Sheet!F$2:F$7967,$A56))</f>
        <v/>
      </c>
      <c r="G56" s="32" t="str">
        <f ca="1">IF($A56="","",INDEX(Sheet!I$2:I$7967,$A56))</f>
        <v/>
      </c>
      <c r="H56" s="32" t="str">
        <f ca="1">IF($A56="","",INDEX(Sheet!L$2:L$7967,$A56))</f>
        <v/>
      </c>
      <c r="I56" s="32" t="str">
        <f ca="1">IF($A56="","",INDEX(Sheet!N$2:N$7967,$A56))</f>
        <v/>
      </c>
      <c r="J56" s="53" t="str">
        <f ca="1">IF($A56="","",INDEX(Sheet!AS$2:AS$7967,$A56))</f>
        <v/>
      </c>
      <c r="K56" s="33" t="str">
        <f ca="1">IF($A56="","",IF(INDEX(Sheet!S$2:S$7967,$A56)="","",INDEX(Sheet!S$2:S$7967,$A56)))</f>
        <v/>
      </c>
      <c r="L56" s="33" t="str">
        <f ca="1">IF($A56="","",IF(INDEX(Sheet!R$2:R$7967,$A56)="","",INDEX(Sheet!R$2:R$7967,$A56)))</f>
        <v/>
      </c>
      <c r="M56" s="33" t="str">
        <f ca="1">IF($A56="","",IF(INDEX(Sheet!AO$2:AO$7967,$A56)="","",INDEX(Sheet!AO$2:AO$7967,$A56)))</f>
        <v/>
      </c>
      <c r="N56" s="33" t="str">
        <f ca="1">IF($A56="","",IF(INDEX(Sheet!T$2:T$7967,$A56)="","",INDEX(Sheet!T$2:T$7967,$A56)))</f>
        <v/>
      </c>
      <c r="O56" s="33" t="str">
        <f ca="1">IF($A56="","",IF(INDEX(Sheet!U$2:U$7967,$A56)="","",INDEX(Sheet!U$2:U$7967,$A56)))</f>
        <v/>
      </c>
      <c r="P56" s="33" t="str">
        <f ca="1">IF($A56="","",IF(INDEX(Sheet!W$2:W$7967,$A56)="","",INDEX(Sheet!W$2:W$7967,$A56)))</f>
        <v/>
      </c>
      <c r="Q56" s="33" t="str">
        <f ca="1">IF($A56="","",IF(INDEX(Sheet!V$2:V$7967,$A56)="","",INDEX(Sheet!V$2:V$7967,$A56)))</f>
        <v/>
      </c>
      <c r="R56" s="33" t="str">
        <f ca="1">IF($A56="","",IF(INDEX(Sheet!Z$2:Z$7967,$A56)="","",INDEX(Sheet!Z$2:Z$7967,$A56)))</f>
        <v/>
      </c>
      <c r="S56" s="33" t="str">
        <f ca="1">IF($A56="","",IF(INDEX(Sheet!Y$2:Y$7967,$A56)="","",INDEX(Sheet!Y$2:Y$7967,$A56)))</f>
        <v/>
      </c>
      <c r="T56" s="33" t="str">
        <f ca="1">IF($A56="","",IF(INDEX(Sheet!X$2:X$7967,$A56)="","",INDEX(Sheet!X$2:X$7967,$A56)))</f>
        <v/>
      </c>
      <c r="U56" s="33" t="str">
        <f ca="1">IF($A56="","",IF(INDEX(Sheet!AA$2:AA$7967,$A56)="","",INDEX(Sheet!AA$2:AA$7967,$A56)))</f>
        <v/>
      </c>
      <c r="V56" s="33" t="str">
        <f ca="1">IF($A56="","",IF(INDEX(Sheet!AB$2:AB$7967,$A56)="","",INDEX(Sheet!AB$2:AB$7967,$A56)))</f>
        <v/>
      </c>
      <c r="W56" s="33" t="str">
        <f ca="1">IF($A56="","",IF(INDEX(Sheet!AH$2:AH$7967,$A56)="","",INDEX(Sheet!AH$2:AH$7967,$A56)))</f>
        <v/>
      </c>
      <c r="X56" s="33" t="str">
        <f ca="1">IF($A56="","",IF(INDEX(Sheet!AC$2:AC$7967,$A56)="","",INDEX(Sheet!AC$2:AC$7967,$A56)))</f>
        <v/>
      </c>
      <c r="Y56" s="33" t="str">
        <f ca="1">IF($A56="","",IF(INDEX(Sheet!AD$2:AD$7967,$A56)="","",INDEX(Sheet!AD$2:AD$7967,$A56)))</f>
        <v/>
      </c>
      <c r="Z56" s="33" t="str">
        <f ca="1">IF($A56="","",IF(INDEX(Sheet!AL$2:AL$7967,$A56)="","",INDEX(Sheet!AL$2:AL$7967,$A56)))</f>
        <v/>
      </c>
      <c r="AA56" s="33" t="str">
        <f ca="1">IF($A56="","",IF(INDEX(Sheet!AE$2:AE$7967,$A56)="","",INDEX(Sheet!AE$2:AE$7967,$A56)))</f>
        <v/>
      </c>
      <c r="AB56" s="33" t="str">
        <f ca="1">IF($A56="","",IF(INDEX(Sheet!AF$2:AF$7967,$A56)="","",INDEX(Sheet!AF$2:AF$7967,$A56)))</f>
        <v/>
      </c>
      <c r="AC56" s="33" t="str">
        <f ca="1">IF($A56="","",IF(INDEX(Sheet!AG$2:AG$7967,$A56)="","",INDEX(Sheet!AG$2:AG$7967,$A56)))</f>
        <v/>
      </c>
      <c r="AD56" s="33" t="str">
        <f ca="1">IF($A56="","",IF(INDEX(Sheet!AM$2:AM$7967,$A56)="","",INDEX(Sheet!AM$2:AM$7967,$A56)))</f>
        <v/>
      </c>
      <c r="AE56" s="33" t="str">
        <f ca="1">IF($A56="","",IF(INDEX(Sheet!AJ$2:AJ$7967,$A56)="","",INDEX(Sheet!AJ$2:AJ$7967,$A56)))</f>
        <v/>
      </c>
      <c r="AF56" s="33" t="str">
        <f ca="1">IF($A56="","",IF(INDEX(Sheet!AI$2:AI$7967,$A56)="","",INDEX(Sheet!AI$2:AI$7967,$A56)))</f>
        <v/>
      </c>
      <c r="AG56" s="33" t="str">
        <f ca="1">IF(D56="duyệt sản xuất"," Bảo Bảo, Ngày "&amp;DAY($J$4)&amp;" Tháng "&amp;MONTH($J$4)&amp;" Năm "&amp;YEAR($J$4),IF(D56="Phê duyệt","NGƯỜI LẬP",IF(D56="Nguyễn Ngọc Thắng","NGUYỄN THỊ MAI",IF($A56="","",INDEX(Sheet!AK$2:AK$7967,$A56)))))</f>
        <v/>
      </c>
      <c r="AH56" s="58" t="str">
        <f ca="1">IF($A56="","",INDEX(Sheet!AR$2:AR$7967,$A56)&amp;" ; "&amp;INDEX(Sheet!M$2:M$7967,$A56))</f>
        <v/>
      </c>
      <c r="AI56" s="1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G56" s="35" t="str">
        <f ca="1">IFERROR(VALUE(separ(INDEX(Sheet!Q$2:Q$7967,$A56),"-",1)),"")</f>
        <v/>
      </c>
      <c r="BH56" s="35" t="str">
        <f ca="1">IFERROR(VALUE(separ(INDEX(Sheet!R$2:R$7967,$A56),"-",1)),"")</f>
        <v/>
      </c>
      <c r="BI56" s="35" t="str">
        <f ca="1">IFERROR(VALUE(separ(INDEX(Sheet!S$2:S$7967,$A56),"-",1)),"")</f>
        <v/>
      </c>
      <c r="BJ56" s="35" t="str">
        <f ca="1">IFERROR(VALUE(separ(INDEX(Sheet!T$2:T$7967,$A56),"-",1)),"")</f>
        <v/>
      </c>
      <c r="BK56" s="35" t="str">
        <f ca="1">IFERROR(VALUE(separ(INDEX(Sheet!U$2:U$7967,$A56),"-",1)),"")</f>
        <v/>
      </c>
      <c r="BL56" s="35" t="str">
        <f ca="1">IFERROR(VALUE(separ(INDEX(Sheet!V$2:V$7967,$A56),"-",1)),"")</f>
        <v/>
      </c>
      <c r="BM56" s="35" t="str">
        <f ca="1">IFERROR(VALUE(separ(INDEX(Sheet!W$2:W$7967,$A56),"-",1)),"")</f>
        <v/>
      </c>
      <c r="BN56" s="35" t="str">
        <f ca="1">IFERROR(VALUE(separ(INDEX(Sheet!X$2:X$7967,$A56),"-",1)),"")</f>
        <v/>
      </c>
      <c r="BO56" s="35" t="str">
        <f ca="1">IFERROR(VALUE(separ(INDEX(Sheet!Y$2:Y$7967,$A56),"-",1)),"")</f>
        <v/>
      </c>
      <c r="BP56" s="35" t="str">
        <f ca="1">IFERROR(VALUE(separ(INDEX(Sheet!Z$2:Z$7967,$A56),"-",1)),"")</f>
        <v/>
      </c>
      <c r="BQ56" s="35" t="str">
        <f ca="1">IFERROR(VALUE(separ(INDEX(Sheet!AA$2:AA$7967,$A56),"-",1)),"")</f>
        <v/>
      </c>
      <c r="BR56" s="35" t="str">
        <f ca="1">IFERROR(VALUE(separ(INDEX(Sheet!AB$2:AB$7967,$A56),"-",1)),"")</f>
        <v/>
      </c>
      <c r="BS56" s="35" t="str">
        <f ca="1">IFERROR(VALUE(separ(INDEX(Sheet!AC$2:AC$7967,$A56),"-",1)),"")</f>
        <v/>
      </c>
      <c r="BT56" s="35" t="str">
        <f ca="1">IFERROR(VALUE(separ(INDEX(Sheet!AD$2:AD$7967,$A56),"-",1)),"")</f>
        <v/>
      </c>
      <c r="BU56" s="35" t="str">
        <f ca="1">IFERROR(VALUE(separ(INDEX(Sheet!AE$2:AE$7967,$A56),"-",1)),"")</f>
        <v/>
      </c>
      <c r="BV56" s="35"/>
      <c r="BW56" s="35" t="str">
        <f ca="1">IFERROR((separ(INDEX(Sheet!Q$2:Q$7967,$A56),"-",2)),"")</f>
        <v/>
      </c>
      <c r="BX56" s="35" t="str">
        <f ca="1">IFERROR((separ(INDEX(Sheet!R$2:R$7967,$A56),"-",2)),"")</f>
        <v/>
      </c>
      <c r="BY56" s="35" t="str">
        <f ca="1">IFERROR((separ(INDEX(Sheet!S$2:S$7967,$A56),"-",2)),"")</f>
        <v/>
      </c>
      <c r="BZ56" s="35" t="str">
        <f ca="1">IFERROR((separ(INDEX(Sheet!T$2:T$7967,$A56),"-",2)),"")</f>
        <v/>
      </c>
      <c r="CA56" s="35" t="str">
        <f ca="1">IFERROR((separ(INDEX(Sheet!U$2:U$7967,$A56),"-",2)),"")</f>
        <v/>
      </c>
      <c r="CB56" s="35" t="str">
        <f ca="1">IFERROR((separ(INDEX(Sheet!V$2:V$7967,$A56),"-",2)),"")</f>
        <v/>
      </c>
      <c r="CC56" s="35" t="str">
        <f ca="1">IFERROR((separ(INDEX(Sheet!W$2:W$7967,$A56),"-",2)),"")</f>
        <v/>
      </c>
      <c r="CD56" s="35" t="str">
        <f ca="1">IFERROR((separ(INDEX(Sheet!X$2:X$7967,$A56),"-",2)),"")</f>
        <v/>
      </c>
      <c r="CE56" s="35" t="str">
        <f ca="1">IFERROR((separ(INDEX(Sheet!Y$2:Y$7967,$A56),"-",2)),"")</f>
        <v/>
      </c>
      <c r="CF56" s="35" t="str">
        <f ca="1">IFERROR((separ(INDEX(Sheet!Z$2:Z$7967,$A56),"-",2)),"")</f>
        <v/>
      </c>
      <c r="CG56" s="35" t="str">
        <f ca="1">IFERROR((separ(INDEX(Sheet!AA$2:AA$7967,$A56),"-",2)),"")</f>
        <v/>
      </c>
      <c r="CH56" s="35" t="str">
        <f ca="1">IFERROR((separ(INDEX(Sheet!AB$2:AB$7967,$A56),"-",2)),"")</f>
        <v/>
      </c>
      <c r="CI56" s="35" t="str">
        <f ca="1">IFERROR((separ(INDEX(Sheet!AC$2:AC$7967,$A56),"-",2)),"")</f>
        <v/>
      </c>
      <c r="CJ56" s="35" t="str">
        <f ca="1">IFERROR((separ(INDEX(Sheet!AD$2:AD$7967,$A56),"-",2)),"")</f>
        <v/>
      </c>
      <c r="CK56" s="35" t="str">
        <f ca="1">IFERROR((separ(INDEX(Sheet!AE$2:AE$7967,$A56),"-",2)),"")</f>
        <v/>
      </c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</row>
    <row r="57" spans="1:104" s="29" customFormat="1">
      <c r="A57" s="45" t="str">
        <f ca="1">IFERROR(MATCH($B$3,OFFSET(Sheet!$D$2,A56,0):'Sheet'!$D$7657,0)+A56,"")</f>
        <v/>
      </c>
      <c r="B57" s="29" t="str">
        <f ca="1">IF(ROW(A50)&lt;=COUNT($A$6:$A$800),INDEX(Sheet!$A$2:$A$7967,$A57),IF(ROW(A50)=COUNT($A$6:$A$800)+1," ",IF(ROW(A50)=COUNT($A$6:$A$800)+2,"  ","")))</f>
        <v/>
      </c>
      <c r="C57" s="67" t="str">
        <f ca="1">IF($A57="","",INDEX(Sheet!E$2:E$7967,$A57))</f>
        <v/>
      </c>
      <c r="D57" s="31" t="str">
        <f ca="1">IF(B54=" ",$AR$1,IF(B57=" ",$AQ$1,IF(A57="","",INDEX(Sheet!G$2:G$7967,$A57))))</f>
        <v/>
      </c>
      <c r="E57" s="32" t="str">
        <f ca="1">IF($A57="","",TEXT(INDEX(Sheet!J$2:J$7967,$A57),"#,#")&amp;" "&amp;INDEX(Sheet!AT$2:AT$7967,$A57))</f>
        <v/>
      </c>
      <c r="F57" s="53" t="str">
        <f ca="1">IF($A57="","",INDEX(Sheet!F$2:F$7967,$A57))</f>
        <v/>
      </c>
      <c r="G57" s="32" t="str">
        <f ca="1">IF($A57="","",INDEX(Sheet!I$2:I$7967,$A57))</f>
        <v/>
      </c>
      <c r="H57" s="32" t="str">
        <f ca="1">IF($A57="","",INDEX(Sheet!L$2:L$7967,$A57))</f>
        <v/>
      </c>
      <c r="I57" s="32" t="str">
        <f ca="1">IF($A57="","",INDEX(Sheet!N$2:N$7967,$A57))</f>
        <v/>
      </c>
      <c r="J57" s="53" t="str">
        <f ca="1">IF($A57="","",INDEX(Sheet!AS$2:AS$7967,$A57))</f>
        <v/>
      </c>
      <c r="K57" s="33" t="str">
        <f ca="1">IF($A57="","",IF(INDEX(Sheet!S$2:S$7967,$A57)="","",INDEX(Sheet!S$2:S$7967,$A57)))</f>
        <v/>
      </c>
      <c r="L57" s="33" t="str">
        <f ca="1">IF($A57="","",IF(INDEX(Sheet!R$2:R$7967,$A57)="","",INDEX(Sheet!R$2:R$7967,$A57)))</f>
        <v/>
      </c>
      <c r="M57" s="33" t="str">
        <f ca="1">IF($A57="","",IF(INDEX(Sheet!AO$2:AO$7967,$A57)="","",INDEX(Sheet!AO$2:AO$7967,$A57)))</f>
        <v/>
      </c>
      <c r="N57" s="33" t="str">
        <f ca="1">IF($A57="","",IF(INDEX(Sheet!T$2:T$7967,$A57)="","",INDEX(Sheet!T$2:T$7967,$A57)))</f>
        <v/>
      </c>
      <c r="O57" s="33" t="str">
        <f ca="1">IF($A57="","",IF(INDEX(Sheet!U$2:U$7967,$A57)="","",INDEX(Sheet!U$2:U$7967,$A57)))</f>
        <v/>
      </c>
      <c r="P57" s="33" t="str">
        <f ca="1">IF($A57="","",IF(INDEX(Sheet!W$2:W$7967,$A57)="","",INDEX(Sheet!W$2:W$7967,$A57)))</f>
        <v/>
      </c>
      <c r="Q57" s="33" t="str">
        <f ca="1">IF($A57="","",IF(INDEX(Sheet!V$2:V$7967,$A57)="","",INDEX(Sheet!V$2:V$7967,$A57)))</f>
        <v/>
      </c>
      <c r="R57" s="33" t="str">
        <f ca="1">IF($A57="","",IF(INDEX(Sheet!Z$2:Z$7967,$A57)="","",INDEX(Sheet!Z$2:Z$7967,$A57)))</f>
        <v/>
      </c>
      <c r="S57" s="33" t="str">
        <f ca="1">IF($A57="","",IF(INDEX(Sheet!Y$2:Y$7967,$A57)="","",INDEX(Sheet!Y$2:Y$7967,$A57)))</f>
        <v/>
      </c>
      <c r="T57" s="33" t="str">
        <f ca="1">IF($A57="","",IF(INDEX(Sheet!X$2:X$7967,$A57)="","",INDEX(Sheet!X$2:X$7967,$A57)))</f>
        <v/>
      </c>
      <c r="U57" s="33" t="str">
        <f ca="1">IF($A57="","",IF(INDEX(Sheet!AA$2:AA$7967,$A57)="","",INDEX(Sheet!AA$2:AA$7967,$A57)))</f>
        <v/>
      </c>
      <c r="V57" s="33" t="str">
        <f ca="1">IF($A57="","",IF(INDEX(Sheet!AB$2:AB$7967,$A57)="","",INDEX(Sheet!AB$2:AB$7967,$A57)))</f>
        <v/>
      </c>
      <c r="W57" s="33" t="str">
        <f ca="1">IF($A57="","",IF(INDEX(Sheet!AH$2:AH$7967,$A57)="","",INDEX(Sheet!AH$2:AH$7967,$A57)))</f>
        <v/>
      </c>
      <c r="X57" s="33" t="str">
        <f ca="1">IF($A57="","",IF(INDEX(Sheet!AC$2:AC$7967,$A57)="","",INDEX(Sheet!AC$2:AC$7967,$A57)))</f>
        <v/>
      </c>
      <c r="Y57" s="33" t="str">
        <f ca="1">IF($A57="","",IF(INDEX(Sheet!AD$2:AD$7967,$A57)="","",INDEX(Sheet!AD$2:AD$7967,$A57)))</f>
        <v/>
      </c>
      <c r="Z57" s="33" t="str">
        <f ca="1">IF($A57="","",IF(INDEX(Sheet!AL$2:AL$7967,$A57)="","",INDEX(Sheet!AL$2:AL$7967,$A57)))</f>
        <v/>
      </c>
      <c r="AA57" s="33" t="str">
        <f ca="1">IF($A57="","",IF(INDEX(Sheet!AE$2:AE$7967,$A57)="","",INDEX(Sheet!AE$2:AE$7967,$A57)))</f>
        <v/>
      </c>
      <c r="AB57" s="33" t="str">
        <f ca="1">IF($A57="","",IF(INDEX(Sheet!AF$2:AF$7967,$A57)="","",INDEX(Sheet!AF$2:AF$7967,$A57)))</f>
        <v/>
      </c>
      <c r="AC57" s="33" t="str">
        <f ca="1">IF($A57="","",IF(INDEX(Sheet!AG$2:AG$7967,$A57)="","",INDEX(Sheet!AG$2:AG$7967,$A57)))</f>
        <v/>
      </c>
      <c r="AD57" s="33" t="str">
        <f ca="1">IF($A57="","",IF(INDEX(Sheet!AM$2:AM$7967,$A57)="","",INDEX(Sheet!AM$2:AM$7967,$A57)))</f>
        <v/>
      </c>
      <c r="AE57" s="33" t="str">
        <f ca="1">IF($A57="","",IF(INDEX(Sheet!AJ$2:AJ$7967,$A57)="","",INDEX(Sheet!AJ$2:AJ$7967,$A57)))</f>
        <v/>
      </c>
      <c r="AF57" s="33" t="str">
        <f ca="1">IF($A57="","",IF(INDEX(Sheet!AI$2:AI$7967,$A57)="","",INDEX(Sheet!AI$2:AI$7967,$A57)))</f>
        <v/>
      </c>
      <c r="AG57" s="33" t="str">
        <f ca="1">IF(D57="duyệt sản xuất"," Bảo Bảo, Ngày "&amp;DAY($J$4)&amp;" Tháng "&amp;MONTH($J$4)&amp;" Năm "&amp;YEAR($J$4),IF(D57="Phê duyệt","NGƯỜI LẬP",IF(D57="Nguyễn Ngọc Thắng","NGUYỄN THỊ MAI",IF($A57="","",INDEX(Sheet!AK$2:AK$7967,$A57)))))</f>
        <v/>
      </c>
      <c r="AH57" s="58" t="str">
        <f ca="1">IF($A57="","",INDEX(Sheet!AR$2:AR$7967,$A57)&amp;" ; "&amp;INDEX(Sheet!M$2:M$7967,$A57))</f>
        <v/>
      </c>
      <c r="AI57" s="1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G57" s="35" t="str">
        <f ca="1">IFERROR(VALUE(separ(INDEX(Sheet!Q$2:Q$7967,$A57),"-",1)),"")</f>
        <v/>
      </c>
      <c r="BH57" s="35" t="str">
        <f ca="1">IFERROR(VALUE(separ(INDEX(Sheet!R$2:R$7967,$A57),"-",1)),"")</f>
        <v/>
      </c>
      <c r="BI57" s="35" t="str">
        <f ca="1">IFERROR(VALUE(separ(INDEX(Sheet!S$2:S$7967,$A57),"-",1)),"")</f>
        <v/>
      </c>
      <c r="BJ57" s="35" t="str">
        <f ca="1">IFERROR(VALUE(separ(INDEX(Sheet!T$2:T$7967,$A57),"-",1)),"")</f>
        <v/>
      </c>
      <c r="BK57" s="35" t="str">
        <f ca="1">IFERROR(VALUE(separ(INDEX(Sheet!U$2:U$7967,$A57),"-",1)),"")</f>
        <v/>
      </c>
      <c r="BL57" s="35" t="str">
        <f ca="1">IFERROR(VALUE(separ(INDEX(Sheet!V$2:V$7967,$A57),"-",1)),"")</f>
        <v/>
      </c>
      <c r="BM57" s="35" t="str">
        <f ca="1">IFERROR(VALUE(separ(INDEX(Sheet!W$2:W$7967,$A57),"-",1)),"")</f>
        <v/>
      </c>
      <c r="BN57" s="35" t="str">
        <f ca="1">IFERROR(VALUE(separ(INDEX(Sheet!X$2:X$7967,$A57),"-",1)),"")</f>
        <v/>
      </c>
      <c r="BO57" s="35" t="str">
        <f ca="1">IFERROR(VALUE(separ(INDEX(Sheet!Y$2:Y$7967,$A57),"-",1)),"")</f>
        <v/>
      </c>
      <c r="BP57" s="35" t="str">
        <f ca="1">IFERROR(VALUE(separ(INDEX(Sheet!Z$2:Z$7967,$A57),"-",1)),"")</f>
        <v/>
      </c>
      <c r="BQ57" s="35" t="str">
        <f ca="1">IFERROR(VALUE(separ(INDEX(Sheet!AA$2:AA$7967,$A57),"-",1)),"")</f>
        <v/>
      </c>
      <c r="BR57" s="35" t="str">
        <f ca="1">IFERROR(VALUE(separ(INDEX(Sheet!AB$2:AB$7967,$A57),"-",1)),"")</f>
        <v/>
      </c>
      <c r="BS57" s="35" t="str">
        <f ca="1">IFERROR(VALUE(separ(INDEX(Sheet!AC$2:AC$7967,$A57),"-",1)),"")</f>
        <v/>
      </c>
      <c r="BT57" s="35" t="str">
        <f ca="1">IFERROR(VALUE(separ(INDEX(Sheet!AD$2:AD$7967,$A57),"-",1)),"")</f>
        <v/>
      </c>
      <c r="BU57" s="35" t="str">
        <f ca="1">IFERROR(VALUE(separ(INDEX(Sheet!AE$2:AE$7967,$A57),"-",1)),"")</f>
        <v/>
      </c>
      <c r="BV57" s="35"/>
      <c r="BW57" s="35" t="str">
        <f ca="1">IFERROR((separ(INDEX(Sheet!Q$2:Q$7967,$A57),"-",2)),"")</f>
        <v/>
      </c>
      <c r="BX57" s="35" t="str">
        <f ca="1">IFERROR((separ(INDEX(Sheet!R$2:R$7967,$A57),"-",2)),"")</f>
        <v/>
      </c>
      <c r="BY57" s="35" t="str">
        <f ca="1">IFERROR((separ(INDEX(Sheet!S$2:S$7967,$A57),"-",2)),"")</f>
        <v/>
      </c>
      <c r="BZ57" s="35" t="str">
        <f ca="1">IFERROR((separ(INDEX(Sheet!T$2:T$7967,$A57),"-",2)),"")</f>
        <v/>
      </c>
      <c r="CA57" s="35" t="str">
        <f ca="1">IFERROR((separ(INDEX(Sheet!U$2:U$7967,$A57),"-",2)),"")</f>
        <v/>
      </c>
      <c r="CB57" s="35" t="str">
        <f ca="1">IFERROR((separ(INDEX(Sheet!V$2:V$7967,$A57),"-",2)),"")</f>
        <v/>
      </c>
      <c r="CC57" s="35" t="str">
        <f ca="1">IFERROR((separ(INDEX(Sheet!W$2:W$7967,$A57),"-",2)),"")</f>
        <v/>
      </c>
      <c r="CD57" s="35" t="str">
        <f ca="1">IFERROR((separ(INDEX(Sheet!X$2:X$7967,$A57),"-",2)),"")</f>
        <v/>
      </c>
      <c r="CE57" s="35" t="str">
        <f ca="1">IFERROR((separ(INDEX(Sheet!Y$2:Y$7967,$A57),"-",2)),"")</f>
        <v/>
      </c>
      <c r="CF57" s="35" t="str">
        <f ca="1">IFERROR((separ(INDEX(Sheet!Z$2:Z$7967,$A57),"-",2)),"")</f>
        <v/>
      </c>
      <c r="CG57" s="35" t="str">
        <f ca="1">IFERROR((separ(INDEX(Sheet!AA$2:AA$7967,$A57),"-",2)),"")</f>
        <v/>
      </c>
      <c r="CH57" s="35" t="str">
        <f ca="1">IFERROR((separ(INDEX(Sheet!AB$2:AB$7967,$A57),"-",2)),"")</f>
        <v/>
      </c>
      <c r="CI57" s="35" t="str">
        <f ca="1">IFERROR((separ(INDEX(Sheet!AC$2:AC$7967,$A57),"-",2)),"")</f>
        <v/>
      </c>
      <c r="CJ57" s="35" t="str">
        <f ca="1">IFERROR((separ(INDEX(Sheet!AD$2:AD$7967,$A57),"-",2)),"")</f>
        <v/>
      </c>
      <c r="CK57" s="35" t="str">
        <f ca="1">IFERROR((separ(INDEX(Sheet!AE$2:AE$7967,$A57),"-",2)),"")</f>
        <v/>
      </c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</row>
    <row r="58" spans="1:104" s="29" customFormat="1">
      <c r="A58" s="45" t="str">
        <f ca="1">IFERROR(MATCH($B$3,OFFSET(Sheet!$D$2,A57,0):'Sheet'!$D$7657,0)+A57,"")</f>
        <v/>
      </c>
      <c r="B58" s="29" t="str">
        <f ca="1">IF(ROW(A51)&lt;=COUNT($A$6:$A$800),INDEX(Sheet!$A$2:$A$7967,$A58),IF(ROW(A51)=COUNT($A$6:$A$800)+1," ",IF(ROW(A51)=COUNT($A$6:$A$800)+2,"  ","")))</f>
        <v/>
      </c>
      <c r="C58" s="67" t="str">
        <f ca="1">IF($A58="","",INDEX(Sheet!E$2:E$7967,$A58))</f>
        <v/>
      </c>
      <c r="D58" s="31" t="str">
        <f ca="1">IF(B55=" ",$AR$1,IF(B58=" ",$AQ$1,IF(A58="","",INDEX(Sheet!G$2:G$7967,$A58))))</f>
        <v/>
      </c>
      <c r="E58" s="32" t="str">
        <f ca="1">IF($A58="","",TEXT(INDEX(Sheet!J$2:J$7967,$A58),"#,#")&amp;" "&amp;INDEX(Sheet!AT$2:AT$7967,$A58))</f>
        <v/>
      </c>
      <c r="F58" s="53" t="str">
        <f ca="1">IF($A58="","",INDEX(Sheet!F$2:F$7967,$A58))</f>
        <v/>
      </c>
      <c r="G58" s="32" t="str">
        <f ca="1">IF($A58="","",INDEX(Sheet!I$2:I$7967,$A58))</f>
        <v/>
      </c>
      <c r="H58" s="32" t="str">
        <f ca="1">IF($A58="","",INDEX(Sheet!L$2:L$7967,$A58))</f>
        <v/>
      </c>
      <c r="I58" s="32" t="str">
        <f ca="1">IF($A58="","",INDEX(Sheet!N$2:N$7967,$A58))</f>
        <v/>
      </c>
      <c r="J58" s="53" t="str">
        <f ca="1">IF($A58="","",INDEX(Sheet!AS$2:AS$7967,$A58))</f>
        <v/>
      </c>
      <c r="K58" s="33" t="str">
        <f ca="1">IF($A58="","",IF(INDEX(Sheet!S$2:S$7967,$A58)="","",INDEX(Sheet!S$2:S$7967,$A58)))</f>
        <v/>
      </c>
      <c r="L58" s="33" t="str">
        <f ca="1">IF($A58="","",IF(INDEX(Sheet!R$2:R$7967,$A58)="","",INDEX(Sheet!R$2:R$7967,$A58)))</f>
        <v/>
      </c>
      <c r="M58" s="33" t="str">
        <f ca="1">IF($A58="","",IF(INDEX(Sheet!AO$2:AO$7967,$A58)="","",INDEX(Sheet!AO$2:AO$7967,$A58)))</f>
        <v/>
      </c>
      <c r="N58" s="33" t="str">
        <f ca="1">IF($A58="","",IF(INDEX(Sheet!T$2:T$7967,$A58)="","",INDEX(Sheet!T$2:T$7967,$A58)))</f>
        <v/>
      </c>
      <c r="O58" s="33" t="str">
        <f ca="1">IF($A58="","",IF(INDEX(Sheet!U$2:U$7967,$A58)="","",INDEX(Sheet!U$2:U$7967,$A58)))</f>
        <v/>
      </c>
      <c r="P58" s="33" t="str">
        <f ca="1">IF($A58="","",IF(INDEX(Sheet!W$2:W$7967,$A58)="","",INDEX(Sheet!W$2:W$7967,$A58)))</f>
        <v/>
      </c>
      <c r="Q58" s="33" t="str">
        <f ca="1">IF($A58="","",IF(INDEX(Sheet!V$2:V$7967,$A58)="","",INDEX(Sheet!V$2:V$7967,$A58)))</f>
        <v/>
      </c>
      <c r="R58" s="33" t="str">
        <f ca="1">IF($A58="","",IF(INDEX(Sheet!Z$2:Z$7967,$A58)="","",INDEX(Sheet!Z$2:Z$7967,$A58)))</f>
        <v/>
      </c>
      <c r="S58" s="33" t="str">
        <f ca="1">IF($A58="","",IF(INDEX(Sheet!Y$2:Y$7967,$A58)="","",INDEX(Sheet!Y$2:Y$7967,$A58)))</f>
        <v/>
      </c>
      <c r="T58" s="33" t="str">
        <f ca="1">IF($A58="","",IF(INDEX(Sheet!X$2:X$7967,$A58)="","",INDEX(Sheet!X$2:X$7967,$A58)))</f>
        <v/>
      </c>
      <c r="U58" s="33" t="str">
        <f ca="1">IF($A58="","",IF(INDEX(Sheet!AA$2:AA$7967,$A58)="","",INDEX(Sheet!AA$2:AA$7967,$A58)))</f>
        <v/>
      </c>
      <c r="V58" s="33" t="str">
        <f ca="1">IF($A58="","",IF(INDEX(Sheet!AB$2:AB$7967,$A58)="","",INDEX(Sheet!AB$2:AB$7967,$A58)))</f>
        <v/>
      </c>
      <c r="W58" s="33" t="str">
        <f ca="1">IF($A58="","",IF(INDEX(Sheet!AH$2:AH$7967,$A58)="","",INDEX(Sheet!AH$2:AH$7967,$A58)))</f>
        <v/>
      </c>
      <c r="X58" s="33" t="str">
        <f ca="1">IF($A58="","",IF(INDEX(Sheet!AC$2:AC$7967,$A58)="","",INDEX(Sheet!AC$2:AC$7967,$A58)))</f>
        <v/>
      </c>
      <c r="Y58" s="33" t="str">
        <f ca="1">IF($A58="","",IF(INDEX(Sheet!AD$2:AD$7967,$A58)="","",INDEX(Sheet!AD$2:AD$7967,$A58)))</f>
        <v/>
      </c>
      <c r="Z58" s="33" t="str">
        <f ca="1">IF($A58="","",IF(INDEX(Sheet!AL$2:AL$7967,$A58)="","",INDEX(Sheet!AL$2:AL$7967,$A58)))</f>
        <v/>
      </c>
      <c r="AA58" s="33" t="str">
        <f ca="1">IF($A58="","",IF(INDEX(Sheet!AE$2:AE$7967,$A58)="","",INDEX(Sheet!AE$2:AE$7967,$A58)))</f>
        <v/>
      </c>
      <c r="AB58" s="33" t="str">
        <f ca="1">IF($A58="","",IF(INDEX(Sheet!AF$2:AF$7967,$A58)="","",INDEX(Sheet!AF$2:AF$7967,$A58)))</f>
        <v/>
      </c>
      <c r="AC58" s="33" t="str">
        <f ca="1">IF($A58="","",IF(INDEX(Sheet!AG$2:AG$7967,$A58)="","",INDEX(Sheet!AG$2:AG$7967,$A58)))</f>
        <v/>
      </c>
      <c r="AD58" s="33" t="str">
        <f ca="1">IF($A58="","",IF(INDEX(Sheet!AM$2:AM$7967,$A58)="","",INDEX(Sheet!AM$2:AM$7967,$A58)))</f>
        <v/>
      </c>
      <c r="AE58" s="33" t="str">
        <f ca="1">IF($A58="","",IF(INDEX(Sheet!AJ$2:AJ$7967,$A58)="","",INDEX(Sheet!AJ$2:AJ$7967,$A58)))</f>
        <v/>
      </c>
      <c r="AF58" s="33" t="str">
        <f ca="1">IF($A58="","",IF(INDEX(Sheet!AI$2:AI$7967,$A58)="","",INDEX(Sheet!AI$2:AI$7967,$A58)))</f>
        <v/>
      </c>
      <c r="AG58" s="33" t="str">
        <f ca="1">IF(D58="duyệt sản xuất"," Bảo Bảo, Ngày "&amp;DAY($J$4)&amp;" Tháng "&amp;MONTH($J$4)&amp;" Năm "&amp;YEAR($J$4),IF(D58="Phê duyệt","NGƯỜI LẬP",IF(D58="Nguyễn Ngọc Thắng","NGUYỄN THỊ MAI",IF($A58="","",INDEX(Sheet!AK$2:AK$7967,$A58)))))</f>
        <v/>
      </c>
      <c r="AH58" s="58" t="str">
        <f ca="1">IF($A58="","",INDEX(Sheet!AR$2:AR$7967,$A58)&amp;" ; "&amp;INDEX(Sheet!M$2:M$7967,$A58))</f>
        <v/>
      </c>
      <c r="AI58" s="1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G58" s="35" t="str">
        <f ca="1">IFERROR(VALUE(separ(INDEX(Sheet!Q$2:Q$7967,$A58),"-",1)),"")</f>
        <v/>
      </c>
      <c r="BH58" s="35" t="str">
        <f ca="1">IFERROR(VALUE(separ(INDEX(Sheet!R$2:R$7967,$A58),"-",1)),"")</f>
        <v/>
      </c>
      <c r="BI58" s="35" t="str">
        <f ca="1">IFERROR(VALUE(separ(INDEX(Sheet!S$2:S$7967,$A58),"-",1)),"")</f>
        <v/>
      </c>
      <c r="BJ58" s="35" t="str">
        <f ca="1">IFERROR(VALUE(separ(INDEX(Sheet!T$2:T$7967,$A58),"-",1)),"")</f>
        <v/>
      </c>
      <c r="BK58" s="35" t="str">
        <f ca="1">IFERROR(VALUE(separ(INDEX(Sheet!U$2:U$7967,$A58),"-",1)),"")</f>
        <v/>
      </c>
      <c r="BL58" s="35" t="str">
        <f ca="1">IFERROR(VALUE(separ(INDEX(Sheet!V$2:V$7967,$A58),"-",1)),"")</f>
        <v/>
      </c>
      <c r="BM58" s="35" t="str">
        <f ca="1">IFERROR(VALUE(separ(INDEX(Sheet!W$2:W$7967,$A58),"-",1)),"")</f>
        <v/>
      </c>
      <c r="BN58" s="35" t="str">
        <f ca="1">IFERROR(VALUE(separ(INDEX(Sheet!X$2:X$7967,$A58),"-",1)),"")</f>
        <v/>
      </c>
      <c r="BO58" s="35" t="str">
        <f ca="1">IFERROR(VALUE(separ(INDEX(Sheet!Y$2:Y$7967,$A58),"-",1)),"")</f>
        <v/>
      </c>
      <c r="BP58" s="35" t="str">
        <f ca="1">IFERROR(VALUE(separ(INDEX(Sheet!Z$2:Z$7967,$A58),"-",1)),"")</f>
        <v/>
      </c>
      <c r="BQ58" s="35" t="str">
        <f ca="1">IFERROR(VALUE(separ(INDEX(Sheet!AA$2:AA$7967,$A58),"-",1)),"")</f>
        <v/>
      </c>
      <c r="BR58" s="35" t="str">
        <f ca="1">IFERROR(VALUE(separ(INDEX(Sheet!AB$2:AB$7967,$A58),"-",1)),"")</f>
        <v/>
      </c>
      <c r="BS58" s="35" t="str">
        <f ca="1">IFERROR(VALUE(separ(INDEX(Sheet!AC$2:AC$7967,$A58),"-",1)),"")</f>
        <v/>
      </c>
      <c r="BT58" s="35" t="str">
        <f ca="1">IFERROR(VALUE(separ(INDEX(Sheet!AD$2:AD$7967,$A58),"-",1)),"")</f>
        <v/>
      </c>
      <c r="BU58" s="35" t="str">
        <f ca="1">IFERROR(VALUE(separ(INDEX(Sheet!AE$2:AE$7967,$A58),"-",1)),"")</f>
        <v/>
      </c>
      <c r="BV58" s="35"/>
      <c r="BW58" s="35" t="str">
        <f ca="1">IFERROR((separ(INDEX(Sheet!Q$2:Q$7967,$A58),"-",2)),"")</f>
        <v/>
      </c>
      <c r="BX58" s="35" t="str">
        <f ca="1">IFERROR((separ(INDEX(Sheet!R$2:R$7967,$A58),"-",2)),"")</f>
        <v/>
      </c>
      <c r="BY58" s="35" t="str">
        <f ca="1">IFERROR((separ(INDEX(Sheet!S$2:S$7967,$A58),"-",2)),"")</f>
        <v/>
      </c>
      <c r="BZ58" s="35" t="str">
        <f ca="1">IFERROR((separ(INDEX(Sheet!T$2:T$7967,$A58),"-",2)),"")</f>
        <v/>
      </c>
      <c r="CA58" s="35" t="str">
        <f ca="1">IFERROR((separ(INDEX(Sheet!U$2:U$7967,$A58),"-",2)),"")</f>
        <v/>
      </c>
      <c r="CB58" s="35" t="str">
        <f ca="1">IFERROR((separ(INDEX(Sheet!V$2:V$7967,$A58),"-",2)),"")</f>
        <v/>
      </c>
      <c r="CC58" s="35" t="str">
        <f ca="1">IFERROR((separ(INDEX(Sheet!W$2:W$7967,$A58),"-",2)),"")</f>
        <v/>
      </c>
      <c r="CD58" s="35" t="str">
        <f ca="1">IFERROR((separ(INDEX(Sheet!X$2:X$7967,$A58),"-",2)),"")</f>
        <v/>
      </c>
      <c r="CE58" s="35" t="str">
        <f ca="1">IFERROR((separ(INDEX(Sheet!Y$2:Y$7967,$A58),"-",2)),"")</f>
        <v/>
      </c>
      <c r="CF58" s="35" t="str">
        <f ca="1">IFERROR((separ(INDEX(Sheet!Z$2:Z$7967,$A58),"-",2)),"")</f>
        <v/>
      </c>
      <c r="CG58" s="35" t="str">
        <f ca="1">IFERROR((separ(INDEX(Sheet!AA$2:AA$7967,$A58),"-",2)),"")</f>
        <v/>
      </c>
      <c r="CH58" s="35" t="str">
        <f ca="1">IFERROR((separ(INDEX(Sheet!AB$2:AB$7967,$A58),"-",2)),"")</f>
        <v/>
      </c>
      <c r="CI58" s="35" t="str">
        <f ca="1">IFERROR((separ(INDEX(Sheet!AC$2:AC$7967,$A58),"-",2)),"")</f>
        <v/>
      </c>
      <c r="CJ58" s="35" t="str">
        <f ca="1">IFERROR((separ(INDEX(Sheet!AD$2:AD$7967,$A58),"-",2)),"")</f>
        <v/>
      </c>
      <c r="CK58" s="35" t="str">
        <f ca="1">IFERROR((separ(INDEX(Sheet!AE$2:AE$7967,$A58),"-",2)),"")</f>
        <v/>
      </c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</row>
    <row r="59" spans="1:104" s="29" customFormat="1">
      <c r="A59" s="45" t="str">
        <f ca="1">IFERROR(MATCH($B$3,OFFSET(Sheet!$D$2,A58,0):'Sheet'!$D$7657,0)+A58,"")</f>
        <v/>
      </c>
      <c r="B59" s="29" t="str">
        <f ca="1">IF(ROW(A52)&lt;=COUNT($A$6:$A$800),INDEX(Sheet!$A$2:$A$7967,$A59),IF(ROW(A52)=COUNT($A$6:$A$800)+1," ",IF(ROW(A52)=COUNT($A$6:$A$800)+2,"  ","")))</f>
        <v/>
      </c>
      <c r="C59" s="67" t="str">
        <f ca="1">IF($A59="","",INDEX(Sheet!E$2:E$7967,$A59))</f>
        <v/>
      </c>
      <c r="D59" s="31" t="str">
        <f ca="1">IF(B56=" ",$AR$1,IF(B59=" ",$AQ$1,IF(A59="","",INDEX(Sheet!G$2:G$7967,$A59))))</f>
        <v/>
      </c>
      <c r="E59" s="32" t="str">
        <f ca="1">IF($A59="","",TEXT(INDEX(Sheet!J$2:J$7967,$A59),"#,#")&amp;" "&amp;INDEX(Sheet!AT$2:AT$7967,$A59))</f>
        <v/>
      </c>
      <c r="F59" s="53" t="str">
        <f ca="1">IF($A59="","",INDEX(Sheet!F$2:F$7967,$A59))</f>
        <v/>
      </c>
      <c r="G59" s="32" t="str">
        <f ca="1">IF($A59="","",INDEX(Sheet!I$2:I$7967,$A59))</f>
        <v/>
      </c>
      <c r="H59" s="32" t="str">
        <f ca="1">IF($A59="","",INDEX(Sheet!L$2:L$7967,$A59))</f>
        <v/>
      </c>
      <c r="I59" s="32" t="str">
        <f ca="1">IF($A59="","",INDEX(Sheet!N$2:N$7967,$A59))</f>
        <v/>
      </c>
      <c r="J59" s="53" t="str">
        <f ca="1">IF($A59="","",INDEX(Sheet!AS$2:AS$7967,$A59))</f>
        <v/>
      </c>
      <c r="K59" s="33" t="str">
        <f ca="1">IF($A59="","",IF(INDEX(Sheet!S$2:S$7967,$A59)="","",INDEX(Sheet!S$2:S$7967,$A59)))</f>
        <v/>
      </c>
      <c r="L59" s="33" t="str">
        <f ca="1">IF($A59="","",IF(INDEX(Sheet!R$2:R$7967,$A59)="","",INDEX(Sheet!R$2:R$7967,$A59)))</f>
        <v/>
      </c>
      <c r="M59" s="33" t="str">
        <f ca="1">IF($A59="","",IF(INDEX(Sheet!AO$2:AO$7967,$A59)="","",INDEX(Sheet!AO$2:AO$7967,$A59)))</f>
        <v/>
      </c>
      <c r="N59" s="33" t="str">
        <f ca="1">IF($A59="","",IF(INDEX(Sheet!T$2:T$7967,$A59)="","",INDEX(Sheet!T$2:T$7967,$A59)))</f>
        <v/>
      </c>
      <c r="O59" s="33" t="str">
        <f ca="1">IF($A59="","",IF(INDEX(Sheet!U$2:U$7967,$A59)="","",INDEX(Sheet!U$2:U$7967,$A59)))</f>
        <v/>
      </c>
      <c r="P59" s="33" t="str">
        <f ca="1">IF($A59="","",IF(INDEX(Sheet!W$2:W$7967,$A59)="","",INDEX(Sheet!W$2:W$7967,$A59)))</f>
        <v/>
      </c>
      <c r="Q59" s="33" t="str">
        <f ca="1">IF($A59="","",IF(INDEX(Sheet!V$2:V$7967,$A59)="","",INDEX(Sheet!V$2:V$7967,$A59)))</f>
        <v/>
      </c>
      <c r="R59" s="33" t="str">
        <f ca="1">IF($A59="","",IF(INDEX(Sheet!Z$2:Z$7967,$A59)="","",INDEX(Sheet!Z$2:Z$7967,$A59)))</f>
        <v/>
      </c>
      <c r="S59" s="33" t="str">
        <f ca="1">IF($A59="","",IF(INDEX(Sheet!Y$2:Y$7967,$A59)="","",INDEX(Sheet!Y$2:Y$7967,$A59)))</f>
        <v/>
      </c>
      <c r="T59" s="33" t="str">
        <f ca="1">IF($A59="","",IF(INDEX(Sheet!X$2:X$7967,$A59)="","",INDEX(Sheet!X$2:X$7967,$A59)))</f>
        <v/>
      </c>
      <c r="U59" s="33" t="str">
        <f ca="1">IF($A59="","",IF(INDEX(Sheet!AA$2:AA$7967,$A59)="","",INDEX(Sheet!AA$2:AA$7967,$A59)))</f>
        <v/>
      </c>
      <c r="V59" s="33" t="str">
        <f ca="1">IF($A59="","",IF(INDEX(Sheet!AB$2:AB$7967,$A59)="","",INDEX(Sheet!AB$2:AB$7967,$A59)))</f>
        <v/>
      </c>
      <c r="W59" s="33" t="str">
        <f ca="1">IF($A59="","",IF(INDEX(Sheet!AH$2:AH$7967,$A59)="","",INDEX(Sheet!AH$2:AH$7967,$A59)))</f>
        <v/>
      </c>
      <c r="X59" s="33" t="str">
        <f ca="1">IF($A59="","",IF(INDEX(Sheet!AC$2:AC$7967,$A59)="","",INDEX(Sheet!AC$2:AC$7967,$A59)))</f>
        <v/>
      </c>
      <c r="Y59" s="33" t="str">
        <f ca="1">IF($A59="","",IF(INDEX(Sheet!AD$2:AD$7967,$A59)="","",INDEX(Sheet!AD$2:AD$7967,$A59)))</f>
        <v/>
      </c>
      <c r="Z59" s="33" t="str">
        <f ca="1">IF($A59="","",IF(INDEX(Sheet!AL$2:AL$7967,$A59)="","",INDEX(Sheet!AL$2:AL$7967,$A59)))</f>
        <v/>
      </c>
      <c r="AA59" s="33" t="str">
        <f ca="1">IF($A59="","",IF(INDEX(Sheet!AE$2:AE$7967,$A59)="","",INDEX(Sheet!AE$2:AE$7967,$A59)))</f>
        <v/>
      </c>
      <c r="AB59" s="33" t="str">
        <f ca="1">IF($A59="","",IF(INDEX(Sheet!AF$2:AF$7967,$A59)="","",INDEX(Sheet!AF$2:AF$7967,$A59)))</f>
        <v/>
      </c>
      <c r="AC59" s="33" t="str">
        <f ca="1">IF($A59="","",IF(INDEX(Sheet!AG$2:AG$7967,$A59)="","",INDEX(Sheet!AG$2:AG$7967,$A59)))</f>
        <v/>
      </c>
      <c r="AD59" s="33" t="str">
        <f ca="1">IF($A59="","",IF(INDEX(Sheet!AM$2:AM$7967,$A59)="","",INDEX(Sheet!AM$2:AM$7967,$A59)))</f>
        <v/>
      </c>
      <c r="AE59" s="33" t="str">
        <f ca="1">IF($A59="","",IF(INDEX(Sheet!AJ$2:AJ$7967,$A59)="","",INDEX(Sheet!AJ$2:AJ$7967,$A59)))</f>
        <v/>
      </c>
      <c r="AF59" s="33" t="str">
        <f ca="1">IF($A59="","",IF(INDEX(Sheet!AI$2:AI$7967,$A59)="","",INDEX(Sheet!AI$2:AI$7967,$A59)))</f>
        <v/>
      </c>
      <c r="AG59" s="33" t="str">
        <f ca="1">IF(D59="duyệt sản xuất"," Bảo Bảo, Ngày "&amp;DAY($J$4)&amp;" Tháng "&amp;MONTH($J$4)&amp;" Năm "&amp;YEAR($J$4),IF(D59="Phê duyệt","NGƯỜI LẬP",IF(D59="Nguyễn Ngọc Thắng","NGUYỄN THỊ MAI",IF($A59="","",INDEX(Sheet!AK$2:AK$7967,$A59)))))</f>
        <v/>
      </c>
      <c r="AH59" s="58" t="str">
        <f ca="1">IF($A59="","",INDEX(Sheet!AR$2:AR$7967,$A59)&amp;" ; "&amp;INDEX(Sheet!M$2:M$7967,$A59))</f>
        <v/>
      </c>
      <c r="AI59" s="1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G59" s="35" t="str">
        <f ca="1">IFERROR(VALUE(separ(INDEX(Sheet!Q$2:Q$7967,$A59),"-",1)),"")</f>
        <v/>
      </c>
      <c r="BH59" s="35" t="str">
        <f ca="1">IFERROR(VALUE(separ(INDEX(Sheet!R$2:R$7967,$A59),"-",1)),"")</f>
        <v/>
      </c>
      <c r="BI59" s="35" t="str">
        <f ca="1">IFERROR(VALUE(separ(INDEX(Sheet!S$2:S$7967,$A59),"-",1)),"")</f>
        <v/>
      </c>
      <c r="BJ59" s="35" t="str">
        <f ca="1">IFERROR(VALUE(separ(INDEX(Sheet!T$2:T$7967,$A59),"-",1)),"")</f>
        <v/>
      </c>
      <c r="BK59" s="35" t="str">
        <f ca="1">IFERROR(VALUE(separ(INDEX(Sheet!U$2:U$7967,$A59),"-",1)),"")</f>
        <v/>
      </c>
      <c r="BL59" s="35" t="str">
        <f ca="1">IFERROR(VALUE(separ(INDEX(Sheet!V$2:V$7967,$A59),"-",1)),"")</f>
        <v/>
      </c>
      <c r="BM59" s="35" t="str">
        <f ca="1">IFERROR(VALUE(separ(INDEX(Sheet!W$2:W$7967,$A59),"-",1)),"")</f>
        <v/>
      </c>
      <c r="BN59" s="35" t="str">
        <f ca="1">IFERROR(VALUE(separ(INDEX(Sheet!X$2:X$7967,$A59),"-",1)),"")</f>
        <v/>
      </c>
      <c r="BO59" s="35" t="str">
        <f ca="1">IFERROR(VALUE(separ(INDEX(Sheet!Y$2:Y$7967,$A59),"-",1)),"")</f>
        <v/>
      </c>
      <c r="BP59" s="35" t="str">
        <f ca="1">IFERROR(VALUE(separ(INDEX(Sheet!Z$2:Z$7967,$A59),"-",1)),"")</f>
        <v/>
      </c>
      <c r="BQ59" s="35" t="str">
        <f ca="1">IFERROR(VALUE(separ(INDEX(Sheet!AA$2:AA$7967,$A59),"-",1)),"")</f>
        <v/>
      </c>
      <c r="BR59" s="35" t="str">
        <f ca="1">IFERROR(VALUE(separ(INDEX(Sheet!AB$2:AB$7967,$A59),"-",1)),"")</f>
        <v/>
      </c>
      <c r="BS59" s="35" t="str">
        <f ca="1">IFERROR(VALUE(separ(INDEX(Sheet!AC$2:AC$7967,$A59),"-",1)),"")</f>
        <v/>
      </c>
      <c r="BT59" s="35" t="str">
        <f ca="1">IFERROR(VALUE(separ(INDEX(Sheet!AD$2:AD$7967,$A59),"-",1)),"")</f>
        <v/>
      </c>
      <c r="BU59" s="35" t="str">
        <f ca="1">IFERROR(VALUE(separ(INDEX(Sheet!AE$2:AE$7967,$A59),"-",1)),"")</f>
        <v/>
      </c>
      <c r="BV59" s="35"/>
      <c r="BW59" s="35" t="str">
        <f ca="1">IFERROR((separ(INDEX(Sheet!Q$2:Q$7967,$A59),"-",2)),"")</f>
        <v/>
      </c>
      <c r="BX59" s="35" t="str">
        <f ca="1">IFERROR((separ(INDEX(Sheet!R$2:R$7967,$A59),"-",2)),"")</f>
        <v/>
      </c>
      <c r="BY59" s="35" t="str">
        <f ca="1">IFERROR((separ(INDEX(Sheet!S$2:S$7967,$A59),"-",2)),"")</f>
        <v/>
      </c>
      <c r="BZ59" s="35" t="str">
        <f ca="1">IFERROR((separ(INDEX(Sheet!T$2:T$7967,$A59),"-",2)),"")</f>
        <v/>
      </c>
      <c r="CA59" s="35" t="str">
        <f ca="1">IFERROR((separ(INDEX(Sheet!U$2:U$7967,$A59),"-",2)),"")</f>
        <v/>
      </c>
      <c r="CB59" s="35" t="str">
        <f ca="1">IFERROR((separ(INDEX(Sheet!V$2:V$7967,$A59),"-",2)),"")</f>
        <v/>
      </c>
      <c r="CC59" s="35" t="str">
        <f ca="1">IFERROR((separ(INDEX(Sheet!W$2:W$7967,$A59),"-",2)),"")</f>
        <v/>
      </c>
      <c r="CD59" s="35" t="str">
        <f ca="1">IFERROR((separ(INDEX(Sheet!X$2:X$7967,$A59),"-",2)),"")</f>
        <v/>
      </c>
      <c r="CE59" s="35" t="str">
        <f ca="1">IFERROR((separ(INDEX(Sheet!Y$2:Y$7967,$A59),"-",2)),"")</f>
        <v/>
      </c>
      <c r="CF59" s="35" t="str">
        <f ca="1">IFERROR((separ(INDEX(Sheet!Z$2:Z$7967,$A59),"-",2)),"")</f>
        <v/>
      </c>
      <c r="CG59" s="35" t="str">
        <f ca="1">IFERROR((separ(INDEX(Sheet!AA$2:AA$7967,$A59),"-",2)),"")</f>
        <v/>
      </c>
      <c r="CH59" s="35" t="str">
        <f ca="1">IFERROR((separ(INDEX(Sheet!AB$2:AB$7967,$A59),"-",2)),"")</f>
        <v/>
      </c>
      <c r="CI59" s="35" t="str">
        <f ca="1">IFERROR((separ(INDEX(Sheet!AC$2:AC$7967,$A59),"-",2)),"")</f>
        <v/>
      </c>
      <c r="CJ59" s="35" t="str">
        <f ca="1">IFERROR((separ(INDEX(Sheet!AD$2:AD$7967,$A59),"-",2)),"")</f>
        <v/>
      </c>
      <c r="CK59" s="35" t="str">
        <f ca="1">IFERROR((separ(INDEX(Sheet!AE$2:AE$7967,$A59),"-",2)),"")</f>
        <v/>
      </c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</row>
    <row r="60" spans="1:104" s="29" customFormat="1">
      <c r="A60" s="45" t="str">
        <f ca="1">IFERROR(MATCH($B$3,OFFSET(Sheet!$D$2,A59,0):'Sheet'!$D$7657,0)+A59,"")</f>
        <v/>
      </c>
      <c r="B60" s="29" t="str">
        <f ca="1">IF(ROW(A53)&lt;=COUNT($A$6:$A$800),INDEX(Sheet!$A$2:$A$7967,$A60),IF(ROW(A53)=COUNT($A$6:$A$800)+1," ",IF(ROW(A53)=COUNT($A$6:$A$800)+2,"  ","")))</f>
        <v/>
      </c>
      <c r="C60" s="67" t="str">
        <f ca="1">IF($A60="","",INDEX(Sheet!E$2:E$7967,$A60))</f>
        <v/>
      </c>
      <c r="D60" s="31" t="str">
        <f ca="1">IF(B57=" ",$AR$1,IF(B60=" ",$AQ$1,IF(A60="","",INDEX(Sheet!G$2:G$7967,$A60))))</f>
        <v/>
      </c>
      <c r="E60" s="32" t="str">
        <f ca="1">IF($A60="","",TEXT(INDEX(Sheet!J$2:J$7967,$A60),"#,#")&amp;" "&amp;INDEX(Sheet!AT$2:AT$7967,$A60))</f>
        <v/>
      </c>
      <c r="F60" s="53" t="str">
        <f ca="1">IF($A60="","",INDEX(Sheet!F$2:F$7967,$A60))</f>
        <v/>
      </c>
      <c r="G60" s="32" t="str">
        <f ca="1">IF($A60="","",INDEX(Sheet!I$2:I$7967,$A60))</f>
        <v/>
      </c>
      <c r="H60" s="32" t="str">
        <f ca="1">IF($A60="","",INDEX(Sheet!L$2:L$7967,$A60))</f>
        <v/>
      </c>
      <c r="I60" s="32" t="str">
        <f ca="1">IF($A60="","",INDEX(Sheet!N$2:N$7967,$A60))</f>
        <v/>
      </c>
      <c r="J60" s="53" t="str">
        <f ca="1">IF($A60="","",INDEX(Sheet!AS$2:AS$7967,$A60))</f>
        <v/>
      </c>
      <c r="K60" s="33" t="str">
        <f ca="1">IF($A60="","",IF(INDEX(Sheet!S$2:S$7967,$A60)="","",INDEX(Sheet!S$2:S$7967,$A60)))</f>
        <v/>
      </c>
      <c r="L60" s="33" t="str">
        <f ca="1">IF($A60="","",IF(INDEX(Sheet!R$2:R$7967,$A60)="","",INDEX(Sheet!R$2:R$7967,$A60)))</f>
        <v/>
      </c>
      <c r="M60" s="33" t="str">
        <f ca="1">IF($A60="","",IF(INDEX(Sheet!AO$2:AO$7967,$A60)="","",INDEX(Sheet!AO$2:AO$7967,$A60)))</f>
        <v/>
      </c>
      <c r="N60" s="33" t="str">
        <f ca="1">IF($A60="","",IF(INDEX(Sheet!T$2:T$7967,$A60)="","",INDEX(Sheet!T$2:T$7967,$A60)))</f>
        <v/>
      </c>
      <c r="O60" s="33" t="str">
        <f ca="1">IF($A60="","",IF(INDEX(Sheet!U$2:U$7967,$A60)="","",INDEX(Sheet!U$2:U$7967,$A60)))</f>
        <v/>
      </c>
      <c r="P60" s="33" t="str">
        <f ca="1">IF($A60="","",IF(INDEX(Sheet!W$2:W$7967,$A60)="","",INDEX(Sheet!W$2:W$7967,$A60)))</f>
        <v/>
      </c>
      <c r="Q60" s="33" t="str">
        <f ca="1">IF($A60="","",IF(INDEX(Sheet!V$2:V$7967,$A60)="","",INDEX(Sheet!V$2:V$7967,$A60)))</f>
        <v/>
      </c>
      <c r="R60" s="33" t="str">
        <f ca="1">IF($A60="","",IF(INDEX(Sheet!Z$2:Z$7967,$A60)="","",INDEX(Sheet!Z$2:Z$7967,$A60)))</f>
        <v/>
      </c>
      <c r="S60" s="33" t="str">
        <f ca="1">IF($A60="","",IF(INDEX(Sheet!Y$2:Y$7967,$A60)="","",INDEX(Sheet!Y$2:Y$7967,$A60)))</f>
        <v/>
      </c>
      <c r="T60" s="33" t="str">
        <f ca="1">IF($A60="","",IF(INDEX(Sheet!X$2:X$7967,$A60)="","",INDEX(Sheet!X$2:X$7967,$A60)))</f>
        <v/>
      </c>
      <c r="U60" s="33" t="str">
        <f ca="1">IF($A60="","",IF(INDEX(Sheet!AA$2:AA$7967,$A60)="","",INDEX(Sheet!AA$2:AA$7967,$A60)))</f>
        <v/>
      </c>
      <c r="V60" s="33" t="str">
        <f ca="1">IF($A60="","",IF(INDEX(Sheet!AB$2:AB$7967,$A60)="","",INDEX(Sheet!AB$2:AB$7967,$A60)))</f>
        <v/>
      </c>
      <c r="W60" s="33" t="str">
        <f ca="1">IF($A60="","",IF(INDEX(Sheet!AH$2:AH$7967,$A60)="","",INDEX(Sheet!AH$2:AH$7967,$A60)))</f>
        <v/>
      </c>
      <c r="X60" s="33" t="str">
        <f ca="1">IF($A60="","",IF(INDEX(Sheet!AC$2:AC$7967,$A60)="","",INDEX(Sheet!AC$2:AC$7967,$A60)))</f>
        <v/>
      </c>
      <c r="Y60" s="33" t="str">
        <f ca="1">IF($A60="","",IF(INDEX(Sheet!AD$2:AD$7967,$A60)="","",INDEX(Sheet!AD$2:AD$7967,$A60)))</f>
        <v/>
      </c>
      <c r="Z60" s="33" t="str">
        <f ca="1">IF($A60="","",IF(INDEX(Sheet!AL$2:AL$7967,$A60)="","",INDEX(Sheet!AL$2:AL$7967,$A60)))</f>
        <v/>
      </c>
      <c r="AA60" s="33" t="str">
        <f ca="1">IF($A60="","",IF(INDEX(Sheet!AE$2:AE$7967,$A60)="","",INDEX(Sheet!AE$2:AE$7967,$A60)))</f>
        <v/>
      </c>
      <c r="AB60" s="33" t="str">
        <f ca="1">IF($A60="","",IF(INDEX(Sheet!AF$2:AF$7967,$A60)="","",INDEX(Sheet!AF$2:AF$7967,$A60)))</f>
        <v/>
      </c>
      <c r="AC60" s="33" t="str">
        <f ca="1">IF($A60="","",IF(INDEX(Sheet!AG$2:AG$7967,$A60)="","",INDEX(Sheet!AG$2:AG$7967,$A60)))</f>
        <v/>
      </c>
      <c r="AD60" s="33" t="str">
        <f ca="1">IF($A60="","",IF(INDEX(Sheet!AM$2:AM$7967,$A60)="","",INDEX(Sheet!AM$2:AM$7967,$A60)))</f>
        <v/>
      </c>
      <c r="AE60" s="33" t="str">
        <f ca="1">IF($A60="","",IF(INDEX(Sheet!AJ$2:AJ$7967,$A60)="","",INDEX(Sheet!AJ$2:AJ$7967,$A60)))</f>
        <v/>
      </c>
      <c r="AF60" s="33" t="str">
        <f ca="1">IF($A60="","",IF(INDEX(Sheet!AI$2:AI$7967,$A60)="","",INDEX(Sheet!AI$2:AI$7967,$A60)))</f>
        <v/>
      </c>
      <c r="AG60" s="33" t="str">
        <f ca="1">IF(D60="duyệt sản xuất"," Bảo Bảo, Ngày "&amp;DAY($J$4)&amp;" Tháng "&amp;MONTH($J$4)&amp;" Năm "&amp;YEAR($J$4),IF(D60="Phê duyệt","NGƯỜI LẬP",IF(D60="Nguyễn Ngọc Thắng","NGUYỄN THỊ MAI",IF($A60="","",INDEX(Sheet!AK$2:AK$7967,$A60)))))</f>
        <v/>
      </c>
      <c r="AH60" s="58" t="str">
        <f ca="1">IF($A60="","",INDEX(Sheet!AR$2:AR$7967,$A60)&amp;" ; "&amp;INDEX(Sheet!M$2:M$7967,$A60))</f>
        <v/>
      </c>
      <c r="AI60" s="1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G60" s="35" t="str">
        <f ca="1">IFERROR(VALUE(separ(INDEX(Sheet!Q$2:Q$7967,$A60),"-",1)),"")</f>
        <v/>
      </c>
      <c r="BH60" s="35" t="str">
        <f ca="1">IFERROR(VALUE(separ(INDEX(Sheet!R$2:R$7967,$A60),"-",1)),"")</f>
        <v/>
      </c>
      <c r="BI60" s="35" t="str">
        <f ca="1">IFERROR(VALUE(separ(INDEX(Sheet!S$2:S$7967,$A60),"-",1)),"")</f>
        <v/>
      </c>
      <c r="BJ60" s="35" t="str">
        <f ca="1">IFERROR(VALUE(separ(INDEX(Sheet!T$2:T$7967,$A60),"-",1)),"")</f>
        <v/>
      </c>
      <c r="BK60" s="35" t="str">
        <f ca="1">IFERROR(VALUE(separ(INDEX(Sheet!U$2:U$7967,$A60),"-",1)),"")</f>
        <v/>
      </c>
      <c r="BL60" s="35" t="str">
        <f ca="1">IFERROR(VALUE(separ(INDEX(Sheet!V$2:V$7967,$A60),"-",1)),"")</f>
        <v/>
      </c>
      <c r="BM60" s="35" t="str">
        <f ca="1">IFERROR(VALUE(separ(INDEX(Sheet!W$2:W$7967,$A60),"-",1)),"")</f>
        <v/>
      </c>
      <c r="BN60" s="35" t="str">
        <f ca="1">IFERROR(VALUE(separ(INDEX(Sheet!X$2:X$7967,$A60),"-",1)),"")</f>
        <v/>
      </c>
      <c r="BO60" s="35" t="str">
        <f ca="1">IFERROR(VALUE(separ(INDEX(Sheet!Y$2:Y$7967,$A60),"-",1)),"")</f>
        <v/>
      </c>
      <c r="BP60" s="35" t="str">
        <f ca="1">IFERROR(VALUE(separ(INDEX(Sheet!Z$2:Z$7967,$A60),"-",1)),"")</f>
        <v/>
      </c>
      <c r="BQ60" s="35" t="str">
        <f ca="1">IFERROR(VALUE(separ(INDEX(Sheet!AA$2:AA$7967,$A60),"-",1)),"")</f>
        <v/>
      </c>
      <c r="BR60" s="35" t="str">
        <f ca="1">IFERROR(VALUE(separ(INDEX(Sheet!AB$2:AB$7967,$A60),"-",1)),"")</f>
        <v/>
      </c>
      <c r="BS60" s="35" t="str">
        <f ca="1">IFERROR(VALUE(separ(INDEX(Sheet!AC$2:AC$7967,$A60),"-",1)),"")</f>
        <v/>
      </c>
      <c r="BT60" s="35" t="str">
        <f ca="1">IFERROR(VALUE(separ(INDEX(Sheet!AD$2:AD$7967,$A60),"-",1)),"")</f>
        <v/>
      </c>
      <c r="BU60" s="35" t="str">
        <f ca="1">IFERROR(VALUE(separ(INDEX(Sheet!AE$2:AE$7967,$A60),"-",1)),"")</f>
        <v/>
      </c>
      <c r="BV60" s="35"/>
      <c r="BW60" s="35" t="str">
        <f ca="1">IFERROR((separ(INDEX(Sheet!Q$2:Q$7967,$A60),"-",2)),"")</f>
        <v/>
      </c>
      <c r="BX60" s="35" t="str">
        <f ca="1">IFERROR((separ(INDEX(Sheet!R$2:R$7967,$A60),"-",2)),"")</f>
        <v/>
      </c>
      <c r="BY60" s="35" t="str">
        <f ca="1">IFERROR((separ(INDEX(Sheet!S$2:S$7967,$A60),"-",2)),"")</f>
        <v/>
      </c>
      <c r="BZ60" s="35" t="str">
        <f ca="1">IFERROR((separ(INDEX(Sheet!T$2:T$7967,$A60),"-",2)),"")</f>
        <v/>
      </c>
      <c r="CA60" s="35" t="str">
        <f ca="1">IFERROR((separ(INDEX(Sheet!U$2:U$7967,$A60),"-",2)),"")</f>
        <v/>
      </c>
      <c r="CB60" s="35" t="str">
        <f ca="1">IFERROR((separ(INDEX(Sheet!V$2:V$7967,$A60),"-",2)),"")</f>
        <v/>
      </c>
      <c r="CC60" s="35" t="str">
        <f ca="1">IFERROR((separ(INDEX(Sheet!W$2:W$7967,$A60),"-",2)),"")</f>
        <v/>
      </c>
      <c r="CD60" s="35" t="str">
        <f ca="1">IFERROR((separ(INDEX(Sheet!X$2:X$7967,$A60),"-",2)),"")</f>
        <v/>
      </c>
      <c r="CE60" s="35" t="str">
        <f ca="1">IFERROR((separ(INDEX(Sheet!Y$2:Y$7967,$A60),"-",2)),"")</f>
        <v/>
      </c>
      <c r="CF60" s="35" t="str">
        <f ca="1">IFERROR((separ(INDEX(Sheet!Z$2:Z$7967,$A60),"-",2)),"")</f>
        <v/>
      </c>
      <c r="CG60" s="35" t="str">
        <f ca="1">IFERROR((separ(INDEX(Sheet!AA$2:AA$7967,$A60),"-",2)),"")</f>
        <v/>
      </c>
      <c r="CH60" s="35" t="str">
        <f ca="1">IFERROR((separ(INDEX(Sheet!AB$2:AB$7967,$A60),"-",2)),"")</f>
        <v/>
      </c>
      <c r="CI60" s="35" t="str">
        <f ca="1">IFERROR((separ(INDEX(Sheet!AC$2:AC$7967,$A60),"-",2)),"")</f>
        <v/>
      </c>
      <c r="CJ60" s="35" t="str">
        <f ca="1">IFERROR((separ(INDEX(Sheet!AD$2:AD$7967,$A60),"-",2)),"")</f>
        <v/>
      </c>
      <c r="CK60" s="35" t="str">
        <f ca="1">IFERROR((separ(INDEX(Sheet!AE$2:AE$7967,$A60),"-",2)),"")</f>
        <v/>
      </c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</row>
    <row r="61" spans="1:104" s="29" customFormat="1">
      <c r="A61" s="45" t="str">
        <f ca="1">IFERROR(MATCH($B$3,OFFSET(Sheet!$D$2,A60,0):'Sheet'!$D$7657,0)+A60,"")</f>
        <v/>
      </c>
      <c r="B61" s="29" t="str">
        <f ca="1">IF(ROW(A54)&lt;=COUNT($A$6:$A$800),INDEX(Sheet!$A$2:$A$7967,$A61),IF(ROW(A54)=COUNT($A$6:$A$800)+1," ",IF(ROW(A54)=COUNT($A$6:$A$800)+2,"  ","")))</f>
        <v/>
      </c>
      <c r="C61" s="67" t="str">
        <f ca="1">IF($A61="","",INDEX(Sheet!E$2:E$7967,$A61))</f>
        <v/>
      </c>
      <c r="D61" s="31" t="str">
        <f ca="1">IF(B58=" ",$AR$1,IF(B61=" ",$AQ$1,IF(A61="","",INDEX(Sheet!G$2:G$7967,$A61))))</f>
        <v/>
      </c>
      <c r="E61" s="32" t="str">
        <f ca="1">IF($A61="","",TEXT(INDEX(Sheet!J$2:J$7967,$A61),"#,#")&amp;" "&amp;INDEX(Sheet!AT$2:AT$7967,$A61))</f>
        <v/>
      </c>
      <c r="F61" s="53" t="str">
        <f ca="1">IF($A61="","",INDEX(Sheet!F$2:F$7967,$A61))</f>
        <v/>
      </c>
      <c r="G61" s="32" t="str">
        <f ca="1">IF($A61="","",INDEX(Sheet!I$2:I$7967,$A61))</f>
        <v/>
      </c>
      <c r="H61" s="32" t="str">
        <f ca="1">IF($A61="","",INDEX(Sheet!L$2:L$7967,$A61))</f>
        <v/>
      </c>
      <c r="I61" s="32" t="str">
        <f ca="1">IF($A61="","",INDEX(Sheet!N$2:N$7967,$A61))</f>
        <v/>
      </c>
      <c r="J61" s="53" t="str">
        <f ca="1">IF($A61="","",INDEX(Sheet!AS$2:AS$7967,$A61))</f>
        <v/>
      </c>
      <c r="K61" s="33" t="str">
        <f ca="1">IF($A61="","",IF(INDEX(Sheet!S$2:S$7967,$A61)="","",INDEX(Sheet!S$2:S$7967,$A61)))</f>
        <v/>
      </c>
      <c r="L61" s="33" t="str">
        <f ca="1">IF($A61="","",IF(INDEX(Sheet!R$2:R$7967,$A61)="","",INDEX(Sheet!R$2:R$7967,$A61)))</f>
        <v/>
      </c>
      <c r="M61" s="33" t="str">
        <f ca="1">IF($A61="","",IF(INDEX(Sheet!AO$2:AO$7967,$A61)="","",INDEX(Sheet!AO$2:AO$7967,$A61)))</f>
        <v/>
      </c>
      <c r="N61" s="33" t="str">
        <f ca="1">IF($A61="","",IF(INDEX(Sheet!T$2:T$7967,$A61)="","",INDEX(Sheet!T$2:T$7967,$A61)))</f>
        <v/>
      </c>
      <c r="O61" s="33" t="str">
        <f ca="1">IF($A61="","",IF(INDEX(Sheet!U$2:U$7967,$A61)="","",INDEX(Sheet!U$2:U$7967,$A61)))</f>
        <v/>
      </c>
      <c r="P61" s="33" t="str">
        <f ca="1">IF($A61="","",IF(INDEX(Sheet!W$2:W$7967,$A61)="","",INDEX(Sheet!W$2:W$7967,$A61)))</f>
        <v/>
      </c>
      <c r="Q61" s="33" t="str">
        <f ca="1">IF($A61="","",IF(INDEX(Sheet!V$2:V$7967,$A61)="","",INDEX(Sheet!V$2:V$7967,$A61)))</f>
        <v/>
      </c>
      <c r="R61" s="33" t="str">
        <f ca="1">IF($A61="","",IF(INDEX(Sheet!Z$2:Z$7967,$A61)="","",INDEX(Sheet!Z$2:Z$7967,$A61)))</f>
        <v/>
      </c>
      <c r="S61" s="33" t="str">
        <f ca="1">IF($A61="","",IF(INDEX(Sheet!Y$2:Y$7967,$A61)="","",INDEX(Sheet!Y$2:Y$7967,$A61)))</f>
        <v/>
      </c>
      <c r="T61" s="33" t="str">
        <f ca="1">IF($A61="","",IF(INDEX(Sheet!X$2:X$7967,$A61)="","",INDEX(Sheet!X$2:X$7967,$A61)))</f>
        <v/>
      </c>
      <c r="U61" s="33" t="str">
        <f ca="1">IF($A61="","",IF(INDEX(Sheet!AA$2:AA$7967,$A61)="","",INDEX(Sheet!AA$2:AA$7967,$A61)))</f>
        <v/>
      </c>
      <c r="V61" s="33" t="str">
        <f ca="1">IF($A61="","",IF(INDEX(Sheet!AB$2:AB$7967,$A61)="","",INDEX(Sheet!AB$2:AB$7967,$A61)))</f>
        <v/>
      </c>
      <c r="W61" s="33" t="str">
        <f ca="1">IF($A61="","",IF(INDEX(Sheet!AH$2:AH$7967,$A61)="","",INDEX(Sheet!AH$2:AH$7967,$A61)))</f>
        <v/>
      </c>
      <c r="X61" s="33" t="str">
        <f ca="1">IF($A61="","",IF(INDEX(Sheet!AC$2:AC$7967,$A61)="","",INDEX(Sheet!AC$2:AC$7967,$A61)))</f>
        <v/>
      </c>
      <c r="Y61" s="33" t="str">
        <f ca="1">IF($A61="","",IF(INDEX(Sheet!AD$2:AD$7967,$A61)="","",INDEX(Sheet!AD$2:AD$7967,$A61)))</f>
        <v/>
      </c>
      <c r="Z61" s="33" t="str">
        <f ca="1">IF($A61="","",IF(INDEX(Sheet!AL$2:AL$7967,$A61)="","",INDEX(Sheet!AL$2:AL$7967,$A61)))</f>
        <v/>
      </c>
      <c r="AA61" s="33" t="str">
        <f ca="1">IF($A61="","",IF(INDEX(Sheet!AE$2:AE$7967,$A61)="","",INDEX(Sheet!AE$2:AE$7967,$A61)))</f>
        <v/>
      </c>
      <c r="AB61" s="33" t="str">
        <f ca="1">IF($A61="","",IF(INDEX(Sheet!AF$2:AF$7967,$A61)="","",INDEX(Sheet!AF$2:AF$7967,$A61)))</f>
        <v/>
      </c>
      <c r="AC61" s="33" t="str">
        <f ca="1">IF($A61="","",IF(INDEX(Sheet!AG$2:AG$7967,$A61)="","",INDEX(Sheet!AG$2:AG$7967,$A61)))</f>
        <v/>
      </c>
      <c r="AD61" s="33" t="str">
        <f ca="1">IF($A61="","",IF(INDEX(Sheet!AM$2:AM$7967,$A61)="","",INDEX(Sheet!AM$2:AM$7967,$A61)))</f>
        <v/>
      </c>
      <c r="AE61" s="33" t="str">
        <f ca="1">IF($A61="","",IF(INDEX(Sheet!AJ$2:AJ$7967,$A61)="","",INDEX(Sheet!AJ$2:AJ$7967,$A61)))</f>
        <v/>
      </c>
      <c r="AF61" s="33" t="str">
        <f ca="1">IF($A61="","",IF(INDEX(Sheet!AI$2:AI$7967,$A61)="","",INDEX(Sheet!AI$2:AI$7967,$A61)))</f>
        <v/>
      </c>
      <c r="AG61" s="33" t="str">
        <f ca="1">IF(D61="duyệt sản xuất"," Bảo Bảo, Ngày "&amp;DAY($J$4)&amp;" Tháng "&amp;MONTH($J$4)&amp;" Năm "&amp;YEAR($J$4),IF(D61="Phê duyệt","NGƯỜI LẬP",IF(D61="Nguyễn Ngọc Thắng","NGUYỄN THỊ MAI",IF($A61="","",INDEX(Sheet!AK$2:AK$7967,$A61)))))</f>
        <v/>
      </c>
      <c r="AH61" s="58" t="str">
        <f ca="1">IF($A61="","",INDEX(Sheet!AR$2:AR$7967,$A61)&amp;" ; "&amp;INDEX(Sheet!M$2:M$7967,$A61))</f>
        <v/>
      </c>
      <c r="AI61" s="1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G61" s="35" t="str">
        <f ca="1">IFERROR(VALUE(separ(INDEX(Sheet!Q$2:Q$7967,$A61),"-",1)),"")</f>
        <v/>
      </c>
      <c r="BH61" s="35" t="str">
        <f ca="1">IFERROR(VALUE(separ(INDEX(Sheet!R$2:R$7967,$A61),"-",1)),"")</f>
        <v/>
      </c>
      <c r="BI61" s="35" t="str">
        <f ca="1">IFERROR(VALUE(separ(INDEX(Sheet!S$2:S$7967,$A61),"-",1)),"")</f>
        <v/>
      </c>
      <c r="BJ61" s="35" t="str">
        <f ca="1">IFERROR(VALUE(separ(INDEX(Sheet!T$2:T$7967,$A61),"-",1)),"")</f>
        <v/>
      </c>
      <c r="BK61" s="35" t="str">
        <f ca="1">IFERROR(VALUE(separ(INDEX(Sheet!U$2:U$7967,$A61),"-",1)),"")</f>
        <v/>
      </c>
      <c r="BL61" s="35" t="str">
        <f ca="1">IFERROR(VALUE(separ(INDEX(Sheet!V$2:V$7967,$A61),"-",1)),"")</f>
        <v/>
      </c>
      <c r="BM61" s="35" t="str">
        <f ca="1">IFERROR(VALUE(separ(INDEX(Sheet!W$2:W$7967,$A61),"-",1)),"")</f>
        <v/>
      </c>
      <c r="BN61" s="35" t="str">
        <f ca="1">IFERROR(VALUE(separ(INDEX(Sheet!X$2:X$7967,$A61),"-",1)),"")</f>
        <v/>
      </c>
      <c r="BO61" s="35" t="str">
        <f ca="1">IFERROR(VALUE(separ(INDEX(Sheet!Y$2:Y$7967,$A61),"-",1)),"")</f>
        <v/>
      </c>
      <c r="BP61" s="35" t="str">
        <f ca="1">IFERROR(VALUE(separ(INDEX(Sheet!Z$2:Z$7967,$A61),"-",1)),"")</f>
        <v/>
      </c>
      <c r="BQ61" s="35" t="str">
        <f ca="1">IFERROR(VALUE(separ(INDEX(Sheet!AA$2:AA$7967,$A61),"-",1)),"")</f>
        <v/>
      </c>
      <c r="BR61" s="35" t="str">
        <f ca="1">IFERROR(VALUE(separ(INDEX(Sheet!AB$2:AB$7967,$A61),"-",1)),"")</f>
        <v/>
      </c>
      <c r="BS61" s="35" t="str">
        <f ca="1">IFERROR(VALUE(separ(INDEX(Sheet!AC$2:AC$7967,$A61),"-",1)),"")</f>
        <v/>
      </c>
      <c r="BT61" s="35" t="str">
        <f ca="1">IFERROR(VALUE(separ(INDEX(Sheet!AD$2:AD$7967,$A61),"-",1)),"")</f>
        <v/>
      </c>
      <c r="BU61" s="35" t="str">
        <f ca="1">IFERROR(VALUE(separ(INDEX(Sheet!AE$2:AE$7967,$A61),"-",1)),"")</f>
        <v/>
      </c>
      <c r="BV61" s="35"/>
      <c r="BW61" s="35" t="str">
        <f ca="1">IFERROR((separ(INDEX(Sheet!Q$2:Q$7967,$A61),"-",2)),"")</f>
        <v/>
      </c>
      <c r="BX61" s="35" t="str">
        <f ca="1">IFERROR((separ(INDEX(Sheet!R$2:R$7967,$A61),"-",2)),"")</f>
        <v/>
      </c>
      <c r="BY61" s="35" t="str">
        <f ca="1">IFERROR((separ(INDEX(Sheet!S$2:S$7967,$A61),"-",2)),"")</f>
        <v/>
      </c>
      <c r="BZ61" s="35" t="str">
        <f ca="1">IFERROR((separ(INDEX(Sheet!T$2:T$7967,$A61),"-",2)),"")</f>
        <v/>
      </c>
      <c r="CA61" s="35" t="str">
        <f ca="1">IFERROR((separ(INDEX(Sheet!U$2:U$7967,$A61),"-",2)),"")</f>
        <v/>
      </c>
      <c r="CB61" s="35" t="str">
        <f ca="1">IFERROR((separ(INDEX(Sheet!V$2:V$7967,$A61),"-",2)),"")</f>
        <v/>
      </c>
      <c r="CC61" s="35" t="str">
        <f ca="1">IFERROR((separ(INDEX(Sheet!W$2:W$7967,$A61),"-",2)),"")</f>
        <v/>
      </c>
      <c r="CD61" s="35" t="str">
        <f ca="1">IFERROR((separ(INDEX(Sheet!X$2:X$7967,$A61),"-",2)),"")</f>
        <v/>
      </c>
      <c r="CE61" s="35" t="str">
        <f ca="1">IFERROR((separ(INDEX(Sheet!Y$2:Y$7967,$A61),"-",2)),"")</f>
        <v/>
      </c>
      <c r="CF61" s="35" t="str">
        <f ca="1">IFERROR((separ(INDEX(Sheet!Z$2:Z$7967,$A61),"-",2)),"")</f>
        <v/>
      </c>
      <c r="CG61" s="35" t="str">
        <f ca="1">IFERROR((separ(INDEX(Sheet!AA$2:AA$7967,$A61),"-",2)),"")</f>
        <v/>
      </c>
      <c r="CH61" s="35" t="str">
        <f ca="1">IFERROR((separ(INDEX(Sheet!AB$2:AB$7967,$A61),"-",2)),"")</f>
        <v/>
      </c>
      <c r="CI61" s="35" t="str">
        <f ca="1">IFERROR((separ(INDEX(Sheet!AC$2:AC$7967,$A61),"-",2)),"")</f>
        <v/>
      </c>
      <c r="CJ61" s="35" t="str">
        <f ca="1">IFERROR((separ(INDEX(Sheet!AD$2:AD$7967,$A61),"-",2)),"")</f>
        <v/>
      </c>
      <c r="CK61" s="35" t="str">
        <f ca="1">IFERROR((separ(INDEX(Sheet!AE$2:AE$7967,$A61),"-",2)),"")</f>
        <v/>
      </c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</row>
    <row r="62" spans="1:104" s="29" customFormat="1">
      <c r="A62" s="45" t="str">
        <f ca="1">IFERROR(MATCH($B$3,OFFSET(Sheet!$D$2,A61,0):'Sheet'!$D$7657,0)+A61,"")</f>
        <v/>
      </c>
      <c r="B62" s="29" t="str">
        <f ca="1">IF(ROW(A55)&lt;=COUNT($A$6:$A$800),INDEX(Sheet!$A$2:$A$7967,$A62),IF(ROW(A55)=COUNT($A$6:$A$800)+1," ",IF(ROW(A55)=COUNT($A$6:$A$800)+2,"  ","")))</f>
        <v/>
      </c>
      <c r="C62" s="67" t="str">
        <f ca="1">IF($A62="","",INDEX(Sheet!E$2:E$7967,$A62))</f>
        <v/>
      </c>
      <c r="D62" s="31" t="str">
        <f ca="1">IF(B59=" ",$AR$1,IF(B62=" ",$AQ$1,IF(A62="","",INDEX(Sheet!G$2:G$7967,$A62))))</f>
        <v/>
      </c>
      <c r="E62" s="32" t="str">
        <f ca="1">IF($A62="","",TEXT(INDEX(Sheet!J$2:J$7967,$A62),"#,#")&amp;" "&amp;INDEX(Sheet!AT$2:AT$7967,$A62))</f>
        <v/>
      </c>
      <c r="F62" s="53" t="str">
        <f ca="1">IF($A62="","",INDEX(Sheet!F$2:F$7967,$A62))</f>
        <v/>
      </c>
      <c r="G62" s="32" t="str">
        <f ca="1">IF($A62="","",INDEX(Sheet!I$2:I$7967,$A62))</f>
        <v/>
      </c>
      <c r="H62" s="32" t="str">
        <f ca="1">IF($A62="","",INDEX(Sheet!L$2:L$7967,$A62))</f>
        <v/>
      </c>
      <c r="I62" s="32" t="str">
        <f ca="1">IF($A62="","",INDEX(Sheet!N$2:N$7967,$A62))</f>
        <v/>
      </c>
      <c r="J62" s="53" t="str">
        <f ca="1">IF($A62="","",INDEX(Sheet!AS$2:AS$7967,$A62))</f>
        <v/>
      </c>
      <c r="K62" s="33" t="str">
        <f ca="1">IF($A62="","",IF(INDEX(Sheet!S$2:S$7967,$A62)="","",INDEX(Sheet!S$2:S$7967,$A62)))</f>
        <v/>
      </c>
      <c r="L62" s="33" t="str">
        <f ca="1">IF($A62="","",IF(INDEX(Sheet!R$2:R$7967,$A62)="","",INDEX(Sheet!R$2:R$7967,$A62)))</f>
        <v/>
      </c>
      <c r="M62" s="33" t="str">
        <f ca="1">IF($A62="","",IF(INDEX(Sheet!AO$2:AO$7967,$A62)="","",INDEX(Sheet!AO$2:AO$7967,$A62)))</f>
        <v/>
      </c>
      <c r="N62" s="33" t="str">
        <f ca="1">IF($A62="","",IF(INDEX(Sheet!T$2:T$7967,$A62)="","",INDEX(Sheet!T$2:T$7967,$A62)))</f>
        <v/>
      </c>
      <c r="O62" s="33" t="str">
        <f ca="1">IF($A62="","",IF(INDEX(Sheet!U$2:U$7967,$A62)="","",INDEX(Sheet!U$2:U$7967,$A62)))</f>
        <v/>
      </c>
      <c r="P62" s="33" t="str">
        <f ca="1">IF($A62="","",IF(INDEX(Sheet!W$2:W$7967,$A62)="","",INDEX(Sheet!W$2:W$7967,$A62)))</f>
        <v/>
      </c>
      <c r="Q62" s="33" t="str">
        <f ca="1">IF($A62="","",IF(INDEX(Sheet!V$2:V$7967,$A62)="","",INDEX(Sheet!V$2:V$7967,$A62)))</f>
        <v/>
      </c>
      <c r="R62" s="33" t="str">
        <f ca="1">IF($A62="","",IF(INDEX(Sheet!Z$2:Z$7967,$A62)="","",INDEX(Sheet!Z$2:Z$7967,$A62)))</f>
        <v/>
      </c>
      <c r="S62" s="33" t="str">
        <f ca="1">IF($A62="","",IF(INDEX(Sheet!Y$2:Y$7967,$A62)="","",INDEX(Sheet!Y$2:Y$7967,$A62)))</f>
        <v/>
      </c>
      <c r="T62" s="33" t="str">
        <f ca="1">IF($A62="","",IF(INDEX(Sheet!X$2:X$7967,$A62)="","",INDEX(Sheet!X$2:X$7967,$A62)))</f>
        <v/>
      </c>
      <c r="U62" s="33" t="str">
        <f ca="1">IF($A62="","",IF(INDEX(Sheet!AA$2:AA$7967,$A62)="","",INDEX(Sheet!AA$2:AA$7967,$A62)))</f>
        <v/>
      </c>
      <c r="V62" s="33" t="str">
        <f ca="1">IF($A62="","",IF(INDEX(Sheet!AB$2:AB$7967,$A62)="","",INDEX(Sheet!AB$2:AB$7967,$A62)))</f>
        <v/>
      </c>
      <c r="W62" s="33" t="str">
        <f ca="1">IF($A62="","",IF(INDEX(Sheet!AH$2:AH$7967,$A62)="","",INDEX(Sheet!AH$2:AH$7967,$A62)))</f>
        <v/>
      </c>
      <c r="X62" s="33" t="str">
        <f ca="1">IF($A62="","",IF(INDEX(Sheet!AC$2:AC$7967,$A62)="","",INDEX(Sheet!AC$2:AC$7967,$A62)))</f>
        <v/>
      </c>
      <c r="Y62" s="33" t="str">
        <f ca="1">IF($A62="","",IF(INDEX(Sheet!AD$2:AD$7967,$A62)="","",INDEX(Sheet!AD$2:AD$7967,$A62)))</f>
        <v/>
      </c>
      <c r="Z62" s="33" t="str">
        <f ca="1">IF($A62="","",IF(INDEX(Sheet!AL$2:AL$7967,$A62)="","",INDEX(Sheet!AL$2:AL$7967,$A62)))</f>
        <v/>
      </c>
      <c r="AA62" s="33" t="str">
        <f ca="1">IF($A62="","",IF(INDEX(Sheet!AE$2:AE$7967,$A62)="","",INDEX(Sheet!AE$2:AE$7967,$A62)))</f>
        <v/>
      </c>
      <c r="AB62" s="33" t="str">
        <f ca="1">IF($A62="","",IF(INDEX(Sheet!AF$2:AF$7967,$A62)="","",INDEX(Sheet!AF$2:AF$7967,$A62)))</f>
        <v/>
      </c>
      <c r="AC62" s="33" t="str">
        <f ca="1">IF($A62="","",IF(INDEX(Sheet!AG$2:AG$7967,$A62)="","",INDEX(Sheet!AG$2:AG$7967,$A62)))</f>
        <v/>
      </c>
      <c r="AD62" s="33" t="str">
        <f ca="1">IF($A62="","",IF(INDEX(Sheet!AM$2:AM$7967,$A62)="","",INDEX(Sheet!AM$2:AM$7967,$A62)))</f>
        <v/>
      </c>
      <c r="AE62" s="33" t="str">
        <f ca="1">IF($A62="","",IF(INDEX(Sheet!AJ$2:AJ$7967,$A62)="","",INDEX(Sheet!AJ$2:AJ$7967,$A62)))</f>
        <v/>
      </c>
      <c r="AF62" s="33" t="str">
        <f ca="1">IF($A62="","",IF(INDEX(Sheet!AI$2:AI$7967,$A62)="","",INDEX(Sheet!AI$2:AI$7967,$A62)))</f>
        <v/>
      </c>
      <c r="AG62" s="33" t="str">
        <f ca="1">IF(D62="duyệt sản xuất"," Bảo Bảo, Ngày "&amp;DAY($J$4)&amp;" Tháng "&amp;MONTH($J$4)&amp;" Năm "&amp;YEAR($J$4),IF(D62="Phê duyệt","NGƯỜI LẬP",IF(D62="Nguyễn Ngọc Thắng","NGUYỄN THỊ MAI",IF($A62="","",INDEX(Sheet!AK$2:AK$7967,$A62)))))</f>
        <v/>
      </c>
      <c r="AH62" s="58" t="str">
        <f ca="1">IF($A62="","",INDEX(Sheet!AR$2:AR$7967,$A62)&amp;" ; "&amp;INDEX(Sheet!M$2:M$7967,$A62))</f>
        <v/>
      </c>
      <c r="AI62" s="1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G62" s="35" t="str">
        <f ca="1">IFERROR(VALUE(separ(INDEX(Sheet!Q$2:Q$7967,$A62),"-",1)),"")</f>
        <v/>
      </c>
      <c r="BH62" s="35" t="str">
        <f ca="1">IFERROR(VALUE(separ(INDEX(Sheet!R$2:R$7967,$A62),"-",1)),"")</f>
        <v/>
      </c>
      <c r="BI62" s="35" t="str">
        <f ca="1">IFERROR(VALUE(separ(INDEX(Sheet!S$2:S$7967,$A62),"-",1)),"")</f>
        <v/>
      </c>
      <c r="BJ62" s="35" t="str">
        <f ca="1">IFERROR(VALUE(separ(INDEX(Sheet!T$2:T$7967,$A62),"-",1)),"")</f>
        <v/>
      </c>
      <c r="BK62" s="35" t="str">
        <f ca="1">IFERROR(VALUE(separ(INDEX(Sheet!U$2:U$7967,$A62),"-",1)),"")</f>
        <v/>
      </c>
      <c r="BL62" s="35" t="str">
        <f ca="1">IFERROR(VALUE(separ(INDEX(Sheet!V$2:V$7967,$A62),"-",1)),"")</f>
        <v/>
      </c>
      <c r="BM62" s="35" t="str">
        <f ca="1">IFERROR(VALUE(separ(INDEX(Sheet!W$2:W$7967,$A62),"-",1)),"")</f>
        <v/>
      </c>
      <c r="BN62" s="35" t="str">
        <f ca="1">IFERROR(VALUE(separ(INDEX(Sheet!X$2:X$7967,$A62),"-",1)),"")</f>
        <v/>
      </c>
      <c r="BO62" s="35" t="str">
        <f ca="1">IFERROR(VALUE(separ(INDEX(Sheet!Y$2:Y$7967,$A62),"-",1)),"")</f>
        <v/>
      </c>
      <c r="BP62" s="35" t="str">
        <f ca="1">IFERROR(VALUE(separ(INDEX(Sheet!Z$2:Z$7967,$A62),"-",1)),"")</f>
        <v/>
      </c>
      <c r="BQ62" s="35" t="str">
        <f ca="1">IFERROR(VALUE(separ(INDEX(Sheet!AA$2:AA$7967,$A62),"-",1)),"")</f>
        <v/>
      </c>
      <c r="BR62" s="35" t="str">
        <f ca="1">IFERROR(VALUE(separ(INDEX(Sheet!AB$2:AB$7967,$A62),"-",1)),"")</f>
        <v/>
      </c>
      <c r="BS62" s="35" t="str">
        <f ca="1">IFERROR(VALUE(separ(INDEX(Sheet!AC$2:AC$7967,$A62),"-",1)),"")</f>
        <v/>
      </c>
      <c r="BT62" s="35" t="str">
        <f ca="1">IFERROR(VALUE(separ(INDEX(Sheet!AD$2:AD$7967,$A62),"-",1)),"")</f>
        <v/>
      </c>
      <c r="BU62" s="35" t="str">
        <f ca="1">IFERROR(VALUE(separ(INDEX(Sheet!AE$2:AE$7967,$A62),"-",1)),"")</f>
        <v/>
      </c>
      <c r="BV62" s="35"/>
      <c r="BW62" s="35" t="str">
        <f ca="1">IFERROR((separ(INDEX(Sheet!Q$2:Q$7967,$A62),"-",2)),"")</f>
        <v/>
      </c>
      <c r="BX62" s="35" t="str">
        <f ca="1">IFERROR((separ(INDEX(Sheet!R$2:R$7967,$A62),"-",2)),"")</f>
        <v/>
      </c>
      <c r="BY62" s="35" t="str">
        <f ca="1">IFERROR((separ(INDEX(Sheet!S$2:S$7967,$A62),"-",2)),"")</f>
        <v/>
      </c>
      <c r="BZ62" s="35" t="str">
        <f ca="1">IFERROR((separ(INDEX(Sheet!T$2:T$7967,$A62),"-",2)),"")</f>
        <v/>
      </c>
      <c r="CA62" s="35" t="str">
        <f ca="1">IFERROR((separ(INDEX(Sheet!U$2:U$7967,$A62),"-",2)),"")</f>
        <v/>
      </c>
      <c r="CB62" s="35" t="str">
        <f ca="1">IFERROR((separ(INDEX(Sheet!V$2:V$7967,$A62),"-",2)),"")</f>
        <v/>
      </c>
      <c r="CC62" s="35" t="str">
        <f ca="1">IFERROR((separ(INDEX(Sheet!W$2:W$7967,$A62),"-",2)),"")</f>
        <v/>
      </c>
      <c r="CD62" s="35" t="str">
        <f ca="1">IFERROR((separ(INDEX(Sheet!X$2:X$7967,$A62),"-",2)),"")</f>
        <v/>
      </c>
      <c r="CE62" s="35" t="str">
        <f ca="1">IFERROR((separ(INDEX(Sheet!Y$2:Y$7967,$A62),"-",2)),"")</f>
        <v/>
      </c>
      <c r="CF62" s="35" t="str">
        <f ca="1">IFERROR((separ(INDEX(Sheet!Z$2:Z$7967,$A62),"-",2)),"")</f>
        <v/>
      </c>
      <c r="CG62" s="35" t="str">
        <f ca="1">IFERROR((separ(INDEX(Sheet!AA$2:AA$7967,$A62),"-",2)),"")</f>
        <v/>
      </c>
      <c r="CH62" s="35" t="str">
        <f ca="1">IFERROR((separ(INDEX(Sheet!AB$2:AB$7967,$A62),"-",2)),"")</f>
        <v/>
      </c>
      <c r="CI62" s="35" t="str">
        <f ca="1">IFERROR((separ(INDEX(Sheet!AC$2:AC$7967,$A62),"-",2)),"")</f>
        <v/>
      </c>
      <c r="CJ62" s="35" t="str">
        <f ca="1">IFERROR((separ(INDEX(Sheet!AD$2:AD$7967,$A62),"-",2)),"")</f>
        <v/>
      </c>
      <c r="CK62" s="35" t="str">
        <f ca="1">IFERROR((separ(INDEX(Sheet!AE$2:AE$7967,$A62),"-",2)),"")</f>
        <v/>
      </c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</row>
    <row r="63" spans="1:104" s="29" customFormat="1">
      <c r="A63" s="45" t="str">
        <f ca="1">IFERROR(MATCH($B$3,OFFSET(Sheet!$D$2,A62,0):'Sheet'!$D$7657,0)+A62,"")</f>
        <v/>
      </c>
      <c r="B63" s="29" t="str">
        <f ca="1">IF(ROW(A56)&lt;=COUNT($A$6:$A$800),INDEX(Sheet!$A$2:$A$7967,$A63),IF(ROW(A56)=COUNT($A$6:$A$800)+1," ",IF(ROW(A56)=COUNT($A$6:$A$800)+2,"  ","")))</f>
        <v/>
      </c>
      <c r="C63" s="67" t="str">
        <f ca="1">IF($A63="","",INDEX(Sheet!E$2:E$7967,$A63))</f>
        <v/>
      </c>
      <c r="D63" s="31" t="str">
        <f ca="1">IF(B60=" ",$AR$1,IF(B63=" ",$AQ$1,IF(A63="","",INDEX(Sheet!G$2:G$7967,$A63))))</f>
        <v/>
      </c>
      <c r="E63" s="32" t="str">
        <f ca="1">IF($A63="","",TEXT(INDEX(Sheet!J$2:J$7967,$A63),"#,#")&amp;" "&amp;INDEX(Sheet!AT$2:AT$7967,$A63))</f>
        <v/>
      </c>
      <c r="F63" s="53" t="str">
        <f ca="1">IF($A63="","",INDEX(Sheet!F$2:F$7967,$A63))</f>
        <v/>
      </c>
      <c r="G63" s="32" t="str">
        <f ca="1">IF($A63="","",INDEX(Sheet!I$2:I$7967,$A63))</f>
        <v/>
      </c>
      <c r="H63" s="32" t="str">
        <f ca="1">IF($A63="","",INDEX(Sheet!L$2:L$7967,$A63))</f>
        <v/>
      </c>
      <c r="I63" s="32" t="str">
        <f ca="1">IF($A63="","",INDEX(Sheet!N$2:N$7967,$A63))</f>
        <v/>
      </c>
      <c r="J63" s="53" t="str">
        <f ca="1">IF($A63="","",INDEX(Sheet!AS$2:AS$7967,$A63))</f>
        <v/>
      </c>
      <c r="K63" s="33" t="str">
        <f ca="1">IF($A63="","",IF(INDEX(Sheet!S$2:S$7967,$A63)="","",INDEX(Sheet!S$2:S$7967,$A63)))</f>
        <v/>
      </c>
      <c r="L63" s="33" t="str">
        <f ca="1">IF($A63="","",IF(INDEX(Sheet!R$2:R$7967,$A63)="","",INDEX(Sheet!R$2:R$7967,$A63)))</f>
        <v/>
      </c>
      <c r="M63" s="33" t="str">
        <f ca="1">IF($A63="","",IF(INDEX(Sheet!AO$2:AO$7967,$A63)="","",INDEX(Sheet!AO$2:AO$7967,$A63)))</f>
        <v/>
      </c>
      <c r="N63" s="33" t="str">
        <f ca="1">IF($A63="","",IF(INDEX(Sheet!T$2:T$7967,$A63)="","",INDEX(Sheet!T$2:T$7967,$A63)))</f>
        <v/>
      </c>
      <c r="O63" s="33" t="str">
        <f ca="1">IF($A63="","",IF(INDEX(Sheet!U$2:U$7967,$A63)="","",INDEX(Sheet!U$2:U$7967,$A63)))</f>
        <v/>
      </c>
      <c r="P63" s="33" t="str">
        <f ca="1">IF($A63="","",IF(INDEX(Sheet!W$2:W$7967,$A63)="","",INDEX(Sheet!W$2:W$7967,$A63)))</f>
        <v/>
      </c>
      <c r="Q63" s="33" t="str">
        <f ca="1">IF($A63="","",IF(INDEX(Sheet!V$2:V$7967,$A63)="","",INDEX(Sheet!V$2:V$7967,$A63)))</f>
        <v/>
      </c>
      <c r="R63" s="33" t="str">
        <f ca="1">IF($A63="","",IF(INDEX(Sheet!Z$2:Z$7967,$A63)="","",INDEX(Sheet!Z$2:Z$7967,$A63)))</f>
        <v/>
      </c>
      <c r="S63" s="33" t="str">
        <f ca="1">IF($A63="","",IF(INDEX(Sheet!Y$2:Y$7967,$A63)="","",INDEX(Sheet!Y$2:Y$7967,$A63)))</f>
        <v/>
      </c>
      <c r="T63" s="33" t="str">
        <f ca="1">IF($A63="","",IF(INDEX(Sheet!X$2:X$7967,$A63)="","",INDEX(Sheet!X$2:X$7967,$A63)))</f>
        <v/>
      </c>
      <c r="U63" s="33" t="str">
        <f ca="1">IF($A63="","",IF(INDEX(Sheet!AA$2:AA$7967,$A63)="","",INDEX(Sheet!AA$2:AA$7967,$A63)))</f>
        <v/>
      </c>
      <c r="V63" s="33" t="str">
        <f ca="1">IF($A63="","",IF(INDEX(Sheet!AB$2:AB$7967,$A63)="","",INDEX(Sheet!AB$2:AB$7967,$A63)))</f>
        <v/>
      </c>
      <c r="W63" s="33" t="str">
        <f ca="1">IF($A63="","",IF(INDEX(Sheet!AH$2:AH$7967,$A63)="","",INDEX(Sheet!AH$2:AH$7967,$A63)))</f>
        <v/>
      </c>
      <c r="X63" s="33" t="str">
        <f ca="1">IF($A63="","",IF(INDEX(Sheet!AC$2:AC$7967,$A63)="","",INDEX(Sheet!AC$2:AC$7967,$A63)))</f>
        <v/>
      </c>
      <c r="Y63" s="33" t="str">
        <f ca="1">IF($A63="","",IF(INDEX(Sheet!AD$2:AD$7967,$A63)="","",INDEX(Sheet!AD$2:AD$7967,$A63)))</f>
        <v/>
      </c>
      <c r="Z63" s="33" t="str">
        <f ca="1">IF($A63="","",IF(INDEX(Sheet!AL$2:AL$7967,$A63)="","",INDEX(Sheet!AL$2:AL$7967,$A63)))</f>
        <v/>
      </c>
      <c r="AA63" s="33" t="str">
        <f ca="1">IF($A63="","",IF(INDEX(Sheet!AE$2:AE$7967,$A63)="","",INDEX(Sheet!AE$2:AE$7967,$A63)))</f>
        <v/>
      </c>
      <c r="AB63" s="33" t="str">
        <f ca="1">IF($A63="","",IF(INDEX(Sheet!AF$2:AF$7967,$A63)="","",INDEX(Sheet!AF$2:AF$7967,$A63)))</f>
        <v/>
      </c>
      <c r="AC63" s="33" t="str">
        <f ca="1">IF($A63="","",IF(INDEX(Sheet!AG$2:AG$7967,$A63)="","",INDEX(Sheet!AG$2:AG$7967,$A63)))</f>
        <v/>
      </c>
      <c r="AD63" s="33" t="str">
        <f ca="1">IF($A63="","",IF(INDEX(Sheet!AM$2:AM$7967,$A63)="","",INDEX(Sheet!AM$2:AM$7967,$A63)))</f>
        <v/>
      </c>
      <c r="AE63" s="33" t="str">
        <f ca="1">IF($A63="","",IF(INDEX(Sheet!AJ$2:AJ$7967,$A63)="","",INDEX(Sheet!AJ$2:AJ$7967,$A63)))</f>
        <v/>
      </c>
      <c r="AF63" s="33" t="str">
        <f ca="1">IF($A63="","",IF(INDEX(Sheet!AI$2:AI$7967,$A63)="","",INDEX(Sheet!AI$2:AI$7967,$A63)))</f>
        <v/>
      </c>
      <c r="AG63" s="33" t="str">
        <f ca="1">IF(D63="duyệt sản xuất"," Bảo Bảo, Ngày "&amp;DAY($J$4)&amp;" Tháng "&amp;MONTH($J$4)&amp;" Năm "&amp;YEAR($J$4),IF(D63="Phê duyệt","NGƯỜI LẬP",IF(D63="Nguyễn Ngọc Thắng","NGUYỄN THỊ MAI",IF($A63="","",INDEX(Sheet!AK$2:AK$7967,$A63)))))</f>
        <v/>
      </c>
      <c r="AH63" s="58" t="str">
        <f ca="1">IF($A63="","",INDEX(Sheet!AR$2:AR$7967,$A63)&amp;" ; "&amp;INDEX(Sheet!M$2:M$7967,$A63))</f>
        <v/>
      </c>
      <c r="AI63" s="1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G63" s="35" t="str">
        <f ca="1">IFERROR(VALUE(separ(INDEX(Sheet!Q$2:Q$7967,$A63),"-",1)),"")</f>
        <v/>
      </c>
      <c r="BH63" s="35" t="str">
        <f ca="1">IFERROR(VALUE(separ(INDEX(Sheet!R$2:R$7967,$A63),"-",1)),"")</f>
        <v/>
      </c>
      <c r="BI63" s="35" t="str">
        <f ca="1">IFERROR(VALUE(separ(INDEX(Sheet!S$2:S$7967,$A63),"-",1)),"")</f>
        <v/>
      </c>
      <c r="BJ63" s="35" t="str">
        <f ca="1">IFERROR(VALUE(separ(INDEX(Sheet!T$2:T$7967,$A63),"-",1)),"")</f>
        <v/>
      </c>
      <c r="BK63" s="35" t="str">
        <f ca="1">IFERROR(VALUE(separ(INDEX(Sheet!U$2:U$7967,$A63),"-",1)),"")</f>
        <v/>
      </c>
      <c r="BL63" s="35" t="str">
        <f ca="1">IFERROR(VALUE(separ(INDEX(Sheet!V$2:V$7967,$A63),"-",1)),"")</f>
        <v/>
      </c>
      <c r="BM63" s="35" t="str">
        <f ca="1">IFERROR(VALUE(separ(INDEX(Sheet!W$2:W$7967,$A63),"-",1)),"")</f>
        <v/>
      </c>
      <c r="BN63" s="35" t="str">
        <f ca="1">IFERROR(VALUE(separ(INDEX(Sheet!X$2:X$7967,$A63),"-",1)),"")</f>
        <v/>
      </c>
      <c r="BO63" s="35" t="str">
        <f ca="1">IFERROR(VALUE(separ(INDEX(Sheet!Y$2:Y$7967,$A63),"-",1)),"")</f>
        <v/>
      </c>
      <c r="BP63" s="35" t="str">
        <f ca="1">IFERROR(VALUE(separ(INDEX(Sheet!Z$2:Z$7967,$A63),"-",1)),"")</f>
        <v/>
      </c>
      <c r="BQ63" s="35" t="str">
        <f ca="1">IFERROR(VALUE(separ(INDEX(Sheet!AA$2:AA$7967,$A63),"-",1)),"")</f>
        <v/>
      </c>
      <c r="BR63" s="35" t="str">
        <f ca="1">IFERROR(VALUE(separ(INDEX(Sheet!AB$2:AB$7967,$A63),"-",1)),"")</f>
        <v/>
      </c>
      <c r="BS63" s="35" t="str">
        <f ca="1">IFERROR(VALUE(separ(INDEX(Sheet!AC$2:AC$7967,$A63),"-",1)),"")</f>
        <v/>
      </c>
      <c r="BT63" s="35" t="str">
        <f ca="1">IFERROR(VALUE(separ(INDEX(Sheet!AD$2:AD$7967,$A63),"-",1)),"")</f>
        <v/>
      </c>
      <c r="BU63" s="35" t="str">
        <f ca="1">IFERROR(VALUE(separ(INDEX(Sheet!AE$2:AE$7967,$A63),"-",1)),"")</f>
        <v/>
      </c>
      <c r="BV63" s="35"/>
      <c r="BW63" s="35" t="str">
        <f ca="1">IFERROR((separ(INDEX(Sheet!Q$2:Q$7967,$A63),"-",2)),"")</f>
        <v/>
      </c>
      <c r="BX63" s="35" t="str">
        <f ca="1">IFERROR((separ(INDEX(Sheet!R$2:R$7967,$A63),"-",2)),"")</f>
        <v/>
      </c>
      <c r="BY63" s="35" t="str">
        <f ca="1">IFERROR((separ(INDEX(Sheet!S$2:S$7967,$A63),"-",2)),"")</f>
        <v/>
      </c>
      <c r="BZ63" s="35" t="str">
        <f ca="1">IFERROR((separ(INDEX(Sheet!T$2:T$7967,$A63),"-",2)),"")</f>
        <v/>
      </c>
      <c r="CA63" s="35" t="str">
        <f ca="1">IFERROR((separ(INDEX(Sheet!U$2:U$7967,$A63),"-",2)),"")</f>
        <v/>
      </c>
      <c r="CB63" s="35" t="str">
        <f ca="1">IFERROR((separ(INDEX(Sheet!V$2:V$7967,$A63),"-",2)),"")</f>
        <v/>
      </c>
      <c r="CC63" s="35" t="str">
        <f ca="1">IFERROR((separ(INDEX(Sheet!W$2:W$7967,$A63),"-",2)),"")</f>
        <v/>
      </c>
      <c r="CD63" s="35" t="str">
        <f ca="1">IFERROR((separ(INDEX(Sheet!X$2:X$7967,$A63),"-",2)),"")</f>
        <v/>
      </c>
      <c r="CE63" s="35" t="str">
        <f ca="1">IFERROR((separ(INDEX(Sheet!Y$2:Y$7967,$A63),"-",2)),"")</f>
        <v/>
      </c>
      <c r="CF63" s="35" t="str">
        <f ca="1">IFERROR((separ(INDEX(Sheet!Z$2:Z$7967,$A63),"-",2)),"")</f>
        <v/>
      </c>
      <c r="CG63" s="35" t="str">
        <f ca="1">IFERROR((separ(INDEX(Sheet!AA$2:AA$7967,$A63),"-",2)),"")</f>
        <v/>
      </c>
      <c r="CH63" s="35" t="str">
        <f ca="1">IFERROR((separ(INDEX(Sheet!AB$2:AB$7967,$A63),"-",2)),"")</f>
        <v/>
      </c>
      <c r="CI63" s="35" t="str">
        <f ca="1">IFERROR((separ(INDEX(Sheet!AC$2:AC$7967,$A63),"-",2)),"")</f>
        <v/>
      </c>
      <c r="CJ63" s="35" t="str">
        <f ca="1">IFERROR((separ(INDEX(Sheet!AD$2:AD$7967,$A63),"-",2)),"")</f>
        <v/>
      </c>
      <c r="CK63" s="35" t="str">
        <f ca="1">IFERROR((separ(INDEX(Sheet!AE$2:AE$7967,$A63),"-",2)),"")</f>
        <v/>
      </c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</row>
    <row r="64" spans="1:104" s="29" customFormat="1">
      <c r="A64" s="45" t="str">
        <f ca="1">IFERROR(MATCH($B$3,OFFSET(Sheet!$D$2,A63,0):'Sheet'!$D$7657,0)+A63,"")</f>
        <v/>
      </c>
      <c r="B64" s="29" t="str">
        <f ca="1">IF(ROW(A57)&lt;=COUNT($A$6:$A$800),INDEX(Sheet!$A$2:$A$7967,$A64),IF(ROW(A57)=COUNT($A$6:$A$800)+1," ",IF(ROW(A57)=COUNT($A$6:$A$800)+2,"  ","")))</f>
        <v/>
      </c>
      <c r="C64" s="67" t="str">
        <f ca="1">IF($A64="","",INDEX(Sheet!E$2:E$7967,$A64))</f>
        <v/>
      </c>
      <c r="D64" s="31" t="str">
        <f ca="1">IF(B61=" ",$AR$1,IF(B64=" ",$AQ$1,IF(A64="","",INDEX(Sheet!G$2:G$7967,$A64))))</f>
        <v/>
      </c>
      <c r="E64" s="32" t="str">
        <f ca="1">IF($A64="","",TEXT(INDEX(Sheet!J$2:J$7967,$A64),"#,#")&amp;" "&amp;INDEX(Sheet!AT$2:AT$7967,$A64))</f>
        <v/>
      </c>
      <c r="F64" s="53" t="str">
        <f ca="1">IF($A64="","",INDEX(Sheet!F$2:F$7967,$A64))</f>
        <v/>
      </c>
      <c r="G64" s="32" t="str">
        <f ca="1">IF($A64="","",INDEX(Sheet!I$2:I$7967,$A64))</f>
        <v/>
      </c>
      <c r="H64" s="32" t="str">
        <f ca="1">IF($A64="","",INDEX(Sheet!L$2:L$7967,$A64))</f>
        <v/>
      </c>
      <c r="I64" s="32" t="str">
        <f ca="1">IF($A64="","",INDEX(Sheet!N$2:N$7967,$A64))</f>
        <v/>
      </c>
      <c r="J64" s="53" t="str">
        <f ca="1">IF($A64="","",INDEX(Sheet!AS$2:AS$7967,$A64))</f>
        <v/>
      </c>
      <c r="K64" s="33" t="str">
        <f ca="1">IF($A64="","",IF(INDEX(Sheet!S$2:S$7967,$A64)="","",INDEX(Sheet!S$2:S$7967,$A64)))</f>
        <v/>
      </c>
      <c r="L64" s="33" t="str">
        <f ca="1">IF($A64="","",IF(INDEX(Sheet!R$2:R$7967,$A64)="","",INDEX(Sheet!R$2:R$7967,$A64)))</f>
        <v/>
      </c>
      <c r="M64" s="33" t="str">
        <f ca="1">IF($A64="","",IF(INDEX(Sheet!AO$2:AO$7967,$A64)="","",INDEX(Sheet!AO$2:AO$7967,$A64)))</f>
        <v/>
      </c>
      <c r="N64" s="33" t="str">
        <f ca="1">IF($A64="","",IF(INDEX(Sheet!T$2:T$7967,$A64)="","",INDEX(Sheet!T$2:T$7967,$A64)))</f>
        <v/>
      </c>
      <c r="O64" s="33" t="str">
        <f ca="1">IF($A64="","",IF(INDEX(Sheet!U$2:U$7967,$A64)="","",INDEX(Sheet!U$2:U$7967,$A64)))</f>
        <v/>
      </c>
      <c r="P64" s="33" t="str">
        <f ca="1">IF($A64="","",IF(INDEX(Sheet!W$2:W$7967,$A64)="","",INDEX(Sheet!W$2:W$7967,$A64)))</f>
        <v/>
      </c>
      <c r="Q64" s="33" t="str">
        <f ca="1">IF($A64="","",IF(INDEX(Sheet!V$2:V$7967,$A64)="","",INDEX(Sheet!V$2:V$7967,$A64)))</f>
        <v/>
      </c>
      <c r="R64" s="33" t="str">
        <f ca="1">IF($A64="","",IF(INDEX(Sheet!Z$2:Z$7967,$A64)="","",INDEX(Sheet!Z$2:Z$7967,$A64)))</f>
        <v/>
      </c>
      <c r="S64" s="33" t="str">
        <f ca="1">IF($A64="","",IF(INDEX(Sheet!Y$2:Y$7967,$A64)="","",INDEX(Sheet!Y$2:Y$7967,$A64)))</f>
        <v/>
      </c>
      <c r="T64" s="33" t="str">
        <f ca="1">IF($A64="","",IF(INDEX(Sheet!X$2:X$7967,$A64)="","",INDEX(Sheet!X$2:X$7967,$A64)))</f>
        <v/>
      </c>
      <c r="U64" s="33" t="str">
        <f ca="1">IF($A64="","",IF(INDEX(Sheet!AA$2:AA$7967,$A64)="","",INDEX(Sheet!AA$2:AA$7967,$A64)))</f>
        <v/>
      </c>
      <c r="V64" s="33" t="str">
        <f ca="1">IF($A64="","",IF(INDEX(Sheet!AB$2:AB$7967,$A64)="","",INDEX(Sheet!AB$2:AB$7967,$A64)))</f>
        <v/>
      </c>
      <c r="W64" s="33" t="str">
        <f ca="1">IF($A64="","",IF(INDEX(Sheet!AH$2:AH$7967,$A64)="","",INDEX(Sheet!AH$2:AH$7967,$A64)))</f>
        <v/>
      </c>
      <c r="X64" s="33" t="str">
        <f ca="1">IF($A64="","",IF(INDEX(Sheet!AC$2:AC$7967,$A64)="","",INDEX(Sheet!AC$2:AC$7967,$A64)))</f>
        <v/>
      </c>
      <c r="Y64" s="33" t="str">
        <f ca="1">IF($A64="","",IF(INDEX(Sheet!AD$2:AD$7967,$A64)="","",INDEX(Sheet!AD$2:AD$7967,$A64)))</f>
        <v/>
      </c>
      <c r="Z64" s="33" t="str">
        <f ca="1">IF($A64="","",IF(INDEX(Sheet!AL$2:AL$7967,$A64)="","",INDEX(Sheet!AL$2:AL$7967,$A64)))</f>
        <v/>
      </c>
      <c r="AA64" s="33" t="str">
        <f ca="1">IF($A64="","",IF(INDEX(Sheet!AE$2:AE$7967,$A64)="","",INDEX(Sheet!AE$2:AE$7967,$A64)))</f>
        <v/>
      </c>
      <c r="AB64" s="33" t="str">
        <f ca="1">IF($A64="","",IF(INDEX(Sheet!AF$2:AF$7967,$A64)="","",INDEX(Sheet!AF$2:AF$7967,$A64)))</f>
        <v/>
      </c>
      <c r="AC64" s="33" t="str">
        <f ca="1">IF($A64="","",IF(INDEX(Sheet!AG$2:AG$7967,$A64)="","",INDEX(Sheet!AG$2:AG$7967,$A64)))</f>
        <v/>
      </c>
      <c r="AD64" s="33" t="str">
        <f ca="1">IF($A64="","",IF(INDEX(Sheet!AM$2:AM$7967,$A64)="","",INDEX(Sheet!AM$2:AM$7967,$A64)))</f>
        <v/>
      </c>
      <c r="AE64" s="33" t="str">
        <f ca="1">IF($A64="","",IF(INDEX(Sheet!AJ$2:AJ$7967,$A64)="","",INDEX(Sheet!AJ$2:AJ$7967,$A64)))</f>
        <v/>
      </c>
      <c r="AF64" s="33" t="str">
        <f ca="1">IF($A64="","",IF(INDEX(Sheet!AI$2:AI$7967,$A64)="","",INDEX(Sheet!AI$2:AI$7967,$A64)))</f>
        <v/>
      </c>
      <c r="AG64" s="33" t="str">
        <f ca="1">IF(D64="duyệt sản xuất"," Bảo Bảo, Ngày "&amp;DAY($J$4)&amp;" Tháng "&amp;MONTH($J$4)&amp;" Năm "&amp;YEAR($J$4),IF(D64="Phê duyệt","NGƯỜI LẬP",IF(D64="Nguyễn Ngọc Thắng","NGUYỄN THỊ MAI",IF($A64="","",INDEX(Sheet!AK$2:AK$7967,$A64)))))</f>
        <v/>
      </c>
      <c r="AH64" s="58" t="str">
        <f ca="1">IF($A64="","",INDEX(Sheet!AR$2:AR$7967,$A64)&amp;" ; "&amp;INDEX(Sheet!M$2:M$7967,$A64))</f>
        <v/>
      </c>
      <c r="AI64" s="1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G64" s="35" t="str">
        <f ca="1">IFERROR(VALUE(separ(INDEX(Sheet!Q$2:Q$7967,$A64),"-",1)),"")</f>
        <v/>
      </c>
      <c r="BH64" s="35" t="str">
        <f ca="1">IFERROR(VALUE(separ(INDEX(Sheet!R$2:R$7967,$A64),"-",1)),"")</f>
        <v/>
      </c>
      <c r="BI64" s="35" t="str">
        <f ca="1">IFERROR(VALUE(separ(INDEX(Sheet!S$2:S$7967,$A64),"-",1)),"")</f>
        <v/>
      </c>
      <c r="BJ64" s="35" t="str">
        <f ca="1">IFERROR(VALUE(separ(INDEX(Sheet!T$2:T$7967,$A64),"-",1)),"")</f>
        <v/>
      </c>
      <c r="BK64" s="35" t="str">
        <f ca="1">IFERROR(VALUE(separ(INDEX(Sheet!U$2:U$7967,$A64),"-",1)),"")</f>
        <v/>
      </c>
      <c r="BL64" s="35" t="str">
        <f ca="1">IFERROR(VALUE(separ(INDEX(Sheet!V$2:V$7967,$A64),"-",1)),"")</f>
        <v/>
      </c>
      <c r="BM64" s="35" t="str">
        <f ca="1">IFERROR(VALUE(separ(INDEX(Sheet!W$2:W$7967,$A64),"-",1)),"")</f>
        <v/>
      </c>
      <c r="BN64" s="35" t="str">
        <f ca="1">IFERROR(VALUE(separ(INDEX(Sheet!X$2:X$7967,$A64),"-",1)),"")</f>
        <v/>
      </c>
      <c r="BO64" s="35" t="str">
        <f ca="1">IFERROR(VALUE(separ(INDEX(Sheet!Y$2:Y$7967,$A64),"-",1)),"")</f>
        <v/>
      </c>
      <c r="BP64" s="35" t="str">
        <f ca="1">IFERROR(VALUE(separ(INDEX(Sheet!Z$2:Z$7967,$A64),"-",1)),"")</f>
        <v/>
      </c>
      <c r="BQ64" s="35" t="str">
        <f ca="1">IFERROR(VALUE(separ(INDEX(Sheet!AA$2:AA$7967,$A64),"-",1)),"")</f>
        <v/>
      </c>
      <c r="BR64" s="35" t="str">
        <f ca="1">IFERROR(VALUE(separ(INDEX(Sheet!AB$2:AB$7967,$A64),"-",1)),"")</f>
        <v/>
      </c>
      <c r="BS64" s="35" t="str">
        <f ca="1">IFERROR(VALUE(separ(INDEX(Sheet!AC$2:AC$7967,$A64),"-",1)),"")</f>
        <v/>
      </c>
      <c r="BT64" s="35" t="str">
        <f ca="1">IFERROR(VALUE(separ(INDEX(Sheet!AD$2:AD$7967,$A64),"-",1)),"")</f>
        <v/>
      </c>
      <c r="BU64" s="35" t="str">
        <f ca="1">IFERROR(VALUE(separ(INDEX(Sheet!AE$2:AE$7967,$A64),"-",1)),"")</f>
        <v/>
      </c>
      <c r="BV64" s="35"/>
      <c r="BW64" s="35" t="str">
        <f ca="1">IFERROR((separ(INDEX(Sheet!Q$2:Q$7967,$A64),"-",2)),"")</f>
        <v/>
      </c>
      <c r="BX64" s="35" t="str">
        <f ca="1">IFERROR((separ(INDEX(Sheet!R$2:R$7967,$A64),"-",2)),"")</f>
        <v/>
      </c>
      <c r="BY64" s="35" t="str">
        <f ca="1">IFERROR((separ(INDEX(Sheet!S$2:S$7967,$A64),"-",2)),"")</f>
        <v/>
      </c>
      <c r="BZ64" s="35" t="str">
        <f ca="1">IFERROR((separ(INDEX(Sheet!T$2:T$7967,$A64),"-",2)),"")</f>
        <v/>
      </c>
      <c r="CA64" s="35" t="str">
        <f ca="1">IFERROR((separ(INDEX(Sheet!U$2:U$7967,$A64),"-",2)),"")</f>
        <v/>
      </c>
      <c r="CB64" s="35" t="str">
        <f ca="1">IFERROR((separ(INDEX(Sheet!V$2:V$7967,$A64),"-",2)),"")</f>
        <v/>
      </c>
      <c r="CC64" s="35" t="str">
        <f ca="1">IFERROR((separ(INDEX(Sheet!W$2:W$7967,$A64),"-",2)),"")</f>
        <v/>
      </c>
      <c r="CD64" s="35" t="str">
        <f ca="1">IFERROR((separ(INDEX(Sheet!X$2:X$7967,$A64),"-",2)),"")</f>
        <v/>
      </c>
      <c r="CE64" s="35" t="str">
        <f ca="1">IFERROR((separ(INDEX(Sheet!Y$2:Y$7967,$A64),"-",2)),"")</f>
        <v/>
      </c>
      <c r="CF64" s="35" t="str">
        <f ca="1">IFERROR((separ(INDEX(Sheet!Z$2:Z$7967,$A64),"-",2)),"")</f>
        <v/>
      </c>
      <c r="CG64" s="35" t="str">
        <f ca="1">IFERROR((separ(INDEX(Sheet!AA$2:AA$7967,$A64),"-",2)),"")</f>
        <v/>
      </c>
      <c r="CH64" s="35" t="str">
        <f ca="1">IFERROR((separ(INDEX(Sheet!AB$2:AB$7967,$A64),"-",2)),"")</f>
        <v/>
      </c>
      <c r="CI64" s="35" t="str">
        <f ca="1">IFERROR((separ(INDEX(Sheet!AC$2:AC$7967,$A64),"-",2)),"")</f>
        <v/>
      </c>
      <c r="CJ64" s="35" t="str">
        <f ca="1">IFERROR((separ(INDEX(Sheet!AD$2:AD$7967,$A64),"-",2)),"")</f>
        <v/>
      </c>
      <c r="CK64" s="35" t="str">
        <f ca="1">IFERROR((separ(INDEX(Sheet!AE$2:AE$7967,$A64),"-",2)),"")</f>
        <v/>
      </c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</row>
    <row r="65" spans="1:104" s="29" customFormat="1">
      <c r="A65" s="45" t="str">
        <f ca="1">IFERROR(MATCH($B$3,OFFSET(Sheet!$D$2,A64,0):'Sheet'!$D$7657,0)+A64,"")</f>
        <v/>
      </c>
      <c r="B65" s="29" t="str">
        <f ca="1">IF(ROW(A58)&lt;=COUNT($A$6:$A$800),INDEX(Sheet!$A$2:$A$7967,$A65),IF(ROW(A58)=COUNT($A$6:$A$800)+1," ",IF(ROW(A58)=COUNT($A$6:$A$800)+2,"  ","")))</f>
        <v/>
      </c>
      <c r="C65" s="67" t="str">
        <f ca="1">IF($A65="","",INDEX(Sheet!E$2:E$7967,$A65))</f>
        <v/>
      </c>
      <c r="D65" s="31" t="str">
        <f ca="1">IF(B62=" ",$AR$1,IF(B65=" ",$AQ$1,IF(A65="","",INDEX(Sheet!G$2:G$7967,$A65))))</f>
        <v/>
      </c>
      <c r="E65" s="32" t="str">
        <f ca="1">IF($A65="","",TEXT(INDEX(Sheet!J$2:J$7967,$A65),"#,#")&amp;" "&amp;INDEX(Sheet!AT$2:AT$7967,$A65))</f>
        <v/>
      </c>
      <c r="F65" s="53" t="str">
        <f ca="1">IF($A65="","",INDEX(Sheet!F$2:F$7967,$A65))</f>
        <v/>
      </c>
      <c r="G65" s="32" t="str">
        <f ca="1">IF($A65="","",INDEX(Sheet!I$2:I$7967,$A65))</f>
        <v/>
      </c>
      <c r="H65" s="32" t="str">
        <f ca="1">IF($A65="","",INDEX(Sheet!L$2:L$7967,$A65))</f>
        <v/>
      </c>
      <c r="I65" s="32" t="str">
        <f ca="1">IF($A65="","",INDEX(Sheet!N$2:N$7967,$A65))</f>
        <v/>
      </c>
      <c r="J65" s="53" t="str">
        <f ca="1">IF($A65="","",INDEX(Sheet!AS$2:AS$7967,$A65))</f>
        <v/>
      </c>
      <c r="K65" s="33" t="str">
        <f ca="1">IF($A65="","",IF(INDEX(Sheet!S$2:S$7967,$A65)="","",INDEX(Sheet!S$2:S$7967,$A65)))</f>
        <v/>
      </c>
      <c r="L65" s="33" t="str">
        <f ca="1">IF($A65="","",IF(INDEX(Sheet!R$2:R$7967,$A65)="","",INDEX(Sheet!R$2:R$7967,$A65)))</f>
        <v/>
      </c>
      <c r="M65" s="33" t="str">
        <f ca="1">IF($A65="","",IF(INDEX(Sheet!AO$2:AO$7967,$A65)="","",INDEX(Sheet!AO$2:AO$7967,$A65)))</f>
        <v/>
      </c>
      <c r="N65" s="33" t="str">
        <f ca="1">IF($A65="","",IF(INDEX(Sheet!T$2:T$7967,$A65)="","",INDEX(Sheet!T$2:T$7967,$A65)))</f>
        <v/>
      </c>
      <c r="O65" s="33" t="str">
        <f ca="1">IF($A65="","",IF(INDEX(Sheet!U$2:U$7967,$A65)="","",INDEX(Sheet!U$2:U$7967,$A65)))</f>
        <v/>
      </c>
      <c r="P65" s="33" t="str">
        <f ca="1">IF($A65="","",IF(INDEX(Sheet!W$2:W$7967,$A65)="","",INDEX(Sheet!W$2:W$7967,$A65)))</f>
        <v/>
      </c>
      <c r="Q65" s="33" t="str">
        <f ca="1">IF($A65="","",IF(INDEX(Sheet!V$2:V$7967,$A65)="","",INDEX(Sheet!V$2:V$7967,$A65)))</f>
        <v/>
      </c>
      <c r="R65" s="33" t="str">
        <f ca="1">IF($A65="","",IF(INDEX(Sheet!Z$2:Z$7967,$A65)="","",INDEX(Sheet!Z$2:Z$7967,$A65)))</f>
        <v/>
      </c>
      <c r="S65" s="33" t="str">
        <f ca="1">IF($A65="","",IF(INDEX(Sheet!Y$2:Y$7967,$A65)="","",INDEX(Sheet!Y$2:Y$7967,$A65)))</f>
        <v/>
      </c>
      <c r="T65" s="33" t="str">
        <f ca="1">IF($A65="","",IF(INDEX(Sheet!X$2:X$7967,$A65)="","",INDEX(Sheet!X$2:X$7967,$A65)))</f>
        <v/>
      </c>
      <c r="U65" s="33" t="str">
        <f ca="1">IF($A65="","",IF(INDEX(Sheet!AA$2:AA$7967,$A65)="","",INDEX(Sheet!AA$2:AA$7967,$A65)))</f>
        <v/>
      </c>
      <c r="V65" s="33" t="str">
        <f ca="1">IF($A65="","",IF(INDEX(Sheet!AB$2:AB$7967,$A65)="","",INDEX(Sheet!AB$2:AB$7967,$A65)))</f>
        <v/>
      </c>
      <c r="W65" s="33" t="str">
        <f ca="1">IF($A65="","",IF(INDEX(Sheet!AH$2:AH$7967,$A65)="","",INDEX(Sheet!AH$2:AH$7967,$A65)))</f>
        <v/>
      </c>
      <c r="X65" s="33" t="str">
        <f ca="1">IF($A65="","",IF(INDEX(Sheet!AC$2:AC$7967,$A65)="","",INDEX(Sheet!AC$2:AC$7967,$A65)))</f>
        <v/>
      </c>
      <c r="Y65" s="33" t="str">
        <f ca="1">IF($A65="","",IF(INDEX(Sheet!AD$2:AD$7967,$A65)="","",INDEX(Sheet!AD$2:AD$7967,$A65)))</f>
        <v/>
      </c>
      <c r="Z65" s="33" t="str">
        <f ca="1">IF($A65="","",IF(INDEX(Sheet!AL$2:AL$7967,$A65)="","",INDEX(Sheet!AL$2:AL$7967,$A65)))</f>
        <v/>
      </c>
      <c r="AA65" s="33" t="str">
        <f ca="1">IF($A65="","",IF(INDEX(Sheet!AE$2:AE$7967,$A65)="","",INDEX(Sheet!AE$2:AE$7967,$A65)))</f>
        <v/>
      </c>
      <c r="AB65" s="33" t="str">
        <f ca="1">IF($A65="","",IF(INDEX(Sheet!AF$2:AF$7967,$A65)="","",INDEX(Sheet!AF$2:AF$7967,$A65)))</f>
        <v/>
      </c>
      <c r="AC65" s="33" t="str">
        <f ca="1">IF($A65="","",IF(INDEX(Sheet!AG$2:AG$7967,$A65)="","",INDEX(Sheet!AG$2:AG$7967,$A65)))</f>
        <v/>
      </c>
      <c r="AD65" s="33" t="str">
        <f ca="1">IF($A65="","",IF(INDEX(Sheet!AM$2:AM$7967,$A65)="","",INDEX(Sheet!AM$2:AM$7967,$A65)))</f>
        <v/>
      </c>
      <c r="AE65" s="33" t="str">
        <f ca="1">IF($A65="","",IF(INDEX(Sheet!AJ$2:AJ$7967,$A65)="","",INDEX(Sheet!AJ$2:AJ$7967,$A65)))</f>
        <v/>
      </c>
      <c r="AF65" s="33" t="str">
        <f ca="1">IF($A65="","",IF(INDEX(Sheet!AI$2:AI$7967,$A65)="","",INDEX(Sheet!AI$2:AI$7967,$A65)))</f>
        <v/>
      </c>
      <c r="AG65" s="33" t="str">
        <f ca="1">IF(D65="duyệt sản xuất"," Bảo Bảo, Ngày "&amp;DAY($J$4)&amp;" Tháng "&amp;MONTH($J$4)&amp;" Năm "&amp;YEAR($J$4),IF(D65="Phê duyệt","NGƯỜI LẬP",IF(D65="Nguyễn Ngọc Thắng","NGUYỄN THỊ MAI",IF($A65="","",INDEX(Sheet!AK$2:AK$7967,$A65)))))</f>
        <v/>
      </c>
      <c r="AH65" s="58" t="str">
        <f ca="1">IF($A65="","",INDEX(Sheet!AR$2:AR$7967,$A65)&amp;" ; "&amp;INDEX(Sheet!M$2:M$7967,$A65))</f>
        <v/>
      </c>
      <c r="AI65" s="1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G65" s="35" t="str">
        <f ca="1">IFERROR(VALUE(separ(INDEX(Sheet!Q$2:Q$7967,$A65),"-",1)),"")</f>
        <v/>
      </c>
      <c r="BH65" s="35" t="str">
        <f ca="1">IFERROR(VALUE(separ(INDEX(Sheet!R$2:R$7967,$A65),"-",1)),"")</f>
        <v/>
      </c>
      <c r="BI65" s="35" t="str">
        <f ca="1">IFERROR(VALUE(separ(INDEX(Sheet!S$2:S$7967,$A65),"-",1)),"")</f>
        <v/>
      </c>
      <c r="BJ65" s="35" t="str">
        <f ca="1">IFERROR(VALUE(separ(INDEX(Sheet!T$2:T$7967,$A65),"-",1)),"")</f>
        <v/>
      </c>
      <c r="BK65" s="35" t="str">
        <f ca="1">IFERROR(VALUE(separ(INDEX(Sheet!U$2:U$7967,$A65),"-",1)),"")</f>
        <v/>
      </c>
      <c r="BL65" s="35" t="str">
        <f ca="1">IFERROR(VALUE(separ(INDEX(Sheet!V$2:V$7967,$A65),"-",1)),"")</f>
        <v/>
      </c>
      <c r="BM65" s="35" t="str">
        <f ca="1">IFERROR(VALUE(separ(INDEX(Sheet!W$2:W$7967,$A65),"-",1)),"")</f>
        <v/>
      </c>
      <c r="BN65" s="35" t="str">
        <f ca="1">IFERROR(VALUE(separ(INDEX(Sheet!X$2:X$7967,$A65),"-",1)),"")</f>
        <v/>
      </c>
      <c r="BO65" s="35" t="str">
        <f ca="1">IFERROR(VALUE(separ(INDEX(Sheet!Y$2:Y$7967,$A65),"-",1)),"")</f>
        <v/>
      </c>
      <c r="BP65" s="35" t="str">
        <f ca="1">IFERROR(VALUE(separ(INDEX(Sheet!Z$2:Z$7967,$A65),"-",1)),"")</f>
        <v/>
      </c>
      <c r="BQ65" s="35" t="str">
        <f ca="1">IFERROR(VALUE(separ(INDEX(Sheet!AA$2:AA$7967,$A65),"-",1)),"")</f>
        <v/>
      </c>
      <c r="BR65" s="35" t="str">
        <f ca="1">IFERROR(VALUE(separ(INDEX(Sheet!AB$2:AB$7967,$A65),"-",1)),"")</f>
        <v/>
      </c>
      <c r="BS65" s="35" t="str">
        <f ca="1">IFERROR(VALUE(separ(INDEX(Sheet!AC$2:AC$7967,$A65),"-",1)),"")</f>
        <v/>
      </c>
      <c r="BT65" s="35" t="str">
        <f ca="1">IFERROR(VALUE(separ(INDEX(Sheet!AD$2:AD$7967,$A65),"-",1)),"")</f>
        <v/>
      </c>
      <c r="BU65" s="35" t="str">
        <f ca="1">IFERROR(VALUE(separ(INDEX(Sheet!AE$2:AE$7967,$A65),"-",1)),"")</f>
        <v/>
      </c>
      <c r="BV65" s="35"/>
      <c r="BW65" s="35" t="str">
        <f ca="1">IFERROR((separ(INDEX(Sheet!Q$2:Q$7967,$A65),"-",2)),"")</f>
        <v/>
      </c>
      <c r="BX65" s="35" t="str">
        <f ca="1">IFERROR((separ(INDEX(Sheet!R$2:R$7967,$A65),"-",2)),"")</f>
        <v/>
      </c>
      <c r="BY65" s="35" t="str">
        <f ca="1">IFERROR((separ(INDEX(Sheet!S$2:S$7967,$A65),"-",2)),"")</f>
        <v/>
      </c>
      <c r="BZ65" s="35" t="str">
        <f ca="1">IFERROR((separ(INDEX(Sheet!T$2:T$7967,$A65),"-",2)),"")</f>
        <v/>
      </c>
      <c r="CA65" s="35" t="str">
        <f ca="1">IFERROR((separ(INDEX(Sheet!U$2:U$7967,$A65),"-",2)),"")</f>
        <v/>
      </c>
      <c r="CB65" s="35" t="str">
        <f ca="1">IFERROR((separ(INDEX(Sheet!V$2:V$7967,$A65),"-",2)),"")</f>
        <v/>
      </c>
      <c r="CC65" s="35" t="str">
        <f ca="1">IFERROR((separ(INDEX(Sheet!W$2:W$7967,$A65),"-",2)),"")</f>
        <v/>
      </c>
      <c r="CD65" s="35" t="str">
        <f ca="1">IFERROR((separ(INDEX(Sheet!X$2:X$7967,$A65),"-",2)),"")</f>
        <v/>
      </c>
      <c r="CE65" s="35" t="str">
        <f ca="1">IFERROR((separ(INDEX(Sheet!Y$2:Y$7967,$A65),"-",2)),"")</f>
        <v/>
      </c>
      <c r="CF65" s="35" t="str">
        <f ca="1">IFERROR((separ(INDEX(Sheet!Z$2:Z$7967,$A65),"-",2)),"")</f>
        <v/>
      </c>
      <c r="CG65" s="35" t="str">
        <f ca="1">IFERROR((separ(INDEX(Sheet!AA$2:AA$7967,$A65),"-",2)),"")</f>
        <v/>
      </c>
      <c r="CH65" s="35" t="str">
        <f ca="1">IFERROR((separ(INDEX(Sheet!AB$2:AB$7967,$A65),"-",2)),"")</f>
        <v/>
      </c>
      <c r="CI65" s="35" t="str">
        <f ca="1">IFERROR((separ(INDEX(Sheet!AC$2:AC$7967,$A65),"-",2)),"")</f>
        <v/>
      </c>
      <c r="CJ65" s="35" t="str">
        <f ca="1">IFERROR((separ(INDEX(Sheet!AD$2:AD$7967,$A65),"-",2)),"")</f>
        <v/>
      </c>
      <c r="CK65" s="35" t="str">
        <f ca="1">IFERROR((separ(INDEX(Sheet!AE$2:AE$7967,$A65),"-",2)),"")</f>
        <v/>
      </c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</row>
    <row r="66" spans="1:104" s="29" customFormat="1">
      <c r="A66" s="45" t="str">
        <f ca="1">IFERROR(MATCH($B$3,OFFSET(Sheet!$D$2,A65,0):'Sheet'!$D$7657,0)+A65,"")</f>
        <v/>
      </c>
      <c r="B66" s="29" t="str">
        <f ca="1">IF(ROW(A59)&lt;=COUNT($A$6:$A$800),INDEX(Sheet!$A$2:$A$7967,$A66),IF(ROW(A59)=COUNT($A$6:$A$800)+1," ",IF(ROW(A59)=COUNT($A$6:$A$800)+2,"  ","")))</f>
        <v/>
      </c>
      <c r="C66" s="67" t="str">
        <f ca="1">IF($A66="","",INDEX(Sheet!E$2:E$7967,$A66))</f>
        <v/>
      </c>
      <c r="D66" s="31" t="str">
        <f ca="1">IF(B63=" ",$AR$1,IF(B66=" ",$AQ$1,IF(A66="","",INDEX(Sheet!G$2:G$7967,$A66))))</f>
        <v/>
      </c>
      <c r="E66" s="32" t="str">
        <f ca="1">IF($A66="","",TEXT(INDEX(Sheet!J$2:J$7967,$A66),"#,#")&amp;" "&amp;INDEX(Sheet!AT$2:AT$7967,$A66))</f>
        <v/>
      </c>
      <c r="F66" s="53" t="str">
        <f ca="1">IF($A66="","",INDEX(Sheet!F$2:F$7967,$A66))</f>
        <v/>
      </c>
      <c r="G66" s="32" t="str">
        <f ca="1">IF($A66="","",INDEX(Sheet!I$2:I$7967,$A66))</f>
        <v/>
      </c>
      <c r="H66" s="32" t="str">
        <f ca="1">IF($A66="","",INDEX(Sheet!L$2:L$7967,$A66))</f>
        <v/>
      </c>
      <c r="I66" s="32" t="str">
        <f ca="1">IF($A66="","",INDEX(Sheet!N$2:N$7967,$A66))</f>
        <v/>
      </c>
      <c r="J66" s="53" t="str">
        <f ca="1">IF($A66="","",INDEX(Sheet!AS$2:AS$7967,$A66))</f>
        <v/>
      </c>
      <c r="K66" s="33" t="str">
        <f ca="1">IF($A66="","",IF(INDEX(Sheet!S$2:S$7967,$A66)="","",INDEX(Sheet!S$2:S$7967,$A66)))</f>
        <v/>
      </c>
      <c r="L66" s="33" t="str">
        <f ca="1">IF($A66="","",IF(INDEX(Sheet!R$2:R$7967,$A66)="","",INDEX(Sheet!R$2:R$7967,$A66)))</f>
        <v/>
      </c>
      <c r="M66" s="33" t="str">
        <f ca="1">IF($A66="","",IF(INDEX(Sheet!AO$2:AO$7967,$A66)="","",INDEX(Sheet!AO$2:AO$7967,$A66)))</f>
        <v/>
      </c>
      <c r="N66" s="33" t="str">
        <f ca="1">IF($A66="","",IF(INDEX(Sheet!T$2:T$7967,$A66)="","",INDEX(Sheet!T$2:T$7967,$A66)))</f>
        <v/>
      </c>
      <c r="O66" s="33" t="str">
        <f ca="1">IF($A66="","",IF(INDEX(Sheet!U$2:U$7967,$A66)="","",INDEX(Sheet!U$2:U$7967,$A66)))</f>
        <v/>
      </c>
      <c r="P66" s="33" t="str">
        <f ca="1">IF($A66="","",IF(INDEX(Sheet!W$2:W$7967,$A66)="","",INDEX(Sheet!W$2:W$7967,$A66)))</f>
        <v/>
      </c>
      <c r="Q66" s="33" t="str">
        <f ca="1">IF($A66="","",IF(INDEX(Sheet!V$2:V$7967,$A66)="","",INDEX(Sheet!V$2:V$7967,$A66)))</f>
        <v/>
      </c>
      <c r="R66" s="33" t="str">
        <f ca="1">IF($A66="","",IF(INDEX(Sheet!Z$2:Z$7967,$A66)="","",INDEX(Sheet!Z$2:Z$7967,$A66)))</f>
        <v/>
      </c>
      <c r="S66" s="33" t="str">
        <f ca="1">IF($A66="","",IF(INDEX(Sheet!Y$2:Y$7967,$A66)="","",INDEX(Sheet!Y$2:Y$7967,$A66)))</f>
        <v/>
      </c>
      <c r="T66" s="33" t="str">
        <f ca="1">IF($A66="","",IF(INDEX(Sheet!X$2:X$7967,$A66)="","",INDEX(Sheet!X$2:X$7967,$A66)))</f>
        <v/>
      </c>
      <c r="U66" s="33" t="str">
        <f ca="1">IF($A66="","",IF(INDEX(Sheet!AA$2:AA$7967,$A66)="","",INDEX(Sheet!AA$2:AA$7967,$A66)))</f>
        <v/>
      </c>
      <c r="V66" s="33" t="str">
        <f ca="1">IF($A66="","",IF(INDEX(Sheet!AB$2:AB$7967,$A66)="","",INDEX(Sheet!AB$2:AB$7967,$A66)))</f>
        <v/>
      </c>
      <c r="W66" s="33" t="str">
        <f ca="1">IF($A66="","",IF(INDEX(Sheet!AH$2:AH$7967,$A66)="","",INDEX(Sheet!AH$2:AH$7967,$A66)))</f>
        <v/>
      </c>
      <c r="X66" s="33" t="str">
        <f ca="1">IF($A66="","",IF(INDEX(Sheet!AC$2:AC$7967,$A66)="","",INDEX(Sheet!AC$2:AC$7967,$A66)))</f>
        <v/>
      </c>
      <c r="Y66" s="33" t="str">
        <f ca="1">IF($A66="","",IF(INDEX(Sheet!AD$2:AD$7967,$A66)="","",INDEX(Sheet!AD$2:AD$7967,$A66)))</f>
        <v/>
      </c>
      <c r="Z66" s="33" t="str">
        <f ca="1">IF($A66="","",IF(INDEX(Sheet!AL$2:AL$7967,$A66)="","",INDEX(Sheet!AL$2:AL$7967,$A66)))</f>
        <v/>
      </c>
      <c r="AA66" s="33" t="str">
        <f ca="1">IF($A66="","",IF(INDEX(Sheet!AE$2:AE$7967,$A66)="","",INDEX(Sheet!AE$2:AE$7967,$A66)))</f>
        <v/>
      </c>
      <c r="AB66" s="33" t="str">
        <f ca="1">IF($A66="","",IF(INDEX(Sheet!AF$2:AF$7967,$A66)="","",INDEX(Sheet!AF$2:AF$7967,$A66)))</f>
        <v/>
      </c>
      <c r="AC66" s="33" t="str">
        <f ca="1">IF($A66="","",IF(INDEX(Sheet!AG$2:AG$7967,$A66)="","",INDEX(Sheet!AG$2:AG$7967,$A66)))</f>
        <v/>
      </c>
      <c r="AD66" s="33" t="str">
        <f ca="1">IF($A66="","",IF(INDEX(Sheet!AM$2:AM$7967,$A66)="","",INDEX(Sheet!AM$2:AM$7967,$A66)))</f>
        <v/>
      </c>
      <c r="AE66" s="33" t="str">
        <f ca="1">IF($A66="","",IF(INDEX(Sheet!AJ$2:AJ$7967,$A66)="","",INDEX(Sheet!AJ$2:AJ$7967,$A66)))</f>
        <v/>
      </c>
      <c r="AF66" s="33" t="str">
        <f ca="1">IF($A66="","",IF(INDEX(Sheet!AI$2:AI$7967,$A66)="","",INDEX(Sheet!AI$2:AI$7967,$A66)))</f>
        <v/>
      </c>
      <c r="AG66" s="33" t="str">
        <f ca="1">IF(D66="duyệt sản xuất"," Bảo Bảo, Ngày "&amp;DAY($J$4)&amp;" Tháng "&amp;MONTH($J$4)&amp;" Năm "&amp;YEAR($J$4),IF(D66="Phê duyệt","NGƯỜI LẬP",IF(D66="Nguyễn Ngọc Thắng","NGUYỄN THỊ MAI",IF($A66="","",INDEX(Sheet!AK$2:AK$7967,$A66)))))</f>
        <v/>
      </c>
      <c r="AH66" s="58" t="str">
        <f ca="1">IF($A66="","",INDEX(Sheet!AR$2:AR$7967,$A66)&amp;" ; "&amp;INDEX(Sheet!M$2:M$7967,$A66))</f>
        <v/>
      </c>
      <c r="AI66" s="1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G66" s="35" t="str">
        <f ca="1">IFERROR(VALUE(separ(INDEX(Sheet!Q$2:Q$7967,$A66),"-",1)),"")</f>
        <v/>
      </c>
      <c r="BH66" s="35" t="str">
        <f ca="1">IFERROR(VALUE(separ(INDEX(Sheet!R$2:R$7967,$A66),"-",1)),"")</f>
        <v/>
      </c>
      <c r="BI66" s="35" t="str">
        <f ca="1">IFERROR(VALUE(separ(INDEX(Sheet!S$2:S$7967,$A66),"-",1)),"")</f>
        <v/>
      </c>
      <c r="BJ66" s="35" t="str">
        <f ca="1">IFERROR(VALUE(separ(INDEX(Sheet!T$2:T$7967,$A66),"-",1)),"")</f>
        <v/>
      </c>
      <c r="BK66" s="35" t="str">
        <f ca="1">IFERROR(VALUE(separ(INDEX(Sheet!U$2:U$7967,$A66),"-",1)),"")</f>
        <v/>
      </c>
      <c r="BL66" s="35" t="str">
        <f ca="1">IFERROR(VALUE(separ(INDEX(Sheet!V$2:V$7967,$A66),"-",1)),"")</f>
        <v/>
      </c>
      <c r="BM66" s="35" t="str">
        <f ca="1">IFERROR(VALUE(separ(INDEX(Sheet!W$2:W$7967,$A66),"-",1)),"")</f>
        <v/>
      </c>
      <c r="BN66" s="35" t="str">
        <f ca="1">IFERROR(VALUE(separ(INDEX(Sheet!X$2:X$7967,$A66),"-",1)),"")</f>
        <v/>
      </c>
      <c r="BO66" s="35" t="str">
        <f ca="1">IFERROR(VALUE(separ(INDEX(Sheet!Y$2:Y$7967,$A66),"-",1)),"")</f>
        <v/>
      </c>
      <c r="BP66" s="35" t="str">
        <f ca="1">IFERROR(VALUE(separ(INDEX(Sheet!Z$2:Z$7967,$A66),"-",1)),"")</f>
        <v/>
      </c>
      <c r="BQ66" s="35" t="str">
        <f ca="1">IFERROR(VALUE(separ(INDEX(Sheet!AA$2:AA$7967,$A66),"-",1)),"")</f>
        <v/>
      </c>
      <c r="BR66" s="35" t="str">
        <f ca="1">IFERROR(VALUE(separ(INDEX(Sheet!AB$2:AB$7967,$A66),"-",1)),"")</f>
        <v/>
      </c>
      <c r="BS66" s="35" t="str">
        <f ca="1">IFERROR(VALUE(separ(INDEX(Sheet!AC$2:AC$7967,$A66),"-",1)),"")</f>
        <v/>
      </c>
      <c r="BT66" s="35" t="str">
        <f ca="1">IFERROR(VALUE(separ(INDEX(Sheet!AD$2:AD$7967,$A66),"-",1)),"")</f>
        <v/>
      </c>
      <c r="BU66" s="35" t="str">
        <f ca="1">IFERROR(VALUE(separ(INDEX(Sheet!AE$2:AE$7967,$A66),"-",1)),"")</f>
        <v/>
      </c>
      <c r="BV66" s="35"/>
      <c r="BW66" s="35" t="str">
        <f ca="1">IFERROR((separ(INDEX(Sheet!Q$2:Q$7967,$A66),"-",2)),"")</f>
        <v/>
      </c>
      <c r="BX66" s="35" t="str">
        <f ca="1">IFERROR((separ(INDEX(Sheet!R$2:R$7967,$A66),"-",2)),"")</f>
        <v/>
      </c>
      <c r="BY66" s="35" t="str">
        <f ca="1">IFERROR((separ(INDEX(Sheet!S$2:S$7967,$A66),"-",2)),"")</f>
        <v/>
      </c>
      <c r="BZ66" s="35" t="str">
        <f ca="1">IFERROR((separ(INDEX(Sheet!T$2:T$7967,$A66),"-",2)),"")</f>
        <v/>
      </c>
      <c r="CA66" s="35" t="str">
        <f ca="1">IFERROR((separ(INDEX(Sheet!U$2:U$7967,$A66),"-",2)),"")</f>
        <v/>
      </c>
      <c r="CB66" s="35" t="str">
        <f ca="1">IFERROR((separ(INDEX(Sheet!V$2:V$7967,$A66),"-",2)),"")</f>
        <v/>
      </c>
      <c r="CC66" s="35" t="str">
        <f ca="1">IFERROR((separ(INDEX(Sheet!W$2:W$7967,$A66),"-",2)),"")</f>
        <v/>
      </c>
      <c r="CD66" s="35" t="str">
        <f ca="1">IFERROR((separ(INDEX(Sheet!X$2:X$7967,$A66),"-",2)),"")</f>
        <v/>
      </c>
      <c r="CE66" s="35" t="str">
        <f ca="1">IFERROR((separ(INDEX(Sheet!Y$2:Y$7967,$A66),"-",2)),"")</f>
        <v/>
      </c>
      <c r="CF66" s="35" t="str">
        <f ca="1">IFERROR((separ(INDEX(Sheet!Z$2:Z$7967,$A66),"-",2)),"")</f>
        <v/>
      </c>
      <c r="CG66" s="35" t="str">
        <f ca="1">IFERROR((separ(INDEX(Sheet!AA$2:AA$7967,$A66),"-",2)),"")</f>
        <v/>
      </c>
      <c r="CH66" s="35" t="str">
        <f ca="1">IFERROR((separ(INDEX(Sheet!AB$2:AB$7967,$A66),"-",2)),"")</f>
        <v/>
      </c>
      <c r="CI66" s="35" t="str">
        <f ca="1">IFERROR((separ(INDEX(Sheet!AC$2:AC$7967,$A66),"-",2)),"")</f>
        <v/>
      </c>
      <c r="CJ66" s="35" t="str">
        <f ca="1">IFERROR((separ(INDEX(Sheet!AD$2:AD$7967,$A66),"-",2)),"")</f>
        <v/>
      </c>
      <c r="CK66" s="35" t="str">
        <f ca="1">IFERROR((separ(INDEX(Sheet!AE$2:AE$7967,$A66),"-",2)),"")</f>
        <v/>
      </c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</row>
    <row r="67" spans="1:104" s="29" customFormat="1">
      <c r="A67" s="45" t="str">
        <f ca="1">IFERROR(MATCH($B$3,OFFSET(Sheet!$D$2,A66,0):'Sheet'!$D$7657,0)+A66,"")</f>
        <v/>
      </c>
      <c r="B67" s="29" t="str">
        <f ca="1">IF(ROW(A60)&lt;=COUNT($A$6:$A$800),INDEX(Sheet!$A$2:$A$7967,$A67),IF(ROW(A60)=COUNT($A$6:$A$800)+1," ",IF(ROW(A60)=COUNT($A$6:$A$800)+2,"  ","")))</f>
        <v/>
      </c>
      <c r="C67" s="67" t="str">
        <f ca="1">IF($A67="","",INDEX(Sheet!E$2:E$7967,$A67))</f>
        <v/>
      </c>
      <c r="D67" s="31" t="str">
        <f ca="1">IF(B64=" ",$AR$1,IF(B67=" ",$AQ$1,IF(A67="","",INDEX(Sheet!G$2:G$7967,$A67))))</f>
        <v/>
      </c>
      <c r="E67" s="32" t="str">
        <f ca="1">IF($A67="","",TEXT(INDEX(Sheet!J$2:J$7967,$A67),"#,#")&amp;" "&amp;INDEX(Sheet!AT$2:AT$7967,$A67))</f>
        <v/>
      </c>
      <c r="F67" s="53" t="str">
        <f ca="1">IF($A67="","",INDEX(Sheet!F$2:F$7967,$A67))</f>
        <v/>
      </c>
      <c r="G67" s="32" t="str">
        <f ca="1">IF($A67="","",INDEX(Sheet!I$2:I$7967,$A67))</f>
        <v/>
      </c>
      <c r="H67" s="32" t="str">
        <f ca="1">IF($A67="","",INDEX(Sheet!L$2:L$7967,$A67))</f>
        <v/>
      </c>
      <c r="I67" s="32" t="str">
        <f ca="1">IF($A67="","",INDEX(Sheet!N$2:N$7967,$A67))</f>
        <v/>
      </c>
      <c r="J67" s="53" t="str">
        <f ca="1">IF($A67="","",INDEX(Sheet!AS$2:AS$7967,$A67))</f>
        <v/>
      </c>
      <c r="K67" s="33" t="str">
        <f ca="1">IF($A67="","",IF(INDEX(Sheet!S$2:S$7967,$A67)="","",INDEX(Sheet!S$2:S$7967,$A67)))</f>
        <v/>
      </c>
      <c r="L67" s="33" t="str">
        <f ca="1">IF($A67="","",IF(INDEX(Sheet!R$2:R$7967,$A67)="","",INDEX(Sheet!R$2:R$7967,$A67)))</f>
        <v/>
      </c>
      <c r="M67" s="33" t="str">
        <f ca="1">IF($A67="","",IF(INDEX(Sheet!AO$2:AO$7967,$A67)="","",INDEX(Sheet!AO$2:AO$7967,$A67)))</f>
        <v/>
      </c>
      <c r="N67" s="33" t="str">
        <f ca="1">IF($A67="","",IF(INDEX(Sheet!T$2:T$7967,$A67)="","",INDEX(Sheet!T$2:T$7967,$A67)))</f>
        <v/>
      </c>
      <c r="O67" s="33" t="str">
        <f ca="1">IF($A67="","",IF(INDEX(Sheet!U$2:U$7967,$A67)="","",INDEX(Sheet!U$2:U$7967,$A67)))</f>
        <v/>
      </c>
      <c r="P67" s="33" t="str">
        <f ca="1">IF($A67="","",IF(INDEX(Sheet!W$2:W$7967,$A67)="","",INDEX(Sheet!W$2:W$7967,$A67)))</f>
        <v/>
      </c>
      <c r="Q67" s="33" t="str">
        <f ca="1">IF($A67="","",IF(INDEX(Sheet!V$2:V$7967,$A67)="","",INDEX(Sheet!V$2:V$7967,$A67)))</f>
        <v/>
      </c>
      <c r="R67" s="33" t="str">
        <f ca="1">IF($A67="","",IF(INDEX(Sheet!Z$2:Z$7967,$A67)="","",INDEX(Sheet!Z$2:Z$7967,$A67)))</f>
        <v/>
      </c>
      <c r="S67" s="33" t="str">
        <f ca="1">IF($A67="","",IF(INDEX(Sheet!Y$2:Y$7967,$A67)="","",INDEX(Sheet!Y$2:Y$7967,$A67)))</f>
        <v/>
      </c>
      <c r="T67" s="33" t="str">
        <f ca="1">IF($A67="","",IF(INDEX(Sheet!X$2:X$7967,$A67)="","",INDEX(Sheet!X$2:X$7967,$A67)))</f>
        <v/>
      </c>
      <c r="U67" s="33" t="str">
        <f ca="1">IF($A67="","",IF(INDEX(Sheet!AA$2:AA$7967,$A67)="","",INDEX(Sheet!AA$2:AA$7967,$A67)))</f>
        <v/>
      </c>
      <c r="V67" s="33" t="str">
        <f ca="1">IF($A67="","",IF(INDEX(Sheet!AB$2:AB$7967,$A67)="","",INDEX(Sheet!AB$2:AB$7967,$A67)))</f>
        <v/>
      </c>
      <c r="W67" s="33" t="str">
        <f ca="1">IF($A67="","",IF(INDEX(Sheet!AH$2:AH$7967,$A67)="","",INDEX(Sheet!AH$2:AH$7967,$A67)))</f>
        <v/>
      </c>
      <c r="X67" s="33" t="str">
        <f ca="1">IF($A67="","",IF(INDEX(Sheet!AC$2:AC$7967,$A67)="","",INDEX(Sheet!AC$2:AC$7967,$A67)))</f>
        <v/>
      </c>
      <c r="Y67" s="33" t="str">
        <f ca="1">IF($A67="","",IF(INDEX(Sheet!AD$2:AD$7967,$A67)="","",INDEX(Sheet!AD$2:AD$7967,$A67)))</f>
        <v/>
      </c>
      <c r="Z67" s="33" t="str">
        <f ca="1">IF($A67="","",IF(INDEX(Sheet!AL$2:AL$7967,$A67)="","",INDEX(Sheet!AL$2:AL$7967,$A67)))</f>
        <v/>
      </c>
      <c r="AA67" s="33" t="str">
        <f ca="1">IF($A67="","",IF(INDEX(Sheet!AE$2:AE$7967,$A67)="","",INDEX(Sheet!AE$2:AE$7967,$A67)))</f>
        <v/>
      </c>
      <c r="AB67" s="33" t="str">
        <f ca="1">IF($A67="","",IF(INDEX(Sheet!AF$2:AF$7967,$A67)="","",INDEX(Sheet!AF$2:AF$7967,$A67)))</f>
        <v/>
      </c>
      <c r="AC67" s="33" t="str">
        <f ca="1">IF($A67="","",IF(INDEX(Sheet!AG$2:AG$7967,$A67)="","",INDEX(Sheet!AG$2:AG$7967,$A67)))</f>
        <v/>
      </c>
      <c r="AD67" s="33" t="str">
        <f ca="1">IF($A67="","",IF(INDEX(Sheet!AM$2:AM$7967,$A67)="","",INDEX(Sheet!AM$2:AM$7967,$A67)))</f>
        <v/>
      </c>
      <c r="AE67" s="33" t="str">
        <f ca="1">IF($A67="","",IF(INDEX(Sheet!AJ$2:AJ$7967,$A67)="","",INDEX(Sheet!AJ$2:AJ$7967,$A67)))</f>
        <v/>
      </c>
      <c r="AF67" s="33" t="str">
        <f ca="1">IF($A67="","",IF(INDEX(Sheet!AI$2:AI$7967,$A67)="","",INDEX(Sheet!AI$2:AI$7967,$A67)))</f>
        <v/>
      </c>
      <c r="AG67" s="33" t="str">
        <f ca="1">IF(D67="duyệt sản xuất"," Bảo Bảo, Ngày "&amp;DAY($J$4)&amp;" Tháng "&amp;MONTH($J$4)&amp;" Năm "&amp;YEAR($J$4),IF(D67="Phê duyệt","NGƯỜI LẬP",IF(D67="Nguyễn Ngọc Thắng","NGUYỄN THỊ MAI",IF($A67="","",INDEX(Sheet!AK$2:AK$7967,$A67)))))</f>
        <v/>
      </c>
      <c r="AH67" s="58" t="str">
        <f ca="1">IF($A67="","",INDEX(Sheet!AR$2:AR$7967,$A67)&amp;" ; "&amp;INDEX(Sheet!M$2:M$7967,$A67))</f>
        <v/>
      </c>
      <c r="AI67" s="1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G67" s="35" t="str">
        <f ca="1">IFERROR(VALUE(separ(INDEX(Sheet!Q$2:Q$7967,$A67),"-",1)),"")</f>
        <v/>
      </c>
      <c r="BH67" s="35" t="str">
        <f ca="1">IFERROR(VALUE(separ(INDEX(Sheet!R$2:R$7967,$A67),"-",1)),"")</f>
        <v/>
      </c>
      <c r="BI67" s="35" t="str">
        <f ca="1">IFERROR(VALUE(separ(INDEX(Sheet!S$2:S$7967,$A67),"-",1)),"")</f>
        <v/>
      </c>
      <c r="BJ67" s="35" t="str">
        <f ca="1">IFERROR(VALUE(separ(INDEX(Sheet!T$2:T$7967,$A67),"-",1)),"")</f>
        <v/>
      </c>
      <c r="BK67" s="35" t="str">
        <f ca="1">IFERROR(VALUE(separ(INDEX(Sheet!U$2:U$7967,$A67),"-",1)),"")</f>
        <v/>
      </c>
      <c r="BL67" s="35" t="str">
        <f ca="1">IFERROR(VALUE(separ(INDEX(Sheet!V$2:V$7967,$A67),"-",1)),"")</f>
        <v/>
      </c>
      <c r="BM67" s="35" t="str">
        <f ca="1">IFERROR(VALUE(separ(INDEX(Sheet!W$2:W$7967,$A67),"-",1)),"")</f>
        <v/>
      </c>
      <c r="BN67" s="35" t="str">
        <f ca="1">IFERROR(VALUE(separ(INDEX(Sheet!X$2:X$7967,$A67),"-",1)),"")</f>
        <v/>
      </c>
      <c r="BO67" s="35" t="str">
        <f ca="1">IFERROR(VALUE(separ(INDEX(Sheet!Y$2:Y$7967,$A67),"-",1)),"")</f>
        <v/>
      </c>
      <c r="BP67" s="35" t="str">
        <f ca="1">IFERROR(VALUE(separ(INDEX(Sheet!Z$2:Z$7967,$A67),"-",1)),"")</f>
        <v/>
      </c>
      <c r="BQ67" s="35" t="str">
        <f ca="1">IFERROR(VALUE(separ(INDEX(Sheet!AA$2:AA$7967,$A67),"-",1)),"")</f>
        <v/>
      </c>
      <c r="BR67" s="35" t="str">
        <f ca="1">IFERROR(VALUE(separ(INDEX(Sheet!AB$2:AB$7967,$A67),"-",1)),"")</f>
        <v/>
      </c>
      <c r="BS67" s="35" t="str">
        <f ca="1">IFERROR(VALUE(separ(INDEX(Sheet!AC$2:AC$7967,$A67),"-",1)),"")</f>
        <v/>
      </c>
      <c r="BT67" s="35" t="str">
        <f ca="1">IFERROR(VALUE(separ(INDEX(Sheet!AD$2:AD$7967,$A67),"-",1)),"")</f>
        <v/>
      </c>
      <c r="BU67" s="35" t="str">
        <f ca="1">IFERROR(VALUE(separ(INDEX(Sheet!AE$2:AE$7967,$A67),"-",1)),"")</f>
        <v/>
      </c>
      <c r="BV67" s="35"/>
      <c r="BW67" s="35" t="str">
        <f ca="1">IFERROR((separ(INDEX(Sheet!Q$2:Q$7967,$A67),"-",2)),"")</f>
        <v/>
      </c>
      <c r="BX67" s="35" t="str">
        <f ca="1">IFERROR((separ(INDEX(Sheet!R$2:R$7967,$A67),"-",2)),"")</f>
        <v/>
      </c>
      <c r="BY67" s="35" t="str">
        <f ca="1">IFERROR((separ(INDEX(Sheet!S$2:S$7967,$A67),"-",2)),"")</f>
        <v/>
      </c>
      <c r="BZ67" s="35" t="str">
        <f ca="1">IFERROR((separ(INDEX(Sheet!T$2:T$7967,$A67),"-",2)),"")</f>
        <v/>
      </c>
      <c r="CA67" s="35" t="str">
        <f ca="1">IFERROR((separ(INDEX(Sheet!U$2:U$7967,$A67),"-",2)),"")</f>
        <v/>
      </c>
      <c r="CB67" s="35" t="str">
        <f ca="1">IFERROR((separ(INDEX(Sheet!V$2:V$7967,$A67),"-",2)),"")</f>
        <v/>
      </c>
      <c r="CC67" s="35" t="str">
        <f ca="1">IFERROR((separ(INDEX(Sheet!W$2:W$7967,$A67),"-",2)),"")</f>
        <v/>
      </c>
      <c r="CD67" s="35" t="str">
        <f ca="1">IFERROR((separ(INDEX(Sheet!X$2:X$7967,$A67),"-",2)),"")</f>
        <v/>
      </c>
      <c r="CE67" s="35" t="str">
        <f ca="1">IFERROR((separ(INDEX(Sheet!Y$2:Y$7967,$A67),"-",2)),"")</f>
        <v/>
      </c>
      <c r="CF67" s="35" t="str">
        <f ca="1">IFERROR((separ(INDEX(Sheet!Z$2:Z$7967,$A67),"-",2)),"")</f>
        <v/>
      </c>
      <c r="CG67" s="35" t="str">
        <f ca="1">IFERROR((separ(INDEX(Sheet!AA$2:AA$7967,$A67),"-",2)),"")</f>
        <v/>
      </c>
      <c r="CH67" s="35" t="str">
        <f ca="1">IFERROR((separ(INDEX(Sheet!AB$2:AB$7967,$A67),"-",2)),"")</f>
        <v/>
      </c>
      <c r="CI67" s="35" t="str">
        <f ca="1">IFERROR((separ(INDEX(Sheet!AC$2:AC$7967,$A67),"-",2)),"")</f>
        <v/>
      </c>
      <c r="CJ67" s="35" t="str">
        <f ca="1">IFERROR((separ(INDEX(Sheet!AD$2:AD$7967,$A67),"-",2)),"")</f>
        <v/>
      </c>
      <c r="CK67" s="35" t="str">
        <f ca="1">IFERROR((separ(INDEX(Sheet!AE$2:AE$7967,$A67),"-",2)),"")</f>
        <v/>
      </c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</row>
    <row r="68" spans="1:104" s="29" customFormat="1">
      <c r="A68" s="45" t="str">
        <f ca="1">IFERROR(MATCH($B$3,OFFSET(Sheet!$D$2,A67,0):'Sheet'!$D$7657,0)+A67,"")</f>
        <v/>
      </c>
      <c r="B68" s="29" t="str">
        <f ca="1">IF(ROW(A61)&lt;=COUNT($A$6:$A$800),INDEX(Sheet!$A$2:$A$7967,$A68),IF(ROW(A61)=COUNT($A$6:$A$800)+1," ",IF(ROW(A61)=COUNT($A$6:$A$800)+2,"  ","")))</f>
        <v/>
      </c>
      <c r="C68" s="67" t="str">
        <f ca="1">IF($A68="","",INDEX(Sheet!E$2:E$7967,$A68))</f>
        <v/>
      </c>
      <c r="D68" s="31" t="str">
        <f ca="1">IF(B65=" ",$AR$1,IF(B68=" ",$AQ$1,IF(A68="","",INDEX(Sheet!G$2:G$7967,$A68))))</f>
        <v/>
      </c>
      <c r="E68" s="32" t="str">
        <f ca="1">IF($A68="","",TEXT(INDEX(Sheet!J$2:J$7967,$A68),"#,#")&amp;" "&amp;INDEX(Sheet!AT$2:AT$7967,$A68))</f>
        <v/>
      </c>
      <c r="F68" s="53" t="str">
        <f ca="1">IF($A68="","",INDEX(Sheet!F$2:F$7967,$A68))</f>
        <v/>
      </c>
      <c r="G68" s="32" t="str">
        <f ca="1">IF($A68="","",INDEX(Sheet!I$2:I$7967,$A68))</f>
        <v/>
      </c>
      <c r="H68" s="32" t="str">
        <f ca="1">IF($A68="","",INDEX(Sheet!L$2:L$7967,$A68))</f>
        <v/>
      </c>
      <c r="I68" s="32" t="str">
        <f ca="1">IF($A68="","",INDEX(Sheet!N$2:N$7967,$A68))</f>
        <v/>
      </c>
      <c r="J68" s="53" t="str">
        <f ca="1">IF($A68="","",INDEX(Sheet!AS$2:AS$7967,$A68))</f>
        <v/>
      </c>
      <c r="K68" s="33" t="str">
        <f ca="1">IF($A68="","",IF(INDEX(Sheet!S$2:S$7967,$A68)="","",INDEX(Sheet!S$2:S$7967,$A68)))</f>
        <v/>
      </c>
      <c r="L68" s="33" t="str">
        <f ca="1">IF($A68="","",IF(INDEX(Sheet!R$2:R$7967,$A68)="","",INDEX(Sheet!R$2:R$7967,$A68)))</f>
        <v/>
      </c>
      <c r="M68" s="33" t="str">
        <f ca="1">IF($A68="","",IF(INDEX(Sheet!AO$2:AO$7967,$A68)="","",INDEX(Sheet!AO$2:AO$7967,$A68)))</f>
        <v/>
      </c>
      <c r="N68" s="33" t="str">
        <f ca="1">IF($A68="","",IF(INDEX(Sheet!T$2:T$7967,$A68)="","",INDEX(Sheet!T$2:T$7967,$A68)))</f>
        <v/>
      </c>
      <c r="O68" s="33" t="str">
        <f ca="1">IF($A68="","",IF(INDEX(Sheet!U$2:U$7967,$A68)="","",INDEX(Sheet!U$2:U$7967,$A68)))</f>
        <v/>
      </c>
      <c r="P68" s="33" t="str">
        <f ca="1">IF($A68="","",IF(INDEX(Sheet!W$2:W$7967,$A68)="","",INDEX(Sheet!W$2:W$7967,$A68)))</f>
        <v/>
      </c>
      <c r="Q68" s="33" t="str">
        <f ca="1">IF($A68="","",IF(INDEX(Sheet!V$2:V$7967,$A68)="","",INDEX(Sheet!V$2:V$7967,$A68)))</f>
        <v/>
      </c>
      <c r="R68" s="33" t="str">
        <f ca="1">IF($A68="","",IF(INDEX(Sheet!Z$2:Z$7967,$A68)="","",INDEX(Sheet!Z$2:Z$7967,$A68)))</f>
        <v/>
      </c>
      <c r="S68" s="33" t="str">
        <f ca="1">IF($A68="","",IF(INDEX(Sheet!Y$2:Y$7967,$A68)="","",INDEX(Sheet!Y$2:Y$7967,$A68)))</f>
        <v/>
      </c>
      <c r="T68" s="33" t="str">
        <f ca="1">IF($A68="","",IF(INDEX(Sheet!X$2:X$7967,$A68)="","",INDEX(Sheet!X$2:X$7967,$A68)))</f>
        <v/>
      </c>
      <c r="U68" s="33" t="str">
        <f ca="1">IF($A68="","",IF(INDEX(Sheet!AA$2:AA$7967,$A68)="","",INDEX(Sheet!AA$2:AA$7967,$A68)))</f>
        <v/>
      </c>
      <c r="V68" s="33" t="str">
        <f ca="1">IF($A68="","",IF(INDEX(Sheet!AB$2:AB$7967,$A68)="","",INDEX(Sheet!AB$2:AB$7967,$A68)))</f>
        <v/>
      </c>
      <c r="W68" s="33" t="str">
        <f ca="1">IF($A68="","",IF(INDEX(Sheet!AH$2:AH$7967,$A68)="","",INDEX(Sheet!AH$2:AH$7967,$A68)))</f>
        <v/>
      </c>
      <c r="X68" s="33" t="str">
        <f ca="1">IF($A68="","",IF(INDEX(Sheet!AC$2:AC$7967,$A68)="","",INDEX(Sheet!AC$2:AC$7967,$A68)))</f>
        <v/>
      </c>
      <c r="Y68" s="33" t="str">
        <f ca="1">IF($A68="","",IF(INDEX(Sheet!AD$2:AD$7967,$A68)="","",INDEX(Sheet!AD$2:AD$7967,$A68)))</f>
        <v/>
      </c>
      <c r="Z68" s="33" t="str">
        <f ca="1">IF($A68="","",IF(INDEX(Sheet!AL$2:AL$7967,$A68)="","",INDEX(Sheet!AL$2:AL$7967,$A68)))</f>
        <v/>
      </c>
      <c r="AA68" s="33" t="str">
        <f ca="1">IF($A68="","",IF(INDEX(Sheet!AE$2:AE$7967,$A68)="","",INDEX(Sheet!AE$2:AE$7967,$A68)))</f>
        <v/>
      </c>
      <c r="AB68" s="33" t="str">
        <f ca="1">IF($A68="","",IF(INDEX(Sheet!AF$2:AF$7967,$A68)="","",INDEX(Sheet!AF$2:AF$7967,$A68)))</f>
        <v/>
      </c>
      <c r="AC68" s="33" t="str">
        <f ca="1">IF($A68="","",IF(INDEX(Sheet!AG$2:AG$7967,$A68)="","",INDEX(Sheet!AG$2:AG$7967,$A68)))</f>
        <v/>
      </c>
      <c r="AD68" s="33" t="str">
        <f ca="1">IF($A68="","",IF(INDEX(Sheet!AM$2:AM$7967,$A68)="","",INDEX(Sheet!AM$2:AM$7967,$A68)))</f>
        <v/>
      </c>
      <c r="AE68" s="33" t="str">
        <f ca="1">IF($A68="","",IF(INDEX(Sheet!AJ$2:AJ$7967,$A68)="","",INDEX(Sheet!AJ$2:AJ$7967,$A68)))</f>
        <v/>
      </c>
      <c r="AF68" s="33" t="str">
        <f ca="1">IF($A68="","",IF(INDEX(Sheet!AI$2:AI$7967,$A68)="","",INDEX(Sheet!AI$2:AI$7967,$A68)))</f>
        <v/>
      </c>
      <c r="AG68" s="33" t="str">
        <f ca="1">IF(D68="duyệt sản xuất"," Bảo Bảo, Ngày "&amp;DAY($J$4)&amp;" Tháng "&amp;MONTH($J$4)&amp;" Năm "&amp;YEAR($J$4),IF(D68="Phê duyệt","NGƯỜI LẬP",IF(D68="Nguyễn Ngọc Thắng","NGUYỄN THỊ MAI",IF($A68="","",INDEX(Sheet!AK$2:AK$7967,$A68)))))</f>
        <v/>
      </c>
      <c r="AH68" s="58" t="str">
        <f ca="1">IF($A68="","",INDEX(Sheet!AR$2:AR$7967,$A68)&amp;" ; "&amp;INDEX(Sheet!M$2:M$7967,$A68))</f>
        <v/>
      </c>
      <c r="AI68" s="1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G68" s="35" t="str">
        <f ca="1">IFERROR(VALUE(separ(INDEX(Sheet!Q$2:Q$7967,$A68),"-",1)),"")</f>
        <v/>
      </c>
      <c r="BH68" s="35" t="str">
        <f ca="1">IFERROR(VALUE(separ(INDEX(Sheet!R$2:R$7967,$A68),"-",1)),"")</f>
        <v/>
      </c>
      <c r="BI68" s="35" t="str">
        <f ca="1">IFERROR(VALUE(separ(INDEX(Sheet!S$2:S$7967,$A68),"-",1)),"")</f>
        <v/>
      </c>
      <c r="BJ68" s="35" t="str">
        <f ca="1">IFERROR(VALUE(separ(INDEX(Sheet!T$2:T$7967,$A68),"-",1)),"")</f>
        <v/>
      </c>
      <c r="BK68" s="35" t="str">
        <f ca="1">IFERROR(VALUE(separ(INDEX(Sheet!U$2:U$7967,$A68),"-",1)),"")</f>
        <v/>
      </c>
      <c r="BL68" s="35" t="str">
        <f ca="1">IFERROR(VALUE(separ(INDEX(Sheet!V$2:V$7967,$A68),"-",1)),"")</f>
        <v/>
      </c>
      <c r="BM68" s="35" t="str">
        <f ca="1">IFERROR(VALUE(separ(INDEX(Sheet!W$2:W$7967,$A68),"-",1)),"")</f>
        <v/>
      </c>
      <c r="BN68" s="35" t="str">
        <f ca="1">IFERROR(VALUE(separ(INDEX(Sheet!X$2:X$7967,$A68),"-",1)),"")</f>
        <v/>
      </c>
      <c r="BO68" s="35" t="str">
        <f ca="1">IFERROR(VALUE(separ(INDEX(Sheet!Y$2:Y$7967,$A68),"-",1)),"")</f>
        <v/>
      </c>
      <c r="BP68" s="35" t="str">
        <f ca="1">IFERROR(VALUE(separ(INDEX(Sheet!Z$2:Z$7967,$A68),"-",1)),"")</f>
        <v/>
      </c>
      <c r="BQ68" s="35" t="str">
        <f ca="1">IFERROR(VALUE(separ(INDEX(Sheet!AA$2:AA$7967,$A68),"-",1)),"")</f>
        <v/>
      </c>
      <c r="BR68" s="35" t="str">
        <f ca="1">IFERROR(VALUE(separ(INDEX(Sheet!AB$2:AB$7967,$A68),"-",1)),"")</f>
        <v/>
      </c>
      <c r="BS68" s="35" t="str">
        <f ca="1">IFERROR(VALUE(separ(INDEX(Sheet!AC$2:AC$7967,$A68),"-",1)),"")</f>
        <v/>
      </c>
      <c r="BT68" s="35" t="str">
        <f ca="1">IFERROR(VALUE(separ(INDEX(Sheet!AD$2:AD$7967,$A68),"-",1)),"")</f>
        <v/>
      </c>
      <c r="BU68" s="35" t="str">
        <f ca="1">IFERROR(VALUE(separ(INDEX(Sheet!AE$2:AE$7967,$A68),"-",1)),"")</f>
        <v/>
      </c>
      <c r="BV68" s="35"/>
      <c r="BW68" s="35" t="str">
        <f ca="1">IFERROR((separ(INDEX(Sheet!Q$2:Q$7967,$A68),"-",2)),"")</f>
        <v/>
      </c>
      <c r="BX68" s="35" t="str">
        <f ca="1">IFERROR((separ(INDEX(Sheet!R$2:R$7967,$A68),"-",2)),"")</f>
        <v/>
      </c>
      <c r="BY68" s="35" t="str">
        <f ca="1">IFERROR((separ(INDEX(Sheet!S$2:S$7967,$A68),"-",2)),"")</f>
        <v/>
      </c>
      <c r="BZ68" s="35" t="str">
        <f ca="1">IFERROR((separ(INDEX(Sheet!T$2:T$7967,$A68),"-",2)),"")</f>
        <v/>
      </c>
      <c r="CA68" s="35" t="str">
        <f ca="1">IFERROR((separ(INDEX(Sheet!U$2:U$7967,$A68),"-",2)),"")</f>
        <v/>
      </c>
      <c r="CB68" s="35" t="str">
        <f ca="1">IFERROR((separ(INDEX(Sheet!V$2:V$7967,$A68),"-",2)),"")</f>
        <v/>
      </c>
      <c r="CC68" s="35" t="str">
        <f ca="1">IFERROR((separ(INDEX(Sheet!W$2:W$7967,$A68),"-",2)),"")</f>
        <v/>
      </c>
      <c r="CD68" s="35" t="str">
        <f ca="1">IFERROR((separ(INDEX(Sheet!X$2:X$7967,$A68),"-",2)),"")</f>
        <v/>
      </c>
      <c r="CE68" s="35" t="str">
        <f ca="1">IFERROR((separ(INDEX(Sheet!Y$2:Y$7967,$A68),"-",2)),"")</f>
        <v/>
      </c>
      <c r="CF68" s="35" t="str">
        <f ca="1">IFERROR((separ(INDEX(Sheet!Z$2:Z$7967,$A68),"-",2)),"")</f>
        <v/>
      </c>
      <c r="CG68" s="35" t="str">
        <f ca="1">IFERROR((separ(INDEX(Sheet!AA$2:AA$7967,$A68),"-",2)),"")</f>
        <v/>
      </c>
      <c r="CH68" s="35" t="str">
        <f ca="1">IFERROR((separ(INDEX(Sheet!AB$2:AB$7967,$A68),"-",2)),"")</f>
        <v/>
      </c>
      <c r="CI68" s="35" t="str">
        <f ca="1">IFERROR((separ(INDEX(Sheet!AC$2:AC$7967,$A68),"-",2)),"")</f>
        <v/>
      </c>
      <c r="CJ68" s="35" t="str">
        <f ca="1">IFERROR((separ(INDEX(Sheet!AD$2:AD$7967,$A68),"-",2)),"")</f>
        <v/>
      </c>
      <c r="CK68" s="35" t="str">
        <f ca="1">IFERROR((separ(INDEX(Sheet!AE$2:AE$7967,$A68),"-",2)),"")</f>
        <v/>
      </c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</row>
    <row r="69" spans="1:104" s="29" customFormat="1">
      <c r="A69" s="45" t="str">
        <f ca="1">IFERROR(MATCH($B$3,OFFSET(Sheet!$D$2,A68,0):'Sheet'!$D$7657,0)+A68,"")</f>
        <v/>
      </c>
      <c r="B69" s="29" t="str">
        <f ca="1">IF(ROW(A62)&lt;=COUNT($A$6:$A$800),INDEX(Sheet!$A$2:$A$7967,$A69),IF(ROW(A62)=COUNT($A$6:$A$800)+1," ",IF(ROW(A62)=COUNT($A$6:$A$800)+2,"  ","")))</f>
        <v/>
      </c>
      <c r="C69" s="67" t="str">
        <f ca="1">IF($A69="","",INDEX(Sheet!E$2:E$7967,$A69))</f>
        <v/>
      </c>
      <c r="D69" s="31" t="str">
        <f ca="1">IF(B66=" ",$AR$1,IF(B69=" ",$AQ$1,IF(A69="","",INDEX(Sheet!G$2:G$7967,$A69))))</f>
        <v/>
      </c>
      <c r="E69" s="32" t="str">
        <f ca="1">IF($A69="","",TEXT(INDEX(Sheet!J$2:J$7967,$A69),"#,#")&amp;" "&amp;INDEX(Sheet!AT$2:AT$7967,$A69))</f>
        <v/>
      </c>
      <c r="F69" s="53" t="str">
        <f ca="1">IF($A69="","",INDEX(Sheet!F$2:F$7967,$A69))</f>
        <v/>
      </c>
      <c r="G69" s="32" t="str">
        <f ca="1">IF($A69="","",INDEX(Sheet!I$2:I$7967,$A69))</f>
        <v/>
      </c>
      <c r="H69" s="32" t="str">
        <f ca="1">IF($A69="","",INDEX(Sheet!L$2:L$7967,$A69))</f>
        <v/>
      </c>
      <c r="I69" s="32" t="str">
        <f ca="1">IF($A69="","",INDEX(Sheet!N$2:N$7967,$A69))</f>
        <v/>
      </c>
      <c r="J69" s="53" t="str">
        <f ca="1">IF($A69="","",INDEX(Sheet!AS$2:AS$7967,$A69))</f>
        <v/>
      </c>
      <c r="K69" s="33" t="str">
        <f ca="1">IF($A69="","",IF(INDEX(Sheet!S$2:S$7967,$A69)="","",INDEX(Sheet!S$2:S$7967,$A69)))</f>
        <v/>
      </c>
      <c r="L69" s="33" t="str">
        <f ca="1">IF($A69="","",IF(INDEX(Sheet!R$2:R$7967,$A69)="","",INDEX(Sheet!R$2:R$7967,$A69)))</f>
        <v/>
      </c>
      <c r="M69" s="33" t="str">
        <f ca="1">IF($A69="","",IF(INDEX(Sheet!AO$2:AO$7967,$A69)="","",INDEX(Sheet!AO$2:AO$7967,$A69)))</f>
        <v/>
      </c>
      <c r="N69" s="33" t="str">
        <f ca="1">IF($A69="","",IF(INDEX(Sheet!T$2:T$7967,$A69)="","",INDEX(Sheet!T$2:T$7967,$A69)))</f>
        <v/>
      </c>
      <c r="O69" s="33" t="str">
        <f ca="1">IF($A69="","",IF(INDEX(Sheet!U$2:U$7967,$A69)="","",INDEX(Sheet!U$2:U$7967,$A69)))</f>
        <v/>
      </c>
      <c r="P69" s="33" t="str">
        <f ca="1">IF($A69="","",IF(INDEX(Sheet!W$2:W$7967,$A69)="","",INDEX(Sheet!W$2:W$7967,$A69)))</f>
        <v/>
      </c>
      <c r="Q69" s="33" t="str">
        <f ca="1">IF($A69="","",IF(INDEX(Sheet!V$2:V$7967,$A69)="","",INDEX(Sheet!V$2:V$7967,$A69)))</f>
        <v/>
      </c>
      <c r="R69" s="33" t="str">
        <f ca="1">IF($A69="","",IF(INDEX(Sheet!Z$2:Z$7967,$A69)="","",INDEX(Sheet!Z$2:Z$7967,$A69)))</f>
        <v/>
      </c>
      <c r="S69" s="33" t="str">
        <f ca="1">IF($A69="","",IF(INDEX(Sheet!Y$2:Y$7967,$A69)="","",INDEX(Sheet!Y$2:Y$7967,$A69)))</f>
        <v/>
      </c>
      <c r="T69" s="33" t="str">
        <f ca="1">IF($A69="","",IF(INDEX(Sheet!X$2:X$7967,$A69)="","",INDEX(Sheet!X$2:X$7967,$A69)))</f>
        <v/>
      </c>
      <c r="U69" s="33" t="str">
        <f ca="1">IF($A69="","",IF(INDEX(Sheet!AA$2:AA$7967,$A69)="","",INDEX(Sheet!AA$2:AA$7967,$A69)))</f>
        <v/>
      </c>
      <c r="V69" s="33" t="str">
        <f ca="1">IF($A69="","",IF(INDEX(Sheet!AB$2:AB$7967,$A69)="","",INDEX(Sheet!AB$2:AB$7967,$A69)))</f>
        <v/>
      </c>
      <c r="W69" s="33" t="str">
        <f ca="1">IF($A69="","",IF(INDEX(Sheet!AH$2:AH$7967,$A69)="","",INDEX(Sheet!AH$2:AH$7967,$A69)))</f>
        <v/>
      </c>
      <c r="X69" s="33" t="str">
        <f ca="1">IF($A69="","",IF(INDEX(Sheet!AC$2:AC$7967,$A69)="","",INDEX(Sheet!AC$2:AC$7967,$A69)))</f>
        <v/>
      </c>
      <c r="Y69" s="33" t="str">
        <f ca="1">IF($A69="","",IF(INDEX(Sheet!AD$2:AD$7967,$A69)="","",INDEX(Sheet!AD$2:AD$7967,$A69)))</f>
        <v/>
      </c>
      <c r="Z69" s="33" t="str">
        <f ca="1">IF($A69="","",IF(INDEX(Sheet!AL$2:AL$7967,$A69)="","",INDEX(Sheet!AL$2:AL$7967,$A69)))</f>
        <v/>
      </c>
      <c r="AA69" s="33" t="str">
        <f ca="1">IF($A69="","",IF(INDEX(Sheet!AE$2:AE$7967,$A69)="","",INDEX(Sheet!AE$2:AE$7967,$A69)))</f>
        <v/>
      </c>
      <c r="AB69" s="33" t="str">
        <f ca="1">IF($A69="","",IF(INDEX(Sheet!AF$2:AF$7967,$A69)="","",INDEX(Sheet!AF$2:AF$7967,$A69)))</f>
        <v/>
      </c>
      <c r="AC69" s="33" t="str">
        <f ca="1">IF($A69="","",IF(INDEX(Sheet!AG$2:AG$7967,$A69)="","",INDEX(Sheet!AG$2:AG$7967,$A69)))</f>
        <v/>
      </c>
      <c r="AD69" s="33" t="str">
        <f ca="1">IF($A69="","",IF(INDEX(Sheet!AM$2:AM$7967,$A69)="","",INDEX(Sheet!AM$2:AM$7967,$A69)))</f>
        <v/>
      </c>
      <c r="AE69" s="33" t="str">
        <f ca="1">IF($A69="","",IF(INDEX(Sheet!AJ$2:AJ$7967,$A69)="","",INDEX(Sheet!AJ$2:AJ$7967,$A69)))</f>
        <v/>
      </c>
      <c r="AF69" s="33" t="str">
        <f ca="1">IF($A69="","",IF(INDEX(Sheet!AI$2:AI$7967,$A69)="","",INDEX(Sheet!AI$2:AI$7967,$A69)))</f>
        <v/>
      </c>
      <c r="AG69" s="33" t="str">
        <f ca="1">IF(D69="duyệt sản xuất"," Bảo Bảo, Ngày "&amp;DAY($J$4)&amp;" Tháng "&amp;MONTH($J$4)&amp;" Năm "&amp;YEAR($J$4),IF(D69="Phê duyệt","NGƯỜI LẬP",IF(D69="Nguyễn Ngọc Thắng","NGUYỄN THỊ MAI",IF($A69="","",INDEX(Sheet!AK$2:AK$7967,$A69)))))</f>
        <v/>
      </c>
      <c r="AH69" s="58" t="str">
        <f ca="1">IF($A69="","",INDEX(Sheet!AR$2:AR$7967,$A69)&amp;" ; "&amp;INDEX(Sheet!M$2:M$7967,$A69))</f>
        <v/>
      </c>
      <c r="AI69" s="1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G69" s="35" t="str">
        <f ca="1">IFERROR(VALUE(separ(INDEX(Sheet!Q$2:Q$7967,$A69),"-",1)),"")</f>
        <v/>
      </c>
      <c r="BH69" s="35" t="str">
        <f ca="1">IFERROR(VALUE(separ(INDEX(Sheet!R$2:R$7967,$A69),"-",1)),"")</f>
        <v/>
      </c>
      <c r="BI69" s="35" t="str">
        <f ca="1">IFERROR(VALUE(separ(INDEX(Sheet!S$2:S$7967,$A69),"-",1)),"")</f>
        <v/>
      </c>
      <c r="BJ69" s="35" t="str">
        <f ca="1">IFERROR(VALUE(separ(INDEX(Sheet!T$2:T$7967,$A69),"-",1)),"")</f>
        <v/>
      </c>
      <c r="BK69" s="35" t="str">
        <f ca="1">IFERROR(VALUE(separ(INDEX(Sheet!U$2:U$7967,$A69),"-",1)),"")</f>
        <v/>
      </c>
      <c r="BL69" s="35" t="str">
        <f ca="1">IFERROR(VALUE(separ(INDEX(Sheet!V$2:V$7967,$A69),"-",1)),"")</f>
        <v/>
      </c>
      <c r="BM69" s="35" t="str">
        <f ca="1">IFERROR(VALUE(separ(INDEX(Sheet!W$2:W$7967,$A69),"-",1)),"")</f>
        <v/>
      </c>
      <c r="BN69" s="35" t="str">
        <f ca="1">IFERROR(VALUE(separ(INDEX(Sheet!X$2:X$7967,$A69),"-",1)),"")</f>
        <v/>
      </c>
      <c r="BO69" s="35" t="str">
        <f ca="1">IFERROR(VALUE(separ(INDEX(Sheet!Y$2:Y$7967,$A69),"-",1)),"")</f>
        <v/>
      </c>
      <c r="BP69" s="35" t="str">
        <f ca="1">IFERROR(VALUE(separ(INDEX(Sheet!Z$2:Z$7967,$A69),"-",1)),"")</f>
        <v/>
      </c>
      <c r="BQ69" s="35" t="str">
        <f ca="1">IFERROR(VALUE(separ(INDEX(Sheet!AA$2:AA$7967,$A69),"-",1)),"")</f>
        <v/>
      </c>
      <c r="BR69" s="35" t="str">
        <f ca="1">IFERROR(VALUE(separ(INDEX(Sheet!AB$2:AB$7967,$A69),"-",1)),"")</f>
        <v/>
      </c>
      <c r="BS69" s="35" t="str">
        <f ca="1">IFERROR(VALUE(separ(INDEX(Sheet!AC$2:AC$7967,$A69),"-",1)),"")</f>
        <v/>
      </c>
      <c r="BT69" s="35" t="str">
        <f ca="1">IFERROR(VALUE(separ(INDEX(Sheet!AD$2:AD$7967,$A69),"-",1)),"")</f>
        <v/>
      </c>
      <c r="BU69" s="35" t="str">
        <f ca="1">IFERROR(VALUE(separ(INDEX(Sheet!AE$2:AE$7967,$A69),"-",1)),"")</f>
        <v/>
      </c>
      <c r="BV69" s="35"/>
      <c r="BW69" s="35" t="str">
        <f ca="1">IFERROR((separ(INDEX(Sheet!Q$2:Q$7967,$A69),"-",2)),"")</f>
        <v/>
      </c>
      <c r="BX69" s="35" t="str">
        <f ca="1">IFERROR((separ(INDEX(Sheet!R$2:R$7967,$A69),"-",2)),"")</f>
        <v/>
      </c>
      <c r="BY69" s="35" t="str">
        <f ca="1">IFERROR((separ(INDEX(Sheet!S$2:S$7967,$A69),"-",2)),"")</f>
        <v/>
      </c>
      <c r="BZ69" s="35" t="str">
        <f ca="1">IFERROR((separ(INDEX(Sheet!T$2:T$7967,$A69),"-",2)),"")</f>
        <v/>
      </c>
      <c r="CA69" s="35" t="str">
        <f ca="1">IFERROR((separ(INDEX(Sheet!U$2:U$7967,$A69),"-",2)),"")</f>
        <v/>
      </c>
      <c r="CB69" s="35" t="str">
        <f ca="1">IFERROR((separ(INDEX(Sheet!V$2:V$7967,$A69),"-",2)),"")</f>
        <v/>
      </c>
      <c r="CC69" s="35" t="str">
        <f ca="1">IFERROR((separ(INDEX(Sheet!W$2:W$7967,$A69),"-",2)),"")</f>
        <v/>
      </c>
      <c r="CD69" s="35" t="str">
        <f ca="1">IFERROR((separ(INDEX(Sheet!X$2:X$7967,$A69),"-",2)),"")</f>
        <v/>
      </c>
      <c r="CE69" s="35" t="str">
        <f ca="1">IFERROR((separ(INDEX(Sheet!Y$2:Y$7967,$A69),"-",2)),"")</f>
        <v/>
      </c>
      <c r="CF69" s="35" t="str">
        <f ca="1">IFERROR((separ(INDEX(Sheet!Z$2:Z$7967,$A69),"-",2)),"")</f>
        <v/>
      </c>
      <c r="CG69" s="35" t="str">
        <f ca="1">IFERROR((separ(INDEX(Sheet!AA$2:AA$7967,$A69),"-",2)),"")</f>
        <v/>
      </c>
      <c r="CH69" s="35" t="str">
        <f ca="1">IFERROR((separ(INDEX(Sheet!AB$2:AB$7967,$A69),"-",2)),"")</f>
        <v/>
      </c>
      <c r="CI69" s="35" t="str">
        <f ca="1">IFERROR((separ(INDEX(Sheet!AC$2:AC$7967,$A69),"-",2)),"")</f>
        <v/>
      </c>
      <c r="CJ69" s="35" t="str">
        <f ca="1">IFERROR((separ(INDEX(Sheet!AD$2:AD$7967,$A69),"-",2)),"")</f>
        <v/>
      </c>
      <c r="CK69" s="35" t="str">
        <f ca="1">IFERROR((separ(INDEX(Sheet!AE$2:AE$7967,$A69),"-",2)),"")</f>
        <v/>
      </c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</row>
    <row r="70" spans="1:104" s="29" customFormat="1">
      <c r="A70" s="45" t="str">
        <f ca="1">IFERROR(MATCH($B$3,OFFSET(Sheet!$D$2,A69,0):'Sheet'!$D$7657,0)+A69,"")</f>
        <v/>
      </c>
      <c r="B70" s="29" t="str">
        <f ca="1">IF(ROW(A63)&lt;=COUNT($A$6:$A$800),INDEX(Sheet!$A$2:$A$7967,$A70),IF(ROW(A63)=COUNT($A$6:$A$800)+1," ",IF(ROW(A63)=COUNT($A$6:$A$800)+2,"  ","")))</f>
        <v/>
      </c>
      <c r="C70" s="67" t="str">
        <f ca="1">IF($A70="","",INDEX(Sheet!E$2:E$7967,$A70))</f>
        <v/>
      </c>
      <c r="D70" s="31" t="str">
        <f ca="1">IF(B67=" ",$AR$1,IF(B70=" ",$AQ$1,IF(A70="","",INDEX(Sheet!G$2:G$7967,$A70))))</f>
        <v/>
      </c>
      <c r="E70" s="32" t="str">
        <f ca="1">IF($A70="","",TEXT(INDEX(Sheet!J$2:J$7967,$A70),"#,#")&amp;" "&amp;INDEX(Sheet!AT$2:AT$7967,$A70))</f>
        <v/>
      </c>
      <c r="F70" s="53" t="str">
        <f ca="1">IF($A70="","",INDEX(Sheet!F$2:F$7967,$A70))</f>
        <v/>
      </c>
      <c r="G70" s="32" t="str">
        <f ca="1">IF($A70="","",INDEX(Sheet!I$2:I$7967,$A70))</f>
        <v/>
      </c>
      <c r="H70" s="32" t="str">
        <f ca="1">IF($A70="","",INDEX(Sheet!L$2:L$7967,$A70))</f>
        <v/>
      </c>
      <c r="I70" s="32" t="str">
        <f ca="1">IF($A70="","",INDEX(Sheet!N$2:N$7967,$A70))</f>
        <v/>
      </c>
      <c r="J70" s="53" t="str">
        <f ca="1">IF($A70="","",INDEX(Sheet!AS$2:AS$7967,$A70))</f>
        <v/>
      </c>
      <c r="K70" s="33" t="str">
        <f ca="1">IF($A70="","",IF(INDEX(Sheet!S$2:S$7967,$A70)="","",INDEX(Sheet!S$2:S$7967,$A70)))</f>
        <v/>
      </c>
      <c r="L70" s="33" t="str">
        <f ca="1">IF($A70="","",IF(INDEX(Sheet!R$2:R$7967,$A70)="","",INDEX(Sheet!R$2:R$7967,$A70)))</f>
        <v/>
      </c>
      <c r="M70" s="33" t="str">
        <f ca="1">IF($A70="","",IF(INDEX(Sheet!AO$2:AO$7967,$A70)="","",INDEX(Sheet!AO$2:AO$7967,$A70)))</f>
        <v/>
      </c>
      <c r="N70" s="33" t="str">
        <f ca="1">IF($A70="","",IF(INDEX(Sheet!T$2:T$7967,$A70)="","",INDEX(Sheet!T$2:T$7967,$A70)))</f>
        <v/>
      </c>
      <c r="O70" s="33" t="str">
        <f ca="1">IF($A70="","",IF(INDEX(Sheet!U$2:U$7967,$A70)="","",INDEX(Sheet!U$2:U$7967,$A70)))</f>
        <v/>
      </c>
      <c r="P70" s="33" t="str">
        <f ca="1">IF($A70="","",IF(INDEX(Sheet!W$2:W$7967,$A70)="","",INDEX(Sheet!W$2:W$7967,$A70)))</f>
        <v/>
      </c>
      <c r="Q70" s="33" t="str">
        <f ca="1">IF($A70="","",IF(INDEX(Sheet!V$2:V$7967,$A70)="","",INDEX(Sheet!V$2:V$7967,$A70)))</f>
        <v/>
      </c>
      <c r="R70" s="33" t="str">
        <f ca="1">IF($A70="","",IF(INDEX(Sheet!Z$2:Z$7967,$A70)="","",INDEX(Sheet!Z$2:Z$7967,$A70)))</f>
        <v/>
      </c>
      <c r="S70" s="33" t="str">
        <f ca="1">IF($A70="","",IF(INDEX(Sheet!Y$2:Y$7967,$A70)="","",INDEX(Sheet!Y$2:Y$7967,$A70)))</f>
        <v/>
      </c>
      <c r="T70" s="33" t="str">
        <f ca="1">IF($A70="","",IF(INDEX(Sheet!X$2:X$7967,$A70)="","",INDEX(Sheet!X$2:X$7967,$A70)))</f>
        <v/>
      </c>
      <c r="U70" s="33" t="str">
        <f ca="1">IF($A70="","",IF(INDEX(Sheet!AA$2:AA$7967,$A70)="","",INDEX(Sheet!AA$2:AA$7967,$A70)))</f>
        <v/>
      </c>
      <c r="V70" s="33" t="str">
        <f ca="1">IF($A70="","",IF(INDEX(Sheet!AB$2:AB$7967,$A70)="","",INDEX(Sheet!AB$2:AB$7967,$A70)))</f>
        <v/>
      </c>
      <c r="W70" s="33" t="str">
        <f ca="1">IF($A70="","",IF(INDEX(Sheet!AH$2:AH$7967,$A70)="","",INDEX(Sheet!AH$2:AH$7967,$A70)))</f>
        <v/>
      </c>
      <c r="X70" s="33" t="str">
        <f ca="1">IF($A70="","",IF(INDEX(Sheet!AC$2:AC$7967,$A70)="","",INDEX(Sheet!AC$2:AC$7967,$A70)))</f>
        <v/>
      </c>
      <c r="Y70" s="33" t="str">
        <f ca="1">IF($A70="","",IF(INDEX(Sheet!AD$2:AD$7967,$A70)="","",INDEX(Sheet!AD$2:AD$7967,$A70)))</f>
        <v/>
      </c>
      <c r="Z70" s="33" t="str">
        <f ca="1">IF($A70="","",IF(INDEX(Sheet!AL$2:AL$7967,$A70)="","",INDEX(Sheet!AL$2:AL$7967,$A70)))</f>
        <v/>
      </c>
      <c r="AA70" s="33" t="str">
        <f ca="1">IF($A70="","",IF(INDEX(Sheet!AE$2:AE$7967,$A70)="","",INDEX(Sheet!AE$2:AE$7967,$A70)))</f>
        <v/>
      </c>
      <c r="AB70" s="33" t="str">
        <f ca="1">IF($A70="","",IF(INDEX(Sheet!AF$2:AF$7967,$A70)="","",INDEX(Sheet!AF$2:AF$7967,$A70)))</f>
        <v/>
      </c>
      <c r="AC70" s="33" t="str">
        <f ca="1">IF($A70="","",IF(INDEX(Sheet!AG$2:AG$7967,$A70)="","",INDEX(Sheet!AG$2:AG$7967,$A70)))</f>
        <v/>
      </c>
      <c r="AD70" s="33" t="str">
        <f ca="1">IF($A70="","",IF(INDEX(Sheet!AM$2:AM$7967,$A70)="","",INDEX(Sheet!AM$2:AM$7967,$A70)))</f>
        <v/>
      </c>
      <c r="AE70" s="33" t="str">
        <f ca="1">IF($A70="","",IF(INDEX(Sheet!AJ$2:AJ$7967,$A70)="","",INDEX(Sheet!AJ$2:AJ$7967,$A70)))</f>
        <v/>
      </c>
      <c r="AF70" s="33" t="str">
        <f ca="1">IF($A70="","",IF(INDEX(Sheet!AI$2:AI$7967,$A70)="","",INDEX(Sheet!AI$2:AI$7967,$A70)))</f>
        <v/>
      </c>
      <c r="AG70" s="33" t="str">
        <f ca="1">IF(D70="duyệt sản xuất"," Bảo Bảo, Ngày "&amp;DAY($J$4)&amp;" Tháng "&amp;MONTH($J$4)&amp;" Năm "&amp;YEAR($J$4),IF(D70="Phê duyệt","NGƯỜI LẬP",IF(D70="Nguyễn Ngọc Thắng","NGUYỄN THỊ MAI",IF($A70="","",INDEX(Sheet!AK$2:AK$7967,$A70)))))</f>
        <v/>
      </c>
      <c r="AH70" s="58" t="str">
        <f ca="1">IF($A70="","",INDEX(Sheet!AR$2:AR$7967,$A70)&amp;" ; "&amp;INDEX(Sheet!M$2:M$7967,$A70))</f>
        <v/>
      </c>
      <c r="AI70" s="1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G70" s="35" t="str">
        <f ca="1">IFERROR(VALUE(separ(INDEX(Sheet!Q$2:Q$7967,$A70),"-",1)),"")</f>
        <v/>
      </c>
      <c r="BH70" s="35" t="str">
        <f ca="1">IFERROR(VALUE(separ(INDEX(Sheet!R$2:R$7967,$A70),"-",1)),"")</f>
        <v/>
      </c>
      <c r="BI70" s="35" t="str">
        <f ca="1">IFERROR(VALUE(separ(INDEX(Sheet!S$2:S$7967,$A70),"-",1)),"")</f>
        <v/>
      </c>
      <c r="BJ70" s="35" t="str">
        <f ca="1">IFERROR(VALUE(separ(INDEX(Sheet!T$2:T$7967,$A70),"-",1)),"")</f>
        <v/>
      </c>
      <c r="BK70" s="35" t="str">
        <f ca="1">IFERROR(VALUE(separ(INDEX(Sheet!U$2:U$7967,$A70),"-",1)),"")</f>
        <v/>
      </c>
      <c r="BL70" s="35" t="str">
        <f ca="1">IFERROR(VALUE(separ(INDEX(Sheet!V$2:V$7967,$A70),"-",1)),"")</f>
        <v/>
      </c>
      <c r="BM70" s="35" t="str">
        <f ca="1">IFERROR(VALUE(separ(INDEX(Sheet!W$2:W$7967,$A70),"-",1)),"")</f>
        <v/>
      </c>
      <c r="BN70" s="35" t="str">
        <f ca="1">IFERROR(VALUE(separ(INDEX(Sheet!X$2:X$7967,$A70),"-",1)),"")</f>
        <v/>
      </c>
      <c r="BO70" s="35" t="str">
        <f ca="1">IFERROR(VALUE(separ(INDEX(Sheet!Y$2:Y$7967,$A70),"-",1)),"")</f>
        <v/>
      </c>
      <c r="BP70" s="35" t="str">
        <f ca="1">IFERROR(VALUE(separ(INDEX(Sheet!Z$2:Z$7967,$A70),"-",1)),"")</f>
        <v/>
      </c>
      <c r="BQ70" s="35" t="str">
        <f ca="1">IFERROR(VALUE(separ(INDEX(Sheet!AA$2:AA$7967,$A70),"-",1)),"")</f>
        <v/>
      </c>
      <c r="BR70" s="35" t="str">
        <f ca="1">IFERROR(VALUE(separ(INDEX(Sheet!AB$2:AB$7967,$A70),"-",1)),"")</f>
        <v/>
      </c>
      <c r="BS70" s="35" t="str">
        <f ca="1">IFERROR(VALUE(separ(INDEX(Sheet!AC$2:AC$7967,$A70),"-",1)),"")</f>
        <v/>
      </c>
      <c r="BT70" s="35" t="str">
        <f ca="1">IFERROR(VALUE(separ(INDEX(Sheet!AD$2:AD$7967,$A70),"-",1)),"")</f>
        <v/>
      </c>
      <c r="BU70" s="35" t="str">
        <f ca="1">IFERROR(VALUE(separ(INDEX(Sheet!AE$2:AE$7967,$A70),"-",1)),"")</f>
        <v/>
      </c>
      <c r="BV70" s="35"/>
      <c r="BW70" s="35" t="str">
        <f ca="1">IFERROR((separ(INDEX(Sheet!Q$2:Q$7967,$A70),"-",2)),"")</f>
        <v/>
      </c>
      <c r="BX70" s="35" t="str">
        <f ca="1">IFERROR((separ(INDEX(Sheet!R$2:R$7967,$A70),"-",2)),"")</f>
        <v/>
      </c>
      <c r="BY70" s="35" t="str">
        <f ca="1">IFERROR((separ(INDEX(Sheet!S$2:S$7967,$A70),"-",2)),"")</f>
        <v/>
      </c>
      <c r="BZ70" s="35" t="str">
        <f ca="1">IFERROR((separ(INDEX(Sheet!T$2:T$7967,$A70),"-",2)),"")</f>
        <v/>
      </c>
      <c r="CA70" s="35" t="str">
        <f ca="1">IFERROR((separ(INDEX(Sheet!U$2:U$7967,$A70),"-",2)),"")</f>
        <v/>
      </c>
      <c r="CB70" s="35" t="str">
        <f ca="1">IFERROR((separ(INDEX(Sheet!V$2:V$7967,$A70),"-",2)),"")</f>
        <v/>
      </c>
      <c r="CC70" s="35" t="str">
        <f ca="1">IFERROR((separ(INDEX(Sheet!W$2:W$7967,$A70),"-",2)),"")</f>
        <v/>
      </c>
      <c r="CD70" s="35" t="str">
        <f ca="1">IFERROR((separ(INDEX(Sheet!X$2:X$7967,$A70),"-",2)),"")</f>
        <v/>
      </c>
      <c r="CE70" s="35" t="str">
        <f ca="1">IFERROR((separ(INDEX(Sheet!Y$2:Y$7967,$A70),"-",2)),"")</f>
        <v/>
      </c>
      <c r="CF70" s="35" t="str">
        <f ca="1">IFERROR((separ(INDEX(Sheet!Z$2:Z$7967,$A70),"-",2)),"")</f>
        <v/>
      </c>
      <c r="CG70" s="35" t="str">
        <f ca="1">IFERROR((separ(INDEX(Sheet!AA$2:AA$7967,$A70),"-",2)),"")</f>
        <v/>
      </c>
      <c r="CH70" s="35" t="str">
        <f ca="1">IFERROR((separ(INDEX(Sheet!AB$2:AB$7967,$A70),"-",2)),"")</f>
        <v/>
      </c>
      <c r="CI70" s="35" t="str">
        <f ca="1">IFERROR((separ(INDEX(Sheet!AC$2:AC$7967,$A70),"-",2)),"")</f>
        <v/>
      </c>
      <c r="CJ70" s="35" t="str">
        <f ca="1">IFERROR((separ(INDEX(Sheet!AD$2:AD$7967,$A70),"-",2)),"")</f>
        <v/>
      </c>
      <c r="CK70" s="35" t="str">
        <f ca="1">IFERROR((separ(INDEX(Sheet!AE$2:AE$7967,$A70),"-",2)),"")</f>
        <v/>
      </c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</row>
    <row r="71" spans="1:104" s="29" customFormat="1">
      <c r="A71" s="45" t="str">
        <f ca="1">IFERROR(MATCH($B$3,OFFSET(Sheet!$D$2,A70,0):'Sheet'!$D$7657,0)+A70,"")</f>
        <v/>
      </c>
      <c r="B71" s="29" t="str">
        <f ca="1">IF(ROW(A64)&lt;=COUNT($A$6:$A$800),INDEX(Sheet!$A$2:$A$7967,$A71),IF(ROW(A64)=COUNT($A$6:$A$800)+1," ",IF(ROW(A64)=COUNT($A$6:$A$800)+2,"  ","")))</f>
        <v/>
      </c>
      <c r="C71" s="67" t="str">
        <f ca="1">IF($A71="","",INDEX(Sheet!E$2:E$7967,$A71))</f>
        <v/>
      </c>
      <c r="D71" s="31" t="str">
        <f ca="1">IF(B68=" ",$AR$1,IF(B71=" ",$AQ$1,IF(A71="","",INDEX(Sheet!G$2:G$7967,$A71))))</f>
        <v/>
      </c>
      <c r="E71" s="32" t="str">
        <f ca="1">IF($A71="","",TEXT(INDEX(Sheet!J$2:J$7967,$A71),"#,#")&amp;" "&amp;INDEX(Sheet!AT$2:AT$7967,$A71))</f>
        <v/>
      </c>
      <c r="F71" s="53" t="str">
        <f ca="1">IF($A71="","",INDEX(Sheet!F$2:F$7967,$A71))</f>
        <v/>
      </c>
      <c r="G71" s="32" t="str">
        <f ca="1">IF($A71="","",INDEX(Sheet!I$2:I$7967,$A71))</f>
        <v/>
      </c>
      <c r="H71" s="32" t="str">
        <f ca="1">IF($A71="","",INDEX(Sheet!L$2:L$7967,$A71))</f>
        <v/>
      </c>
      <c r="I71" s="32" t="str">
        <f ca="1">IF($A71="","",INDEX(Sheet!N$2:N$7967,$A71))</f>
        <v/>
      </c>
      <c r="J71" s="53" t="str">
        <f ca="1">IF($A71="","",INDEX(Sheet!AS$2:AS$7967,$A71))</f>
        <v/>
      </c>
      <c r="K71" s="33" t="str">
        <f ca="1">IF($A71="","",IF(INDEX(Sheet!S$2:S$7967,$A71)="","",INDEX(Sheet!S$2:S$7967,$A71)))</f>
        <v/>
      </c>
      <c r="L71" s="33" t="str">
        <f ca="1">IF($A71="","",IF(INDEX(Sheet!R$2:R$7967,$A71)="","",INDEX(Sheet!R$2:R$7967,$A71)))</f>
        <v/>
      </c>
      <c r="M71" s="33" t="str">
        <f ca="1">IF($A71="","",IF(INDEX(Sheet!AO$2:AO$7967,$A71)="","",INDEX(Sheet!AO$2:AO$7967,$A71)))</f>
        <v/>
      </c>
      <c r="N71" s="33" t="str">
        <f ca="1">IF($A71="","",IF(INDEX(Sheet!T$2:T$7967,$A71)="","",INDEX(Sheet!T$2:T$7967,$A71)))</f>
        <v/>
      </c>
      <c r="O71" s="33" t="str">
        <f ca="1">IF($A71="","",IF(INDEX(Sheet!U$2:U$7967,$A71)="","",INDEX(Sheet!U$2:U$7967,$A71)))</f>
        <v/>
      </c>
      <c r="P71" s="33" t="str">
        <f ca="1">IF($A71="","",IF(INDEX(Sheet!W$2:W$7967,$A71)="","",INDEX(Sheet!W$2:W$7967,$A71)))</f>
        <v/>
      </c>
      <c r="Q71" s="33" t="str">
        <f ca="1">IF($A71="","",IF(INDEX(Sheet!V$2:V$7967,$A71)="","",INDEX(Sheet!V$2:V$7967,$A71)))</f>
        <v/>
      </c>
      <c r="R71" s="33" t="str">
        <f ca="1">IF($A71="","",IF(INDEX(Sheet!Z$2:Z$7967,$A71)="","",INDEX(Sheet!Z$2:Z$7967,$A71)))</f>
        <v/>
      </c>
      <c r="S71" s="33" t="str">
        <f ca="1">IF($A71="","",IF(INDEX(Sheet!Y$2:Y$7967,$A71)="","",INDEX(Sheet!Y$2:Y$7967,$A71)))</f>
        <v/>
      </c>
      <c r="T71" s="33" t="str">
        <f ca="1">IF($A71="","",IF(INDEX(Sheet!X$2:X$7967,$A71)="","",INDEX(Sheet!X$2:X$7967,$A71)))</f>
        <v/>
      </c>
      <c r="U71" s="33" t="str">
        <f ca="1">IF($A71="","",IF(INDEX(Sheet!AA$2:AA$7967,$A71)="","",INDEX(Sheet!AA$2:AA$7967,$A71)))</f>
        <v/>
      </c>
      <c r="V71" s="33" t="str">
        <f ca="1">IF($A71="","",IF(INDEX(Sheet!AB$2:AB$7967,$A71)="","",INDEX(Sheet!AB$2:AB$7967,$A71)))</f>
        <v/>
      </c>
      <c r="W71" s="33" t="str">
        <f ca="1">IF($A71="","",IF(INDEX(Sheet!AH$2:AH$7967,$A71)="","",INDEX(Sheet!AH$2:AH$7967,$A71)))</f>
        <v/>
      </c>
      <c r="X71" s="33" t="str">
        <f ca="1">IF($A71="","",IF(INDEX(Sheet!AC$2:AC$7967,$A71)="","",INDEX(Sheet!AC$2:AC$7967,$A71)))</f>
        <v/>
      </c>
      <c r="Y71" s="33" t="str">
        <f ca="1">IF($A71="","",IF(INDEX(Sheet!AD$2:AD$7967,$A71)="","",INDEX(Sheet!AD$2:AD$7967,$A71)))</f>
        <v/>
      </c>
      <c r="Z71" s="33" t="str">
        <f ca="1">IF($A71="","",IF(INDEX(Sheet!AL$2:AL$7967,$A71)="","",INDEX(Sheet!AL$2:AL$7967,$A71)))</f>
        <v/>
      </c>
      <c r="AA71" s="33" t="str">
        <f ca="1">IF($A71="","",IF(INDEX(Sheet!AE$2:AE$7967,$A71)="","",INDEX(Sheet!AE$2:AE$7967,$A71)))</f>
        <v/>
      </c>
      <c r="AB71" s="33" t="str">
        <f ca="1">IF($A71="","",IF(INDEX(Sheet!AF$2:AF$7967,$A71)="","",INDEX(Sheet!AF$2:AF$7967,$A71)))</f>
        <v/>
      </c>
      <c r="AC71" s="33" t="str">
        <f ca="1">IF($A71="","",IF(INDEX(Sheet!AG$2:AG$7967,$A71)="","",INDEX(Sheet!AG$2:AG$7967,$A71)))</f>
        <v/>
      </c>
      <c r="AD71" s="33" t="str">
        <f ca="1">IF($A71="","",IF(INDEX(Sheet!AM$2:AM$7967,$A71)="","",INDEX(Sheet!AM$2:AM$7967,$A71)))</f>
        <v/>
      </c>
      <c r="AE71" s="33" t="str">
        <f ca="1">IF($A71="","",IF(INDEX(Sheet!AJ$2:AJ$7967,$A71)="","",INDEX(Sheet!AJ$2:AJ$7967,$A71)))</f>
        <v/>
      </c>
      <c r="AF71" s="33" t="str">
        <f ca="1">IF($A71="","",IF(INDEX(Sheet!AI$2:AI$7967,$A71)="","",INDEX(Sheet!AI$2:AI$7967,$A71)))</f>
        <v/>
      </c>
      <c r="AG71" s="33" t="str">
        <f ca="1">IF(D71="duyệt sản xuất"," Bảo Bảo, Ngày "&amp;DAY($J$4)&amp;" Tháng "&amp;MONTH($J$4)&amp;" Năm "&amp;YEAR($J$4),IF(D71="Phê duyệt","NGƯỜI LẬP",IF(D71="Nguyễn Ngọc Thắng","NGUYỄN THỊ MAI",IF($A71="","",INDEX(Sheet!AK$2:AK$7967,$A71)))))</f>
        <v/>
      </c>
      <c r="AH71" s="58" t="str">
        <f ca="1">IF($A71="","",INDEX(Sheet!AR$2:AR$7967,$A71)&amp;" ; "&amp;INDEX(Sheet!M$2:M$7967,$A71))</f>
        <v/>
      </c>
      <c r="AI71" s="1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G71" s="35" t="str">
        <f ca="1">IFERROR(VALUE(separ(INDEX(Sheet!Q$2:Q$7967,$A71),"-",1)),"")</f>
        <v/>
      </c>
      <c r="BH71" s="35" t="str">
        <f ca="1">IFERROR(VALUE(separ(INDEX(Sheet!R$2:R$7967,$A71),"-",1)),"")</f>
        <v/>
      </c>
      <c r="BI71" s="35" t="str">
        <f ca="1">IFERROR(VALUE(separ(INDEX(Sheet!S$2:S$7967,$A71),"-",1)),"")</f>
        <v/>
      </c>
      <c r="BJ71" s="35" t="str">
        <f ca="1">IFERROR(VALUE(separ(INDEX(Sheet!T$2:T$7967,$A71),"-",1)),"")</f>
        <v/>
      </c>
      <c r="BK71" s="35" t="str">
        <f ca="1">IFERROR(VALUE(separ(INDEX(Sheet!U$2:U$7967,$A71),"-",1)),"")</f>
        <v/>
      </c>
      <c r="BL71" s="35" t="str">
        <f ca="1">IFERROR(VALUE(separ(INDEX(Sheet!V$2:V$7967,$A71),"-",1)),"")</f>
        <v/>
      </c>
      <c r="BM71" s="35" t="str">
        <f ca="1">IFERROR(VALUE(separ(INDEX(Sheet!W$2:W$7967,$A71),"-",1)),"")</f>
        <v/>
      </c>
      <c r="BN71" s="35" t="str">
        <f ca="1">IFERROR(VALUE(separ(INDEX(Sheet!X$2:X$7967,$A71),"-",1)),"")</f>
        <v/>
      </c>
      <c r="BO71" s="35" t="str">
        <f ca="1">IFERROR(VALUE(separ(INDEX(Sheet!Y$2:Y$7967,$A71),"-",1)),"")</f>
        <v/>
      </c>
      <c r="BP71" s="35" t="str">
        <f ca="1">IFERROR(VALUE(separ(INDEX(Sheet!Z$2:Z$7967,$A71),"-",1)),"")</f>
        <v/>
      </c>
      <c r="BQ71" s="35" t="str">
        <f ca="1">IFERROR(VALUE(separ(INDEX(Sheet!AA$2:AA$7967,$A71),"-",1)),"")</f>
        <v/>
      </c>
      <c r="BR71" s="35" t="str">
        <f ca="1">IFERROR(VALUE(separ(INDEX(Sheet!AB$2:AB$7967,$A71),"-",1)),"")</f>
        <v/>
      </c>
      <c r="BS71" s="35" t="str">
        <f ca="1">IFERROR(VALUE(separ(INDEX(Sheet!AC$2:AC$7967,$A71),"-",1)),"")</f>
        <v/>
      </c>
      <c r="BT71" s="35" t="str">
        <f ca="1">IFERROR(VALUE(separ(INDEX(Sheet!AD$2:AD$7967,$A71),"-",1)),"")</f>
        <v/>
      </c>
      <c r="BU71" s="35" t="str">
        <f ca="1">IFERROR(VALUE(separ(INDEX(Sheet!AE$2:AE$7967,$A71),"-",1)),"")</f>
        <v/>
      </c>
      <c r="BV71" s="35"/>
      <c r="BW71" s="35" t="str">
        <f ca="1">IFERROR((separ(INDEX(Sheet!Q$2:Q$7967,$A71),"-",2)),"")</f>
        <v/>
      </c>
      <c r="BX71" s="35" t="str">
        <f ca="1">IFERROR((separ(INDEX(Sheet!R$2:R$7967,$A71),"-",2)),"")</f>
        <v/>
      </c>
      <c r="BY71" s="35" t="str">
        <f ca="1">IFERROR((separ(INDEX(Sheet!S$2:S$7967,$A71),"-",2)),"")</f>
        <v/>
      </c>
      <c r="BZ71" s="35" t="str">
        <f ca="1">IFERROR((separ(INDEX(Sheet!T$2:T$7967,$A71),"-",2)),"")</f>
        <v/>
      </c>
      <c r="CA71" s="35" t="str">
        <f ca="1">IFERROR((separ(INDEX(Sheet!U$2:U$7967,$A71),"-",2)),"")</f>
        <v/>
      </c>
      <c r="CB71" s="35" t="str">
        <f ca="1">IFERROR((separ(INDEX(Sheet!V$2:V$7967,$A71),"-",2)),"")</f>
        <v/>
      </c>
      <c r="CC71" s="35" t="str">
        <f ca="1">IFERROR((separ(INDEX(Sheet!W$2:W$7967,$A71),"-",2)),"")</f>
        <v/>
      </c>
      <c r="CD71" s="35" t="str">
        <f ca="1">IFERROR((separ(INDEX(Sheet!X$2:X$7967,$A71),"-",2)),"")</f>
        <v/>
      </c>
      <c r="CE71" s="35" t="str">
        <f ca="1">IFERROR((separ(INDEX(Sheet!Y$2:Y$7967,$A71),"-",2)),"")</f>
        <v/>
      </c>
      <c r="CF71" s="35" t="str">
        <f ca="1">IFERROR((separ(INDEX(Sheet!Z$2:Z$7967,$A71),"-",2)),"")</f>
        <v/>
      </c>
      <c r="CG71" s="35" t="str">
        <f ca="1">IFERROR((separ(INDEX(Sheet!AA$2:AA$7967,$A71),"-",2)),"")</f>
        <v/>
      </c>
      <c r="CH71" s="35" t="str">
        <f ca="1">IFERROR((separ(INDEX(Sheet!AB$2:AB$7967,$A71),"-",2)),"")</f>
        <v/>
      </c>
      <c r="CI71" s="35" t="str">
        <f ca="1">IFERROR((separ(INDEX(Sheet!AC$2:AC$7967,$A71),"-",2)),"")</f>
        <v/>
      </c>
      <c r="CJ71" s="35" t="str">
        <f ca="1">IFERROR((separ(INDEX(Sheet!AD$2:AD$7967,$A71),"-",2)),"")</f>
        <v/>
      </c>
      <c r="CK71" s="35" t="str">
        <f ca="1">IFERROR((separ(INDEX(Sheet!AE$2:AE$7967,$A71),"-",2)),"")</f>
        <v/>
      </c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</row>
    <row r="72" spans="1:104" s="29" customFormat="1">
      <c r="A72" s="45" t="str">
        <f ca="1">IFERROR(MATCH($B$3,OFFSET(Sheet!$D$2,A71,0):'Sheet'!$D$7657,0)+A71,"")</f>
        <v/>
      </c>
      <c r="B72" s="29" t="str">
        <f ca="1">IF(ROW(A65)&lt;=COUNT($A$6:$A$800),INDEX(Sheet!$A$2:$A$7967,$A72),IF(ROW(A65)=COUNT($A$6:$A$800)+1," ",IF(ROW(A65)=COUNT($A$6:$A$800)+2,"  ","")))</f>
        <v/>
      </c>
      <c r="C72" s="67" t="str">
        <f ca="1">IF($A72="","",INDEX(Sheet!E$2:E$7967,$A72))</f>
        <v/>
      </c>
      <c r="D72" s="31" t="str">
        <f ca="1">IF(B69=" ",$AR$1,IF(B72=" ",$AQ$1,IF(A72="","",INDEX(Sheet!G$2:G$7967,$A72))))</f>
        <v/>
      </c>
      <c r="E72" s="32" t="str">
        <f ca="1">IF($A72="","",TEXT(INDEX(Sheet!J$2:J$7967,$A72),"#,#")&amp;" "&amp;INDEX(Sheet!AT$2:AT$7967,$A72))</f>
        <v/>
      </c>
      <c r="F72" s="53" t="str">
        <f ca="1">IF($A72="","",INDEX(Sheet!F$2:F$7967,$A72))</f>
        <v/>
      </c>
      <c r="G72" s="32" t="str">
        <f ca="1">IF($A72="","",INDEX(Sheet!I$2:I$7967,$A72))</f>
        <v/>
      </c>
      <c r="H72" s="32" t="str">
        <f ca="1">IF($A72="","",INDEX(Sheet!L$2:L$7967,$A72))</f>
        <v/>
      </c>
      <c r="I72" s="32" t="str">
        <f ca="1">IF($A72="","",INDEX(Sheet!N$2:N$7967,$A72))</f>
        <v/>
      </c>
      <c r="J72" s="53" t="str">
        <f ca="1">IF($A72="","",INDEX(Sheet!AS$2:AS$7967,$A72))</f>
        <v/>
      </c>
      <c r="K72" s="33" t="str">
        <f ca="1">IF($A72="","",IF(INDEX(Sheet!S$2:S$7967,$A72)="","",INDEX(Sheet!S$2:S$7967,$A72)))</f>
        <v/>
      </c>
      <c r="L72" s="33" t="str">
        <f ca="1">IF($A72="","",IF(INDEX(Sheet!R$2:R$7967,$A72)="","",INDEX(Sheet!R$2:R$7967,$A72)))</f>
        <v/>
      </c>
      <c r="M72" s="33" t="str">
        <f ca="1">IF($A72="","",IF(INDEX(Sheet!AO$2:AO$7967,$A72)="","",INDEX(Sheet!AO$2:AO$7967,$A72)))</f>
        <v/>
      </c>
      <c r="N72" s="33" t="str">
        <f ca="1">IF($A72="","",IF(INDEX(Sheet!T$2:T$7967,$A72)="","",INDEX(Sheet!T$2:T$7967,$A72)))</f>
        <v/>
      </c>
      <c r="O72" s="33" t="str">
        <f ca="1">IF($A72="","",IF(INDEX(Sheet!U$2:U$7967,$A72)="","",INDEX(Sheet!U$2:U$7967,$A72)))</f>
        <v/>
      </c>
      <c r="P72" s="33" t="str">
        <f ca="1">IF($A72="","",IF(INDEX(Sheet!W$2:W$7967,$A72)="","",INDEX(Sheet!W$2:W$7967,$A72)))</f>
        <v/>
      </c>
      <c r="Q72" s="33" t="str">
        <f ca="1">IF($A72="","",IF(INDEX(Sheet!V$2:V$7967,$A72)="","",INDEX(Sheet!V$2:V$7967,$A72)))</f>
        <v/>
      </c>
      <c r="R72" s="33" t="str">
        <f ca="1">IF($A72="","",IF(INDEX(Sheet!Z$2:Z$7967,$A72)="","",INDEX(Sheet!Z$2:Z$7967,$A72)))</f>
        <v/>
      </c>
      <c r="S72" s="33" t="str">
        <f ca="1">IF($A72="","",IF(INDEX(Sheet!Y$2:Y$7967,$A72)="","",INDEX(Sheet!Y$2:Y$7967,$A72)))</f>
        <v/>
      </c>
      <c r="T72" s="33" t="str">
        <f ca="1">IF($A72="","",IF(INDEX(Sheet!X$2:X$7967,$A72)="","",INDEX(Sheet!X$2:X$7967,$A72)))</f>
        <v/>
      </c>
      <c r="U72" s="33" t="str">
        <f ca="1">IF($A72="","",IF(INDEX(Sheet!AA$2:AA$7967,$A72)="","",INDEX(Sheet!AA$2:AA$7967,$A72)))</f>
        <v/>
      </c>
      <c r="V72" s="33" t="str">
        <f ca="1">IF($A72="","",IF(INDEX(Sheet!AB$2:AB$7967,$A72)="","",INDEX(Sheet!AB$2:AB$7967,$A72)))</f>
        <v/>
      </c>
      <c r="W72" s="33" t="str">
        <f ca="1">IF($A72="","",IF(INDEX(Sheet!AH$2:AH$7967,$A72)="","",INDEX(Sheet!AH$2:AH$7967,$A72)))</f>
        <v/>
      </c>
      <c r="X72" s="33" t="str">
        <f ca="1">IF($A72="","",IF(INDEX(Sheet!AC$2:AC$7967,$A72)="","",INDEX(Sheet!AC$2:AC$7967,$A72)))</f>
        <v/>
      </c>
      <c r="Y72" s="33" t="str">
        <f ca="1">IF($A72="","",IF(INDEX(Sheet!AD$2:AD$7967,$A72)="","",INDEX(Sheet!AD$2:AD$7967,$A72)))</f>
        <v/>
      </c>
      <c r="Z72" s="33" t="str">
        <f ca="1">IF($A72="","",IF(INDEX(Sheet!AL$2:AL$7967,$A72)="","",INDEX(Sheet!AL$2:AL$7967,$A72)))</f>
        <v/>
      </c>
      <c r="AA72" s="33" t="str">
        <f ca="1">IF($A72="","",IF(INDEX(Sheet!AE$2:AE$7967,$A72)="","",INDEX(Sheet!AE$2:AE$7967,$A72)))</f>
        <v/>
      </c>
      <c r="AB72" s="33" t="str">
        <f ca="1">IF($A72="","",IF(INDEX(Sheet!AF$2:AF$7967,$A72)="","",INDEX(Sheet!AF$2:AF$7967,$A72)))</f>
        <v/>
      </c>
      <c r="AC72" s="33" t="str">
        <f ca="1">IF($A72="","",IF(INDEX(Sheet!AG$2:AG$7967,$A72)="","",INDEX(Sheet!AG$2:AG$7967,$A72)))</f>
        <v/>
      </c>
      <c r="AD72" s="33" t="str">
        <f ca="1">IF($A72="","",IF(INDEX(Sheet!AM$2:AM$7967,$A72)="","",INDEX(Sheet!AM$2:AM$7967,$A72)))</f>
        <v/>
      </c>
      <c r="AE72" s="33" t="str">
        <f ca="1">IF($A72="","",IF(INDEX(Sheet!AJ$2:AJ$7967,$A72)="","",INDEX(Sheet!AJ$2:AJ$7967,$A72)))</f>
        <v/>
      </c>
      <c r="AF72" s="33" t="str">
        <f ca="1">IF($A72="","",IF(INDEX(Sheet!AI$2:AI$7967,$A72)="","",INDEX(Sheet!AI$2:AI$7967,$A72)))</f>
        <v/>
      </c>
      <c r="AG72" s="33" t="str">
        <f ca="1">IF(D72="duyệt sản xuất"," Bảo Bảo, Ngày "&amp;DAY($J$4)&amp;" Tháng "&amp;MONTH($J$4)&amp;" Năm "&amp;YEAR($J$4),IF(D72="Phê duyệt","NGƯỜI LẬP",IF(D72="Nguyễn Ngọc Thắng","NGUYỄN THỊ MAI",IF($A72="","",INDEX(Sheet!AK$2:AK$7967,$A72)))))</f>
        <v/>
      </c>
      <c r="AH72" s="58" t="str">
        <f ca="1">IF($A72="","",INDEX(Sheet!AR$2:AR$7967,$A72)&amp;" ; "&amp;INDEX(Sheet!M$2:M$7967,$A72))</f>
        <v/>
      </c>
      <c r="AI72" s="1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G72" s="35" t="str">
        <f ca="1">IFERROR(VALUE(separ(INDEX(Sheet!Q$2:Q$7967,$A72),"-",1)),"")</f>
        <v/>
      </c>
      <c r="BH72" s="35" t="str">
        <f ca="1">IFERROR(VALUE(separ(INDEX(Sheet!R$2:R$7967,$A72),"-",1)),"")</f>
        <v/>
      </c>
      <c r="BI72" s="35" t="str">
        <f ca="1">IFERROR(VALUE(separ(INDEX(Sheet!S$2:S$7967,$A72),"-",1)),"")</f>
        <v/>
      </c>
      <c r="BJ72" s="35" t="str">
        <f ca="1">IFERROR(VALUE(separ(INDEX(Sheet!T$2:T$7967,$A72),"-",1)),"")</f>
        <v/>
      </c>
      <c r="BK72" s="35" t="str">
        <f ca="1">IFERROR(VALUE(separ(INDEX(Sheet!U$2:U$7967,$A72),"-",1)),"")</f>
        <v/>
      </c>
      <c r="BL72" s="35" t="str">
        <f ca="1">IFERROR(VALUE(separ(INDEX(Sheet!V$2:V$7967,$A72),"-",1)),"")</f>
        <v/>
      </c>
      <c r="BM72" s="35" t="str">
        <f ca="1">IFERROR(VALUE(separ(INDEX(Sheet!W$2:W$7967,$A72),"-",1)),"")</f>
        <v/>
      </c>
      <c r="BN72" s="35" t="str">
        <f ca="1">IFERROR(VALUE(separ(INDEX(Sheet!X$2:X$7967,$A72),"-",1)),"")</f>
        <v/>
      </c>
      <c r="BO72" s="35" t="str">
        <f ca="1">IFERROR(VALUE(separ(INDEX(Sheet!Y$2:Y$7967,$A72),"-",1)),"")</f>
        <v/>
      </c>
      <c r="BP72" s="35" t="str">
        <f ca="1">IFERROR(VALUE(separ(INDEX(Sheet!Z$2:Z$7967,$A72),"-",1)),"")</f>
        <v/>
      </c>
      <c r="BQ72" s="35" t="str">
        <f ca="1">IFERROR(VALUE(separ(INDEX(Sheet!AA$2:AA$7967,$A72),"-",1)),"")</f>
        <v/>
      </c>
      <c r="BR72" s="35" t="str">
        <f ca="1">IFERROR(VALUE(separ(INDEX(Sheet!AB$2:AB$7967,$A72),"-",1)),"")</f>
        <v/>
      </c>
      <c r="BS72" s="35" t="str">
        <f ca="1">IFERROR(VALUE(separ(INDEX(Sheet!AC$2:AC$7967,$A72),"-",1)),"")</f>
        <v/>
      </c>
      <c r="BT72" s="35" t="str">
        <f ca="1">IFERROR(VALUE(separ(INDEX(Sheet!AD$2:AD$7967,$A72),"-",1)),"")</f>
        <v/>
      </c>
      <c r="BU72" s="35" t="str">
        <f ca="1">IFERROR(VALUE(separ(INDEX(Sheet!AE$2:AE$7967,$A72),"-",1)),"")</f>
        <v/>
      </c>
      <c r="BV72" s="35"/>
      <c r="BW72" s="35" t="str">
        <f ca="1">IFERROR((separ(INDEX(Sheet!Q$2:Q$7967,$A72),"-",2)),"")</f>
        <v/>
      </c>
      <c r="BX72" s="35" t="str">
        <f ca="1">IFERROR((separ(INDEX(Sheet!R$2:R$7967,$A72),"-",2)),"")</f>
        <v/>
      </c>
      <c r="BY72" s="35" t="str">
        <f ca="1">IFERROR((separ(INDEX(Sheet!S$2:S$7967,$A72),"-",2)),"")</f>
        <v/>
      </c>
      <c r="BZ72" s="35" t="str">
        <f ca="1">IFERROR((separ(INDEX(Sheet!T$2:T$7967,$A72),"-",2)),"")</f>
        <v/>
      </c>
      <c r="CA72" s="35" t="str">
        <f ca="1">IFERROR((separ(INDEX(Sheet!U$2:U$7967,$A72),"-",2)),"")</f>
        <v/>
      </c>
      <c r="CB72" s="35" t="str">
        <f ca="1">IFERROR((separ(INDEX(Sheet!V$2:V$7967,$A72),"-",2)),"")</f>
        <v/>
      </c>
      <c r="CC72" s="35" t="str">
        <f ca="1">IFERROR((separ(INDEX(Sheet!W$2:W$7967,$A72),"-",2)),"")</f>
        <v/>
      </c>
      <c r="CD72" s="35" t="str">
        <f ca="1">IFERROR((separ(INDEX(Sheet!X$2:X$7967,$A72),"-",2)),"")</f>
        <v/>
      </c>
      <c r="CE72" s="35" t="str">
        <f ca="1">IFERROR((separ(INDEX(Sheet!Y$2:Y$7967,$A72),"-",2)),"")</f>
        <v/>
      </c>
      <c r="CF72" s="35" t="str">
        <f ca="1">IFERROR((separ(INDEX(Sheet!Z$2:Z$7967,$A72),"-",2)),"")</f>
        <v/>
      </c>
      <c r="CG72" s="35" t="str">
        <f ca="1">IFERROR((separ(INDEX(Sheet!AA$2:AA$7967,$A72),"-",2)),"")</f>
        <v/>
      </c>
      <c r="CH72" s="35" t="str">
        <f ca="1">IFERROR((separ(INDEX(Sheet!AB$2:AB$7967,$A72),"-",2)),"")</f>
        <v/>
      </c>
      <c r="CI72" s="35" t="str">
        <f ca="1">IFERROR((separ(INDEX(Sheet!AC$2:AC$7967,$A72),"-",2)),"")</f>
        <v/>
      </c>
      <c r="CJ72" s="35" t="str">
        <f ca="1">IFERROR((separ(INDEX(Sheet!AD$2:AD$7967,$A72),"-",2)),"")</f>
        <v/>
      </c>
      <c r="CK72" s="35" t="str">
        <f ca="1">IFERROR((separ(INDEX(Sheet!AE$2:AE$7967,$A72),"-",2)),"")</f>
        <v/>
      </c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</row>
    <row r="73" spans="1:104" s="29" customFormat="1">
      <c r="A73" s="45" t="str">
        <f ca="1">IFERROR(MATCH($B$3,OFFSET(Sheet!$D$2,A72,0):'Sheet'!$D$7657,0)+A72,"")</f>
        <v/>
      </c>
      <c r="B73" s="29" t="str">
        <f ca="1">IF(ROW(A66)&lt;=COUNT($A$6:$A$800),INDEX(Sheet!$A$2:$A$7967,$A73),IF(ROW(A66)=COUNT($A$6:$A$800)+1," ",IF(ROW(A66)=COUNT($A$6:$A$800)+2,"  ","")))</f>
        <v/>
      </c>
      <c r="C73" s="67" t="str">
        <f ca="1">IF($A73="","",INDEX(Sheet!E$2:E$7967,$A73))</f>
        <v/>
      </c>
      <c r="D73" s="31" t="str">
        <f ca="1">IF(B70=" ",$AR$1,IF(B73=" ",$AQ$1,IF(A73="","",INDEX(Sheet!G$2:G$7967,$A73))))</f>
        <v/>
      </c>
      <c r="E73" s="32" t="str">
        <f ca="1">IF($A73="","",TEXT(INDEX(Sheet!J$2:J$7967,$A73),"#,#")&amp;" "&amp;INDEX(Sheet!AT$2:AT$7967,$A73))</f>
        <v/>
      </c>
      <c r="F73" s="53" t="str">
        <f ca="1">IF($A73="","",INDEX(Sheet!F$2:F$7967,$A73))</f>
        <v/>
      </c>
      <c r="G73" s="32" t="str">
        <f ca="1">IF($A73="","",INDEX(Sheet!I$2:I$7967,$A73))</f>
        <v/>
      </c>
      <c r="H73" s="32" t="str">
        <f ca="1">IF($A73="","",INDEX(Sheet!L$2:L$7967,$A73))</f>
        <v/>
      </c>
      <c r="I73" s="32" t="str">
        <f ca="1">IF($A73="","",INDEX(Sheet!N$2:N$7967,$A73))</f>
        <v/>
      </c>
      <c r="J73" s="53" t="str">
        <f ca="1">IF($A73="","",INDEX(Sheet!AS$2:AS$7967,$A73))</f>
        <v/>
      </c>
      <c r="K73" s="33" t="str">
        <f ca="1">IF($A73="","",IF(INDEX(Sheet!S$2:S$7967,$A73)="","",INDEX(Sheet!S$2:S$7967,$A73)))</f>
        <v/>
      </c>
      <c r="L73" s="33" t="str">
        <f ca="1">IF($A73="","",IF(INDEX(Sheet!R$2:R$7967,$A73)="","",INDEX(Sheet!R$2:R$7967,$A73)))</f>
        <v/>
      </c>
      <c r="M73" s="33" t="str">
        <f ca="1">IF($A73="","",IF(INDEX(Sheet!AO$2:AO$7967,$A73)="","",INDEX(Sheet!AO$2:AO$7967,$A73)))</f>
        <v/>
      </c>
      <c r="N73" s="33" t="str">
        <f ca="1">IF($A73="","",IF(INDEX(Sheet!T$2:T$7967,$A73)="","",INDEX(Sheet!T$2:T$7967,$A73)))</f>
        <v/>
      </c>
      <c r="O73" s="33" t="str">
        <f ca="1">IF($A73="","",IF(INDEX(Sheet!U$2:U$7967,$A73)="","",INDEX(Sheet!U$2:U$7967,$A73)))</f>
        <v/>
      </c>
      <c r="P73" s="33" t="str">
        <f ca="1">IF($A73="","",IF(INDEX(Sheet!W$2:W$7967,$A73)="","",INDEX(Sheet!W$2:W$7967,$A73)))</f>
        <v/>
      </c>
      <c r="Q73" s="33" t="str">
        <f ca="1">IF($A73="","",IF(INDEX(Sheet!V$2:V$7967,$A73)="","",INDEX(Sheet!V$2:V$7967,$A73)))</f>
        <v/>
      </c>
      <c r="R73" s="33" t="str">
        <f ca="1">IF($A73="","",IF(INDEX(Sheet!Z$2:Z$7967,$A73)="","",INDEX(Sheet!Z$2:Z$7967,$A73)))</f>
        <v/>
      </c>
      <c r="S73" s="33" t="str">
        <f ca="1">IF($A73="","",IF(INDEX(Sheet!Y$2:Y$7967,$A73)="","",INDEX(Sheet!Y$2:Y$7967,$A73)))</f>
        <v/>
      </c>
      <c r="T73" s="33" t="str">
        <f ca="1">IF($A73="","",IF(INDEX(Sheet!X$2:X$7967,$A73)="","",INDEX(Sheet!X$2:X$7967,$A73)))</f>
        <v/>
      </c>
      <c r="U73" s="33" t="str">
        <f ca="1">IF($A73="","",IF(INDEX(Sheet!AA$2:AA$7967,$A73)="","",INDEX(Sheet!AA$2:AA$7967,$A73)))</f>
        <v/>
      </c>
      <c r="V73" s="33" t="str">
        <f ca="1">IF($A73="","",IF(INDEX(Sheet!AB$2:AB$7967,$A73)="","",INDEX(Sheet!AB$2:AB$7967,$A73)))</f>
        <v/>
      </c>
      <c r="W73" s="33" t="str">
        <f ca="1">IF($A73="","",IF(INDEX(Sheet!AH$2:AH$7967,$A73)="","",INDEX(Sheet!AH$2:AH$7967,$A73)))</f>
        <v/>
      </c>
      <c r="X73" s="33" t="str">
        <f ca="1">IF($A73="","",IF(INDEX(Sheet!AC$2:AC$7967,$A73)="","",INDEX(Sheet!AC$2:AC$7967,$A73)))</f>
        <v/>
      </c>
      <c r="Y73" s="33" t="str">
        <f ca="1">IF($A73="","",IF(INDEX(Sheet!AD$2:AD$7967,$A73)="","",INDEX(Sheet!AD$2:AD$7967,$A73)))</f>
        <v/>
      </c>
      <c r="Z73" s="33" t="str">
        <f ca="1">IF($A73="","",IF(INDEX(Sheet!AL$2:AL$7967,$A73)="","",INDEX(Sheet!AL$2:AL$7967,$A73)))</f>
        <v/>
      </c>
      <c r="AA73" s="33" t="str">
        <f ca="1">IF($A73="","",IF(INDEX(Sheet!AE$2:AE$7967,$A73)="","",INDEX(Sheet!AE$2:AE$7967,$A73)))</f>
        <v/>
      </c>
      <c r="AB73" s="33" t="str">
        <f ca="1">IF($A73="","",IF(INDEX(Sheet!AF$2:AF$7967,$A73)="","",INDEX(Sheet!AF$2:AF$7967,$A73)))</f>
        <v/>
      </c>
      <c r="AC73" s="33" t="str">
        <f ca="1">IF($A73="","",IF(INDEX(Sheet!AG$2:AG$7967,$A73)="","",INDEX(Sheet!AG$2:AG$7967,$A73)))</f>
        <v/>
      </c>
      <c r="AD73" s="33" t="str">
        <f ca="1">IF($A73="","",IF(INDEX(Sheet!AM$2:AM$7967,$A73)="","",INDEX(Sheet!AM$2:AM$7967,$A73)))</f>
        <v/>
      </c>
      <c r="AE73" s="33" t="str">
        <f ca="1">IF($A73="","",IF(INDEX(Sheet!AJ$2:AJ$7967,$A73)="","",INDEX(Sheet!AJ$2:AJ$7967,$A73)))</f>
        <v/>
      </c>
      <c r="AF73" s="33" t="str">
        <f ca="1">IF($A73="","",IF(INDEX(Sheet!AI$2:AI$7967,$A73)="","",INDEX(Sheet!AI$2:AI$7967,$A73)))</f>
        <v/>
      </c>
      <c r="AG73" s="33" t="str">
        <f ca="1">IF(D73="duyệt sản xuất"," Bảo Bảo, Ngày "&amp;DAY($J$4)&amp;" Tháng "&amp;MONTH($J$4)&amp;" Năm "&amp;YEAR($J$4),IF(D73="Phê duyệt","NGƯỜI LẬP",IF(D73="Nguyễn Ngọc Thắng","NGUYỄN THỊ MAI",IF($A73="","",INDEX(Sheet!AK$2:AK$7967,$A73)))))</f>
        <v/>
      </c>
      <c r="AH73" s="58" t="str">
        <f ca="1">IF($A73="","",INDEX(Sheet!AR$2:AR$7967,$A73)&amp;" ; "&amp;INDEX(Sheet!M$2:M$7967,$A73))</f>
        <v/>
      </c>
      <c r="AI73" s="1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G73" s="35" t="str">
        <f ca="1">IFERROR(VALUE(separ(INDEX(Sheet!Q$2:Q$7967,$A73),"-",1)),"")</f>
        <v/>
      </c>
      <c r="BH73" s="35" t="str">
        <f ca="1">IFERROR(VALUE(separ(INDEX(Sheet!R$2:R$7967,$A73),"-",1)),"")</f>
        <v/>
      </c>
      <c r="BI73" s="35" t="str">
        <f ca="1">IFERROR(VALUE(separ(INDEX(Sheet!S$2:S$7967,$A73),"-",1)),"")</f>
        <v/>
      </c>
      <c r="BJ73" s="35" t="str">
        <f ca="1">IFERROR(VALUE(separ(INDEX(Sheet!T$2:T$7967,$A73),"-",1)),"")</f>
        <v/>
      </c>
      <c r="BK73" s="35" t="str">
        <f ca="1">IFERROR(VALUE(separ(INDEX(Sheet!U$2:U$7967,$A73),"-",1)),"")</f>
        <v/>
      </c>
      <c r="BL73" s="35" t="str">
        <f ca="1">IFERROR(VALUE(separ(INDEX(Sheet!V$2:V$7967,$A73),"-",1)),"")</f>
        <v/>
      </c>
      <c r="BM73" s="35" t="str">
        <f ca="1">IFERROR(VALUE(separ(INDEX(Sheet!W$2:W$7967,$A73),"-",1)),"")</f>
        <v/>
      </c>
      <c r="BN73" s="35" t="str">
        <f ca="1">IFERROR(VALUE(separ(INDEX(Sheet!X$2:X$7967,$A73),"-",1)),"")</f>
        <v/>
      </c>
      <c r="BO73" s="35" t="str">
        <f ca="1">IFERROR(VALUE(separ(INDEX(Sheet!Y$2:Y$7967,$A73),"-",1)),"")</f>
        <v/>
      </c>
      <c r="BP73" s="35" t="str">
        <f ca="1">IFERROR(VALUE(separ(INDEX(Sheet!Z$2:Z$7967,$A73),"-",1)),"")</f>
        <v/>
      </c>
      <c r="BQ73" s="35" t="str">
        <f ca="1">IFERROR(VALUE(separ(INDEX(Sheet!AA$2:AA$7967,$A73),"-",1)),"")</f>
        <v/>
      </c>
      <c r="BR73" s="35" t="str">
        <f ca="1">IFERROR(VALUE(separ(INDEX(Sheet!AB$2:AB$7967,$A73),"-",1)),"")</f>
        <v/>
      </c>
      <c r="BS73" s="35" t="str">
        <f ca="1">IFERROR(VALUE(separ(INDEX(Sheet!AC$2:AC$7967,$A73),"-",1)),"")</f>
        <v/>
      </c>
      <c r="BT73" s="35" t="str">
        <f ca="1">IFERROR(VALUE(separ(INDEX(Sheet!AD$2:AD$7967,$A73),"-",1)),"")</f>
        <v/>
      </c>
      <c r="BU73" s="35" t="str">
        <f ca="1">IFERROR(VALUE(separ(INDEX(Sheet!AE$2:AE$7967,$A73),"-",1)),"")</f>
        <v/>
      </c>
      <c r="BV73" s="35"/>
      <c r="BW73" s="35" t="str">
        <f ca="1">IFERROR((separ(INDEX(Sheet!Q$2:Q$7967,$A73),"-",2)),"")</f>
        <v/>
      </c>
      <c r="BX73" s="35" t="str">
        <f ca="1">IFERROR((separ(INDEX(Sheet!R$2:R$7967,$A73),"-",2)),"")</f>
        <v/>
      </c>
      <c r="BY73" s="35" t="str">
        <f ca="1">IFERROR((separ(INDEX(Sheet!S$2:S$7967,$A73),"-",2)),"")</f>
        <v/>
      </c>
      <c r="BZ73" s="35" t="str">
        <f ca="1">IFERROR((separ(INDEX(Sheet!T$2:T$7967,$A73),"-",2)),"")</f>
        <v/>
      </c>
      <c r="CA73" s="35" t="str">
        <f ca="1">IFERROR((separ(INDEX(Sheet!U$2:U$7967,$A73),"-",2)),"")</f>
        <v/>
      </c>
      <c r="CB73" s="35" t="str">
        <f ca="1">IFERROR((separ(INDEX(Sheet!V$2:V$7967,$A73),"-",2)),"")</f>
        <v/>
      </c>
      <c r="CC73" s="35" t="str">
        <f ca="1">IFERROR((separ(INDEX(Sheet!W$2:W$7967,$A73),"-",2)),"")</f>
        <v/>
      </c>
      <c r="CD73" s="35" t="str">
        <f ca="1">IFERROR((separ(INDEX(Sheet!X$2:X$7967,$A73),"-",2)),"")</f>
        <v/>
      </c>
      <c r="CE73" s="35" t="str">
        <f ca="1">IFERROR((separ(INDEX(Sheet!Y$2:Y$7967,$A73),"-",2)),"")</f>
        <v/>
      </c>
      <c r="CF73" s="35" t="str">
        <f ca="1">IFERROR((separ(INDEX(Sheet!Z$2:Z$7967,$A73),"-",2)),"")</f>
        <v/>
      </c>
      <c r="CG73" s="35" t="str">
        <f ca="1">IFERROR((separ(INDEX(Sheet!AA$2:AA$7967,$A73),"-",2)),"")</f>
        <v/>
      </c>
      <c r="CH73" s="35" t="str">
        <f ca="1">IFERROR((separ(INDEX(Sheet!AB$2:AB$7967,$A73),"-",2)),"")</f>
        <v/>
      </c>
      <c r="CI73" s="35" t="str">
        <f ca="1">IFERROR((separ(INDEX(Sheet!AC$2:AC$7967,$A73),"-",2)),"")</f>
        <v/>
      </c>
      <c r="CJ73" s="35" t="str">
        <f ca="1">IFERROR((separ(INDEX(Sheet!AD$2:AD$7967,$A73),"-",2)),"")</f>
        <v/>
      </c>
      <c r="CK73" s="35" t="str">
        <f ca="1">IFERROR((separ(INDEX(Sheet!AE$2:AE$7967,$A73),"-",2)),"")</f>
        <v/>
      </c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</row>
    <row r="74" spans="1:104" s="29" customFormat="1">
      <c r="A74" s="45" t="str">
        <f ca="1">IFERROR(MATCH($B$3,OFFSET(Sheet!$D$2,A73,0):'Sheet'!$D$7657,0)+A73,"")</f>
        <v/>
      </c>
      <c r="B74" s="29" t="str">
        <f ca="1">IF(ROW(A67)&lt;=COUNT($A$6:$A$800),INDEX(Sheet!$A$2:$A$7967,$A74),IF(ROW(A67)=COUNT($A$6:$A$800)+1," ",IF(ROW(A67)=COUNT($A$6:$A$800)+2,"  ","")))</f>
        <v/>
      </c>
      <c r="C74" s="67" t="str">
        <f ca="1">IF($A74="","",INDEX(Sheet!E$2:E$7967,$A74))</f>
        <v/>
      </c>
      <c r="D74" s="31" t="str">
        <f ca="1">IF(B71=" ",$AR$1,IF(B74=" ",$AQ$1,IF(A74="","",INDEX(Sheet!G$2:G$7967,$A74))))</f>
        <v/>
      </c>
      <c r="E74" s="32" t="str">
        <f ca="1">IF($A74="","",TEXT(INDEX(Sheet!J$2:J$7967,$A74),"#,#")&amp;" "&amp;INDEX(Sheet!AT$2:AT$7967,$A74))</f>
        <v/>
      </c>
      <c r="F74" s="53" t="str">
        <f ca="1">IF($A74="","",INDEX(Sheet!F$2:F$7967,$A74))</f>
        <v/>
      </c>
      <c r="G74" s="32" t="str">
        <f ca="1">IF($A74="","",INDEX(Sheet!I$2:I$7967,$A74))</f>
        <v/>
      </c>
      <c r="H74" s="32" t="str">
        <f ca="1">IF($A74="","",INDEX(Sheet!L$2:L$7967,$A74))</f>
        <v/>
      </c>
      <c r="I74" s="32" t="str">
        <f ca="1">IF($A74="","",INDEX(Sheet!N$2:N$7967,$A74))</f>
        <v/>
      </c>
      <c r="J74" s="53" t="str">
        <f ca="1">IF($A74="","",INDEX(Sheet!AS$2:AS$7967,$A74))</f>
        <v/>
      </c>
      <c r="K74" s="33" t="str">
        <f ca="1">IF($A74="","",IF(INDEX(Sheet!S$2:S$7967,$A74)="","",INDEX(Sheet!S$2:S$7967,$A74)))</f>
        <v/>
      </c>
      <c r="L74" s="33" t="str">
        <f ca="1">IF($A74="","",IF(INDEX(Sheet!R$2:R$7967,$A74)="","",INDEX(Sheet!R$2:R$7967,$A74)))</f>
        <v/>
      </c>
      <c r="M74" s="33" t="str">
        <f ca="1">IF($A74="","",IF(INDEX(Sheet!AO$2:AO$7967,$A74)="","",INDEX(Sheet!AO$2:AO$7967,$A74)))</f>
        <v/>
      </c>
      <c r="N74" s="33" t="str">
        <f ca="1">IF($A74="","",IF(INDEX(Sheet!T$2:T$7967,$A74)="","",INDEX(Sheet!T$2:T$7967,$A74)))</f>
        <v/>
      </c>
      <c r="O74" s="33" t="str">
        <f ca="1">IF($A74="","",IF(INDEX(Sheet!U$2:U$7967,$A74)="","",INDEX(Sheet!U$2:U$7967,$A74)))</f>
        <v/>
      </c>
      <c r="P74" s="33" t="str">
        <f ca="1">IF($A74="","",IF(INDEX(Sheet!W$2:W$7967,$A74)="","",INDEX(Sheet!W$2:W$7967,$A74)))</f>
        <v/>
      </c>
      <c r="Q74" s="33" t="str">
        <f ca="1">IF($A74="","",IF(INDEX(Sheet!V$2:V$7967,$A74)="","",INDEX(Sheet!V$2:V$7967,$A74)))</f>
        <v/>
      </c>
      <c r="R74" s="33" t="str">
        <f ca="1">IF($A74="","",IF(INDEX(Sheet!Z$2:Z$7967,$A74)="","",INDEX(Sheet!Z$2:Z$7967,$A74)))</f>
        <v/>
      </c>
      <c r="S74" s="33" t="str">
        <f ca="1">IF($A74="","",IF(INDEX(Sheet!Y$2:Y$7967,$A74)="","",INDEX(Sheet!Y$2:Y$7967,$A74)))</f>
        <v/>
      </c>
      <c r="T74" s="33" t="str">
        <f ca="1">IF($A74="","",IF(INDEX(Sheet!X$2:X$7967,$A74)="","",INDEX(Sheet!X$2:X$7967,$A74)))</f>
        <v/>
      </c>
      <c r="U74" s="33" t="str">
        <f ca="1">IF($A74="","",IF(INDEX(Sheet!AA$2:AA$7967,$A74)="","",INDEX(Sheet!AA$2:AA$7967,$A74)))</f>
        <v/>
      </c>
      <c r="V74" s="33" t="str">
        <f ca="1">IF($A74="","",IF(INDEX(Sheet!AB$2:AB$7967,$A74)="","",INDEX(Sheet!AB$2:AB$7967,$A74)))</f>
        <v/>
      </c>
      <c r="W74" s="33" t="str">
        <f ca="1">IF($A74="","",IF(INDEX(Sheet!AH$2:AH$7967,$A74)="","",INDEX(Sheet!AH$2:AH$7967,$A74)))</f>
        <v/>
      </c>
      <c r="X74" s="33" t="str">
        <f ca="1">IF($A74="","",IF(INDEX(Sheet!AC$2:AC$7967,$A74)="","",INDEX(Sheet!AC$2:AC$7967,$A74)))</f>
        <v/>
      </c>
      <c r="Y74" s="33" t="str">
        <f ca="1">IF($A74="","",IF(INDEX(Sheet!AD$2:AD$7967,$A74)="","",INDEX(Sheet!AD$2:AD$7967,$A74)))</f>
        <v/>
      </c>
      <c r="Z74" s="33" t="str">
        <f ca="1">IF($A74="","",IF(INDEX(Sheet!AL$2:AL$7967,$A74)="","",INDEX(Sheet!AL$2:AL$7967,$A74)))</f>
        <v/>
      </c>
      <c r="AA74" s="33" t="str">
        <f ca="1">IF($A74="","",IF(INDEX(Sheet!AE$2:AE$7967,$A74)="","",INDEX(Sheet!AE$2:AE$7967,$A74)))</f>
        <v/>
      </c>
      <c r="AB74" s="33" t="str">
        <f ca="1">IF($A74="","",IF(INDEX(Sheet!AF$2:AF$7967,$A74)="","",INDEX(Sheet!AF$2:AF$7967,$A74)))</f>
        <v/>
      </c>
      <c r="AC74" s="33" t="str">
        <f ca="1">IF($A74="","",IF(INDEX(Sheet!AG$2:AG$7967,$A74)="","",INDEX(Sheet!AG$2:AG$7967,$A74)))</f>
        <v/>
      </c>
      <c r="AD74" s="33" t="str">
        <f ca="1">IF($A74="","",IF(INDEX(Sheet!AM$2:AM$7967,$A74)="","",INDEX(Sheet!AM$2:AM$7967,$A74)))</f>
        <v/>
      </c>
      <c r="AE74" s="33" t="str">
        <f ca="1">IF($A74="","",IF(INDEX(Sheet!AJ$2:AJ$7967,$A74)="","",INDEX(Sheet!AJ$2:AJ$7967,$A74)))</f>
        <v/>
      </c>
      <c r="AF74" s="33" t="str">
        <f ca="1">IF($A74="","",IF(INDEX(Sheet!AI$2:AI$7967,$A74)="","",INDEX(Sheet!AI$2:AI$7967,$A74)))</f>
        <v/>
      </c>
      <c r="AG74" s="33" t="str">
        <f ca="1">IF(D74="duyệt sản xuất"," Bảo Bảo, Ngày "&amp;DAY($J$4)&amp;" Tháng "&amp;MONTH($J$4)&amp;" Năm "&amp;YEAR($J$4),IF(D74="Phê duyệt","NGƯỜI LẬP",IF(D74="Nguyễn Ngọc Thắng","NGUYỄN THỊ MAI",IF($A74="","",INDEX(Sheet!AK$2:AK$7967,$A74)))))</f>
        <v/>
      </c>
      <c r="AH74" s="58" t="str">
        <f ca="1">IF($A74="","",INDEX(Sheet!AR$2:AR$7967,$A74)&amp;" ; "&amp;INDEX(Sheet!M$2:M$7967,$A74))</f>
        <v/>
      </c>
      <c r="AI74" s="1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G74" s="35" t="str">
        <f ca="1">IFERROR(VALUE(separ(INDEX(Sheet!Q$2:Q$7967,$A74),"-",1)),"")</f>
        <v/>
      </c>
      <c r="BH74" s="35" t="str">
        <f ca="1">IFERROR(VALUE(separ(INDEX(Sheet!R$2:R$7967,$A74),"-",1)),"")</f>
        <v/>
      </c>
      <c r="BI74" s="35" t="str">
        <f ca="1">IFERROR(VALUE(separ(INDEX(Sheet!S$2:S$7967,$A74),"-",1)),"")</f>
        <v/>
      </c>
      <c r="BJ74" s="35" t="str">
        <f ca="1">IFERROR(VALUE(separ(INDEX(Sheet!T$2:T$7967,$A74),"-",1)),"")</f>
        <v/>
      </c>
      <c r="BK74" s="35" t="str">
        <f ca="1">IFERROR(VALUE(separ(INDEX(Sheet!U$2:U$7967,$A74),"-",1)),"")</f>
        <v/>
      </c>
      <c r="BL74" s="35" t="str">
        <f ca="1">IFERROR(VALUE(separ(INDEX(Sheet!V$2:V$7967,$A74),"-",1)),"")</f>
        <v/>
      </c>
      <c r="BM74" s="35" t="str">
        <f ca="1">IFERROR(VALUE(separ(INDEX(Sheet!W$2:W$7967,$A74),"-",1)),"")</f>
        <v/>
      </c>
      <c r="BN74" s="35" t="str">
        <f ca="1">IFERROR(VALUE(separ(INDEX(Sheet!X$2:X$7967,$A74),"-",1)),"")</f>
        <v/>
      </c>
      <c r="BO74" s="35" t="str">
        <f ca="1">IFERROR(VALUE(separ(INDEX(Sheet!Y$2:Y$7967,$A74),"-",1)),"")</f>
        <v/>
      </c>
      <c r="BP74" s="35" t="str">
        <f ca="1">IFERROR(VALUE(separ(INDEX(Sheet!Z$2:Z$7967,$A74),"-",1)),"")</f>
        <v/>
      </c>
      <c r="BQ74" s="35" t="str">
        <f ca="1">IFERROR(VALUE(separ(INDEX(Sheet!AA$2:AA$7967,$A74),"-",1)),"")</f>
        <v/>
      </c>
      <c r="BR74" s="35" t="str">
        <f ca="1">IFERROR(VALUE(separ(INDEX(Sheet!AB$2:AB$7967,$A74),"-",1)),"")</f>
        <v/>
      </c>
      <c r="BS74" s="35" t="str">
        <f ca="1">IFERROR(VALUE(separ(INDEX(Sheet!AC$2:AC$7967,$A74),"-",1)),"")</f>
        <v/>
      </c>
      <c r="BT74" s="35" t="str">
        <f ca="1">IFERROR(VALUE(separ(INDEX(Sheet!AD$2:AD$7967,$A74),"-",1)),"")</f>
        <v/>
      </c>
      <c r="BU74" s="35" t="str">
        <f ca="1">IFERROR(VALUE(separ(INDEX(Sheet!AE$2:AE$7967,$A74),"-",1)),"")</f>
        <v/>
      </c>
      <c r="BV74" s="35"/>
      <c r="BW74" s="35" t="str">
        <f ca="1">IFERROR((separ(INDEX(Sheet!Q$2:Q$7967,$A74),"-",2)),"")</f>
        <v/>
      </c>
      <c r="BX74" s="35" t="str">
        <f ca="1">IFERROR((separ(INDEX(Sheet!R$2:R$7967,$A74),"-",2)),"")</f>
        <v/>
      </c>
      <c r="BY74" s="35" t="str">
        <f ca="1">IFERROR((separ(INDEX(Sheet!S$2:S$7967,$A74),"-",2)),"")</f>
        <v/>
      </c>
      <c r="BZ74" s="35" t="str">
        <f ca="1">IFERROR((separ(INDEX(Sheet!T$2:T$7967,$A74),"-",2)),"")</f>
        <v/>
      </c>
      <c r="CA74" s="35" t="str">
        <f ca="1">IFERROR((separ(INDEX(Sheet!U$2:U$7967,$A74),"-",2)),"")</f>
        <v/>
      </c>
      <c r="CB74" s="35" t="str">
        <f ca="1">IFERROR((separ(INDEX(Sheet!V$2:V$7967,$A74),"-",2)),"")</f>
        <v/>
      </c>
      <c r="CC74" s="35" t="str">
        <f ca="1">IFERROR((separ(INDEX(Sheet!W$2:W$7967,$A74),"-",2)),"")</f>
        <v/>
      </c>
      <c r="CD74" s="35" t="str">
        <f ca="1">IFERROR((separ(INDEX(Sheet!X$2:X$7967,$A74),"-",2)),"")</f>
        <v/>
      </c>
      <c r="CE74" s="35" t="str">
        <f ca="1">IFERROR((separ(INDEX(Sheet!Y$2:Y$7967,$A74),"-",2)),"")</f>
        <v/>
      </c>
      <c r="CF74" s="35" t="str">
        <f ca="1">IFERROR((separ(INDEX(Sheet!Z$2:Z$7967,$A74),"-",2)),"")</f>
        <v/>
      </c>
      <c r="CG74" s="35" t="str">
        <f ca="1">IFERROR((separ(INDEX(Sheet!AA$2:AA$7967,$A74),"-",2)),"")</f>
        <v/>
      </c>
      <c r="CH74" s="35" t="str">
        <f ca="1">IFERROR((separ(INDEX(Sheet!AB$2:AB$7967,$A74),"-",2)),"")</f>
        <v/>
      </c>
      <c r="CI74" s="35" t="str">
        <f ca="1">IFERROR((separ(INDEX(Sheet!AC$2:AC$7967,$A74),"-",2)),"")</f>
        <v/>
      </c>
      <c r="CJ74" s="35" t="str">
        <f ca="1">IFERROR((separ(INDEX(Sheet!AD$2:AD$7967,$A74),"-",2)),"")</f>
        <v/>
      </c>
      <c r="CK74" s="35" t="str">
        <f ca="1">IFERROR((separ(INDEX(Sheet!AE$2:AE$7967,$A74),"-",2)),"")</f>
        <v/>
      </c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</row>
    <row r="75" spans="1:104" s="29" customFormat="1">
      <c r="A75" s="45" t="str">
        <f ca="1">IFERROR(MATCH($B$3,OFFSET(Sheet!$D$2,A74,0):'Sheet'!$D$7657,0)+A74,"")</f>
        <v/>
      </c>
      <c r="B75" s="29" t="str">
        <f ca="1">IF(ROW(A68)&lt;=COUNT($A$6:$A$800),INDEX(Sheet!$A$2:$A$7967,$A75),IF(ROW(A68)=COUNT($A$6:$A$800)+1," ",IF(ROW(A68)=COUNT($A$6:$A$800)+2,"  ","")))</f>
        <v/>
      </c>
      <c r="C75" s="67" t="str">
        <f ca="1">IF($A75="","",INDEX(Sheet!E$2:E$7967,$A75))</f>
        <v/>
      </c>
      <c r="D75" s="31" t="str">
        <f ca="1">IF(B72=" ",$AR$1,IF(B75=" ",$AQ$1,IF(A75="","",INDEX(Sheet!G$2:G$7967,$A75))))</f>
        <v/>
      </c>
      <c r="E75" s="32" t="str">
        <f ca="1">IF($A75="","",TEXT(INDEX(Sheet!J$2:J$7967,$A75),"#,#")&amp;" "&amp;INDEX(Sheet!AT$2:AT$7967,$A75))</f>
        <v/>
      </c>
      <c r="F75" s="53" t="str">
        <f ca="1">IF($A75="","",INDEX(Sheet!F$2:F$7967,$A75))</f>
        <v/>
      </c>
      <c r="G75" s="32" t="str">
        <f ca="1">IF($A75="","",INDEX(Sheet!I$2:I$7967,$A75))</f>
        <v/>
      </c>
      <c r="H75" s="32" t="str">
        <f ca="1">IF($A75="","",INDEX(Sheet!L$2:L$7967,$A75))</f>
        <v/>
      </c>
      <c r="I75" s="32" t="str">
        <f ca="1">IF($A75="","",INDEX(Sheet!N$2:N$7967,$A75))</f>
        <v/>
      </c>
      <c r="J75" s="53" t="str">
        <f ca="1">IF($A75="","",INDEX(Sheet!AS$2:AS$7967,$A75))</f>
        <v/>
      </c>
      <c r="K75" s="33" t="str">
        <f ca="1">IF($A75="","",IF(INDEX(Sheet!S$2:S$7967,$A75)="","",INDEX(Sheet!S$2:S$7967,$A75)))</f>
        <v/>
      </c>
      <c r="L75" s="33" t="str">
        <f ca="1">IF($A75="","",IF(INDEX(Sheet!R$2:R$7967,$A75)="","",INDEX(Sheet!R$2:R$7967,$A75)))</f>
        <v/>
      </c>
      <c r="M75" s="33" t="str">
        <f ca="1">IF($A75="","",IF(INDEX(Sheet!AO$2:AO$7967,$A75)="","",INDEX(Sheet!AO$2:AO$7967,$A75)))</f>
        <v/>
      </c>
      <c r="N75" s="33" t="str">
        <f ca="1">IF($A75="","",IF(INDEX(Sheet!T$2:T$7967,$A75)="","",INDEX(Sheet!T$2:T$7967,$A75)))</f>
        <v/>
      </c>
      <c r="O75" s="33" t="str">
        <f ca="1">IF($A75="","",IF(INDEX(Sheet!U$2:U$7967,$A75)="","",INDEX(Sheet!U$2:U$7967,$A75)))</f>
        <v/>
      </c>
      <c r="P75" s="33" t="str">
        <f ca="1">IF($A75="","",IF(INDEX(Sheet!W$2:W$7967,$A75)="","",INDEX(Sheet!W$2:W$7967,$A75)))</f>
        <v/>
      </c>
      <c r="Q75" s="33" t="str">
        <f ca="1">IF($A75="","",IF(INDEX(Sheet!V$2:V$7967,$A75)="","",INDEX(Sheet!V$2:V$7967,$A75)))</f>
        <v/>
      </c>
      <c r="R75" s="33" t="str">
        <f ca="1">IF($A75="","",IF(INDEX(Sheet!Z$2:Z$7967,$A75)="","",INDEX(Sheet!Z$2:Z$7967,$A75)))</f>
        <v/>
      </c>
      <c r="S75" s="33" t="str">
        <f ca="1">IF($A75="","",IF(INDEX(Sheet!Y$2:Y$7967,$A75)="","",INDEX(Sheet!Y$2:Y$7967,$A75)))</f>
        <v/>
      </c>
      <c r="T75" s="33" t="str">
        <f ca="1">IF($A75="","",IF(INDEX(Sheet!X$2:X$7967,$A75)="","",INDEX(Sheet!X$2:X$7967,$A75)))</f>
        <v/>
      </c>
      <c r="U75" s="33" t="str">
        <f ca="1">IF($A75="","",IF(INDEX(Sheet!AA$2:AA$7967,$A75)="","",INDEX(Sheet!AA$2:AA$7967,$A75)))</f>
        <v/>
      </c>
      <c r="V75" s="33" t="str">
        <f ca="1">IF($A75="","",IF(INDEX(Sheet!AB$2:AB$7967,$A75)="","",INDEX(Sheet!AB$2:AB$7967,$A75)))</f>
        <v/>
      </c>
      <c r="W75" s="33" t="str">
        <f ca="1">IF($A75="","",IF(INDEX(Sheet!AH$2:AH$7967,$A75)="","",INDEX(Sheet!AH$2:AH$7967,$A75)))</f>
        <v/>
      </c>
      <c r="X75" s="33" t="str">
        <f ca="1">IF($A75="","",IF(INDEX(Sheet!AC$2:AC$7967,$A75)="","",INDEX(Sheet!AC$2:AC$7967,$A75)))</f>
        <v/>
      </c>
      <c r="Y75" s="33" t="str">
        <f ca="1">IF($A75="","",IF(INDEX(Sheet!AD$2:AD$7967,$A75)="","",INDEX(Sheet!AD$2:AD$7967,$A75)))</f>
        <v/>
      </c>
      <c r="Z75" s="33" t="str">
        <f ca="1">IF($A75="","",IF(INDEX(Sheet!AL$2:AL$7967,$A75)="","",INDEX(Sheet!AL$2:AL$7967,$A75)))</f>
        <v/>
      </c>
      <c r="AA75" s="33" t="str">
        <f ca="1">IF($A75="","",IF(INDEX(Sheet!AE$2:AE$7967,$A75)="","",INDEX(Sheet!AE$2:AE$7967,$A75)))</f>
        <v/>
      </c>
      <c r="AB75" s="33" t="str">
        <f ca="1">IF($A75="","",IF(INDEX(Sheet!AF$2:AF$7967,$A75)="","",INDEX(Sheet!AF$2:AF$7967,$A75)))</f>
        <v/>
      </c>
      <c r="AC75" s="33" t="str">
        <f ca="1">IF($A75="","",IF(INDEX(Sheet!AG$2:AG$7967,$A75)="","",INDEX(Sheet!AG$2:AG$7967,$A75)))</f>
        <v/>
      </c>
      <c r="AD75" s="33" t="str">
        <f ca="1">IF($A75="","",IF(INDEX(Sheet!AM$2:AM$7967,$A75)="","",INDEX(Sheet!AM$2:AM$7967,$A75)))</f>
        <v/>
      </c>
      <c r="AE75" s="33" t="str">
        <f ca="1">IF($A75="","",IF(INDEX(Sheet!AJ$2:AJ$7967,$A75)="","",INDEX(Sheet!AJ$2:AJ$7967,$A75)))</f>
        <v/>
      </c>
      <c r="AF75" s="33" t="str">
        <f ca="1">IF($A75="","",IF(INDEX(Sheet!AI$2:AI$7967,$A75)="","",INDEX(Sheet!AI$2:AI$7967,$A75)))</f>
        <v/>
      </c>
      <c r="AG75" s="33" t="str">
        <f ca="1">IF(D75="duyệt sản xuất"," Bảo Bảo, Ngày "&amp;DAY($J$4)&amp;" Tháng "&amp;MONTH($J$4)&amp;" Năm "&amp;YEAR($J$4),IF(D75="Phê duyệt","NGƯỜI LẬP",IF(D75="Nguyễn Ngọc Thắng","NGUYỄN THỊ MAI",IF($A75="","",INDEX(Sheet!AK$2:AK$7967,$A75)))))</f>
        <v/>
      </c>
      <c r="AH75" s="58" t="str">
        <f ca="1">IF($A75="","",INDEX(Sheet!AR$2:AR$7967,$A75)&amp;" ; "&amp;INDEX(Sheet!M$2:M$7967,$A75))</f>
        <v/>
      </c>
      <c r="AI75" s="1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G75" s="35" t="str">
        <f ca="1">IFERROR(VALUE(separ(INDEX(Sheet!Q$2:Q$7967,$A75),"-",1)),"")</f>
        <v/>
      </c>
      <c r="BH75" s="35" t="str">
        <f ca="1">IFERROR(VALUE(separ(INDEX(Sheet!R$2:R$7967,$A75),"-",1)),"")</f>
        <v/>
      </c>
      <c r="BI75" s="35" t="str">
        <f ca="1">IFERROR(VALUE(separ(INDEX(Sheet!S$2:S$7967,$A75),"-",1)),"")</f>
        <v/>
      </c>
      <c r="BJ75" s="35" t="str">
        <f ca="1">IFERROR(VALUE(separ(INDEX(Sheet!T$2:T$7967,$A75),"-",1)),"")</f>
        <v/>
      </c>
      <c r="BK75" s="35" t="str">
        <f ca="1">IFERROR(VALUE(separ(INDEX(Sheet!U$2:U$7967,$A75),"-",1)),"")</f>
        <v/>
      </c>
      <c r="BL75" s="35" t="str">
        <f ca="1">IFERROR(VALUE(separ(INDEX(Sheet!V$2:V$7967,$A75),"-",1)),"")</f>
        <v/>
      </c>
      <c r="BM75" s="35" t="str">
        <f ca="1">IFERROR(VALUE(separ(INDEX(Sheet!W$2:W$7967,$A75),"-",1)),"")</f>
        <v/>
      </c>
      <c r="BN75" s="35" t="str">
        <f ca="1">IFERROR(VALUE(separ(INDEX(Sheet!X$2:X$7967,$A75),"-",1)),"")</f>
        <v/>
      </c>
      <c r="BO75" s="35" t="str">
        <f ca="1">IFERROR(VALUE(separ(INDEX(Sheet!Y$2:Y$7967,$A75),"-",1)),"")</f>
        <v/>
      </c>
      <c r="BP75" s="35" t="str">
        <f ca="1">IFERROR(VALUE(separ(INDEX(Sheet!Z$2:Z$7967,$A75),"-",1)),"")</f>
        <v/>
      </c>
      <c r="BQ75" s="35" t="str">
        <f ca="1">IFERROR(VALUE(separ(INDEX(Sheet!AA$2:AA$7967,$A75),"-",1)),"")</f>
        <v/>
      </c>
      <c r="BR75" s="35" t="str">
        <f ca="1">IFERROR(VALUE(separ(INDEX(Sheet!AB$2:AB$7967,$A75),"-",1)),"")</f>
        <v/>
      </c>
      <c r="BS75" s="35" t="str">
        <f ca="1">IFERROR(VALUE(separ(INDEX(Sheet!AC$2:AC$7967,$A75),"-",1)),"")</f>
        <v/>
      </c>
      <c r="BT75" s="35" t="str">
        <f ca="1">IFERROR(VALUE(separ(INDEX(Sheet!AD$2:AD$7967,$A75),"-",1)),"")</f>
        <v/>
      </c>
      <c r="BU75" s="35" t="str">
        <f ca="1">IFERROR(VALUE(separ(INDEX(Sheet!AE$2:AE$7967,$A75),"-",1)),"")</f>
        <v/>
      </c>
      <c r="BV75" s="35"/>
      <c r="BW75" s="35" t="str">
        <f ca="1">IFERROR((separ(INDEX(Sheet!Q$2:Q$7967,$A75),"-",2)),"")</f>
        <v/>
      </c>
      <c r="BX75" s="35" t="str">
        <f ca="1">IFERROR((separ(INDEX(Sheet!R$2:R$7967,$A75),"-",2)),"")</f>
        <v/>
      </c>
      <c r="BY75" s="35" t="str">
        <f ca="1">IFERROR((separ(INDEX(Sheet!S$2:S$7967,$A75),"-",2)),"")</f>
        <v/>
      </c>
      <c r="BZ75" s="35" t="str">
        <f ca="1">IFERROR((separ(INDEX(Sheet!T$2:T$7967,$A75),"-",2)),"")</f>
        <v/>
      </c>
      <c r="CA75" s="35" t="str">
        <f ca="1">IFERROR((separ(INDEX(Sheet!U$2:U$7967,$A75),"-",2)),"")</f>
        <v/>
      </c>
      <c r="CB75" s="35" t="str">
        <f ca="1">IFERROR((separ(INDEX(Sheet!V$2:V$7967,$A75),"-",2)),"")</f>
        <v/>
      </c>
      <c r="CC75" s="35" t="str">
        <f ca="1">IFERROR((separ(INDEX(Sheet!W$2:W$7967,$A75),"-",2)),"")</f>
        <v/>
      </c>
      <c r="CD75" s="35" t="str">
        <f ca="1">IFERROR((separ(INDEX(Sheet!X$2:X$7967,$A75),"-",2)),"")</f>
        <v/>
      </c>
      <c r="CE75" s="35" t="str">
        <f ca="1">IFERROR((separ(INDEX(Sheet!Y$2:Y$7967,$A75),"-",2)),"")</f>
        <v/>
      </c>
      <c r="CF75" s="35" t="str">
        <f ca="1">IFERROR((separ(INDEX(Sheet!Z$2:Z$7967,$A75),"-",2)),"")</f>
        <v/>
      </c>
      <c r="CG75" s="35" t="str">
        <f ca="1">IFERROR((separ(INDEX(Sheet!AA$2:AA$7967,$A75),"-",2)),"")</f>
        <v/>
      </c>
      <c r="CH75" s="35" t="str">
        <f ca="1">IFERROR((separ(INDEX(Sheet!AB$2:AB$7967,$A75),"-",2)),"")</f>
        <v/>
      </c>
      <c r="CI75" s="35" t="str">
        <f ca="1">IFERROR((separ(INDEX(Sheet!AC$2:AC$7967,$A75),"-",2)),"")</f>
        <v/>
      </c>
      <c r="CJ75" s="35" t="str">
        <f ca="1">IFERROR((separ(INDEX(Sheet!AD$2:AD$7967,$A75),"-",2)),"")</f>
        <v/>
      </c>
      <c r="CK75" s="35" t="str">
        <f ca="1">IFERROR((separ(INDEX(Sheet!AE$2:AE$7967,$A75),"-",2)),"")</f>
        <v/>
      </c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</row>
    <row r="76" spans="1:104" s="29" customFormat="1">
      <c r="A76" s="45" t="str">
        <f ca="1">IFERROR(MATCH($B$3,OFFSET(Sheet!$D$2,A75,0):'Sheet'!$D$7657,0)+A75,"")</f>
        <v/>
      </c>
      <c r="B76" s="29" t="str">
        <f ca="1">IF(ROW(A69)&lt;=COUNT($A$6:$A$800),INDEX(Sheet!$A$2:$A$7967,$A76),IF(ROW(A69)=COUNT($A$6:$A$800)+1," ",IF(ROW(A69)=COUNT($A$6:$A$800)+2,"  ","")))</f>
        <v/>
      </c>
      <c r="C76" s="67" t="str">
        <f ca="1">IF($A76="","",INDEX(Sheet!E$2:E$7967,$A76))</f>
        <v/>
      </c>
      <c r="D76" s="31" t="str">
        <f ca="1">IF(B73=" ",$AR$1,IF(B76=" ",$AQ$1,IF(A76="","",INDEX(Sheet!G$2:G$7967,$A76))))</f>
        <v/>
      </c>
      <c r="E76" s="32" t="str">
        <f ca="1">IF($A76="","",TEXT(INDEX(Sheet!J$2:J$7967,$A76),"#,#")&amp;" "&amp;INDEX(Sheet!AT$2:AT$7967,$A76))</f>
        <v/>
      </c>
      <c r="F76" s="53" t="str">
        <f ca="1">IF($A76="","",INDEX(Sheet!F$2:F$7967,$A76))</f>
        <v/>
      </c>
      <c r="G76" s="32" t="str">
        <f ca="1">IF($A76="","",INDEX(Sheet!I$2:I$7967,$A76))</f>
        <v/>
      </c>
      <c r="H76" s="32" t="str">
        <f ca="1">IF($A76="","",INDEX(Sheet!L$2:L$7967,$A76))</f>
        <v/>
      </c>
      <c r="I76" s="32" t="str">
        <f ca="1">IF($A76="","",INDEX(Sheet!N$2:N$7967,$A76))</f>
        <v/>
      </c>
      <c r="J76" s="53" t="str">
        <f ca="1">IF($A76="","",INDEX(Sheet!AS$2:AS$7967,$A76))</f>
        <v/>
      </c>
      <c r="K76" s="33" t="str">
        <f ca="1">IF($A76="","",IF(INDEX(Sheet!S$2:S$7967,$A76)="","",INDEX(Sheet!S$2:S$7967,$A76)))</f>
        <v/>
      </c>
      <c r="L76" s="33" t="str">
        <f ca="1">IF($A76="","",IF(INDEX(Sheet!R$2:R$7967,$A76)="","",INDEX(Sheet!R$2:R$7967,$A76)))</f>
        <v/>
      </c>
      <c r="M76" s="33" t="str">
        <f ca="1">IF($A76="","",IF(INDEX(Sheet!AO$2:AO$7967,$A76)="","",INDEX(Sheet!AO$2:AO$7967,$A76)))</f>
        <v/>
      </c>
      <c r="N76" s="33" t="str">
        <f ca="1">IF($A76="","",IF(INDEX(Sheet!T$2:T$7967,$A76)="","",INDEX(Sheet!T$2:T$7967,$A76)))</f>
        <v/>
      </c>
      <c r="O76" s="33" t="str">
        <f ca="1">IF($A76="","",IF(INDEX(Sheet!U$2:U$7967,$A76)="","",INDEX(Sheet!U$2:U$7967,$A76)))</f>
        <v/>
      </c>
      <c r="P76" s="33" t="str">
        <f ca="1">IF($A76="","",IF(INDEX(Sheet!W$2:W$7967,$A76)="","",INDEX(Sheet!W$2:W$7967,$A76)))</f>
        <v/>
      </c>
      <c r="Q76" s="33" t="str">
        <f ca="1">IF($A76="","",IF(INDEX(Sheet!V$2:V$7967,$A76)="","",INDEX(Sheet!V$2:V$7967,$A76)))</f>
        <v/>
      </c>
      <c r="R76" s="33" t="str">
        <f ca="1">IF($A76="","",IF(INDEX(Sheet!Z$2:Z$7967,$A76)="","",INDEX(Sheet!Z$2:Z$7967,$A76)))</f>
        <v/>
      </c>
      <c r="S76" s="33" t="str">
        <f ca="1">IF($A76="","",IF(INDEX(Sheet!Y$2:Y$7967,$A76)="","",INDEX(Sheet!Y$2:Y$7967,$A76)))</f>
        <v/>
      </c>
      <c r="T76" s="33" t="str">
        <f ca="1">IF($A76="","",IF(INDEX(Sheet!X$2:X$7967,$A76)="","",INDEX(Sheet!X$2:X$7967,$A76)))</f>
        <v/>
      </c>
      <c r="U76" s="33" t="str">
        <f ca="1">IF($A76="","",IF(INDEX(Sheet!AA$2:AA$7967,$A76)="","",INDEX(Sheet!AA$2:AA$7967,$A76)))</f>
        <v/>
      </c>
      <c r="V76" s="33" t="str">
        <f ca="1">IF($A76="","",IF(INDEX(Sheet!AB$2:AB$7967,$A76)="","",INDEX(Sheet!AB$2:AB$7967,$A76)))</f>
        <v/>
      </c>
      <c r="W76" s="33" t="str">
        <f ca="1">IF($A76="","",IF(INDEX(Sheet!AH$2:AH$7967,$A76)="","",INDEX(Sheet!AH$2:AH$7967,$A76)))</f>
        <v/>
      </c>
      <c r="X76" s="33" t="str">
        <f ca="1">IF($A76="","",IF(INDEX(Sheet!AC$2:AC$7967,$A76)="","",INDEX(Sheet!AC$2:AC$7967,$A76)))</f>
        <v/>
      </c>
      <c r="Y76" s="33" t="str">
        <f ca="1">IF($A76="","",IF(INDEX(Sheet!AD$2:AD$7967,$A76)="","",INDEX(Sheet!AD$2:AD$7967,$A76)))</f>
        <v/>
      </c>
      <c r="Z76" s="33" t="str">
        <f ca="1">IF($A76="","",IF(INDEX(Sheet!AL$2:AL$7967,$A76)="","",INDEX(Sheet!AL$2:AL$7967,$A76)))</f>
        <v/>
      </c>
      <c r="AA76" s="33" t="str">
        <f ca="1">IF($A76="","",IF(INDEX(Sheet!AE$2:AE$7967,$A76)="","",INDEX(Sheet!AE$2:AE$7967,$A76)))</f>
        <v/>
      </c>
      <c r="AB76" s="33" t="str">
        <f ca="1">IF($A76="","",IF(INDEX(Sheet!AF$2:AF$7967,$A76)="","",INDEX(Sheet!AF$2:AF$7967,$A76)))</f>
        <v/>
      </c>
      <c r="AC76" s="33" t="str">
        <f ca="1">IF($A76="","",IF(INDEX(Sheet!AG$2:AG$7967,$A76)="","",INDEX(Sheet!AG$2:AG$7967,$A76)))</f>
        <v/>
      </c>
      <c r="AD76" s="33" t="str">
        <f ca="1">IF($A76="","",IF(INDEX(Sheet!AM$2:AM$7967,$A76)="","",INDEX(Sheet!AM$2:AM$7967,$A76)))</f>
        <v/>
      </c>
      <c r="AE76" s="33" t="str">
        <f ca="1">IF($A76="","",IF(INDEX(Sheet!AJ$2:AJ$7967,$A76)="","",INDEX(Sheet!AJ$2:AJ$7967,$A76)))</f>
        <v/>
      </c>
      <c r="AF76" s="33" t="str">
        <f ca="1">IF($A76="","",IF(INDEX(Sheet!AI$2:AI$7967,$A76)="","",INDEX(Sheet!AI$2:AI$7967,$A76)))</f>
        <v/>
      </c>
      <c r="AG76" s="33" t="str">
        <f ca="1">IF(D76="duyệt sản xuất"," Bảo Bảo, Ngày "&amp;DAY($J$4)&amp;" Tháng "&amp;MONTH($J$4)&amp;" Năm "&amp;YEAR($J$4),IF(D76="Phê duyệt","NGƯỜI LẬP",IF(D76="Nguyễn Ngọc Thắng","NGUYỄN THỊ MAI",IF($A76="","",INDEX(Sheet!AK$2:AK$7967,$A76)))))</f>
        <v/>
      </c>
      <c r="AH76" s="58" t="str">
        <f ca="1">IF($A76="","",INDEX(Sheet!AR$2:AR$7967,$A76)&amp;" ; "&amp;INDEX(Sheet!M$2:M$7967,$A76))</f>
        <v/>
      </c>
      <c r="AI76" s="1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G76" s="35" t="str">
        <f ca="1">IFERROR(VALUE(separ(INDEX(Sheet!Q$2:Q$7967,$A76),"-",1)),"")</f>
        <v/>
      </c>
      <c r="BH76" s="35" t="str">
        <f ca="1">IFERROR(VALUE(separ(INDEX(Sheet!R$2:R$7967,$A76),"-",1)),"")</f>
        <v/>
      </c>
      <c r="BI76" s="35" t="str">
        <f ca="1">IFERROR(VALUE(separ(INDEX(Sheet!S$2:S$7967,$A76),"-",1)),"")</f>
        <v/>
      </c>
      <c r="BJ76" s="35" t="str">
        <f ca="1">IFERROR(VALUE(separ(INDEX(Sheet!T$2:T$7967,$A76),"-",1)),"")</f>
        <v/>
      </c>
      <c r="BK76" s="35" t="str">
        <f ca="1">IFERROR(VALUE(separ(INDEX(Sheet!U$2:U$7967,$A76),"-",1)),"")</f>
        <v/>
      </c>
      <c r="BL76" s="35" t="str">
        <f ca="1">IFERROR(VALUE(separ(INDEX(Sheet!V$2:V$7967,$A76),"-",1)),"")</f>
        <v/>
      </c>
      <c r="BM76" s="35" t="str">
        <f ca="1">IFERROR(VALUE(separ(INDEX(Sheet!W$2:W$7967,$A76),"-",1)),"")</f>
        <v/>
      </c>
      <c r="BN76" s="35" t="str">
        <f ca="1">IFERROR(VALUE(separ(INDEX(Sheet!X$2:X$7967,$A76),"-",1)),"")</f>
        <v/>
      </c>
      <c r="BO76" s="35" t="str">
        <f ca="1">IFERROR(VALUE(separ(INDEX(Sheet!Y$2:Y$7967,$A76),"-",1)),"")</f>
        <v/>
      </c>
      <c r="BP76" s="35" t="str">
        <f ca="1">IFERROR(VALUE(separ(INDEX(Sheet!Z$2:Z$7967,$A76),"-",1)),"")</f>
        <v/>
      </c>
      <c r="BQ76" s="35" t="str">
        <f ca="1">IFERROR(VALUE(separ(INDEX(Sheet!AA$2:AA$7967,$A76),"-",1)),"")</f>
        <v/>
      </c>
      <c r="BR76" s="35" t="str">
        <f ca="1">IFERROR(VALUE(separ(INDEX(Sheet!AB$2:AB$7967,$A76),"-",1)),"")</f>
        <v/>
      </c>
      <c r="BS76" s="35" t="str">
        <f ca="1">IFERROR(VALUE(separ(INDEX(Sheet!AC$2:AC$7967,$A76),"-",1)),"")</f>
        <v/>
      </c>
      <c r="BT76" s="35" t="str">
        <f ca="1">IFERROR(VALUE(separ(INDEX(Sheet!AD$2:AD$7967,$A76),"-",1)),"")</f>
        <v/>
      </c>
      <c r="BU76" s="35" t="str">
        <f ca="1">IFERROR(VALUE(separ(INDEX(Sheet!AE$2:AE$7967,$A76),"-",1)),"")</f>
        <v/>
      </c>
      <c r="BV76" s="35"/>
      <c r="BW76" s="35" t="str">
        <f ca="1">IFERROR((separ(INDEX(Sheet!Q$2:Q$7967,$A76),"-",2)),"")</f>
        <v/>
      </c>
      <c r="BX76" s="35" t="str">
        <f ca="1">IFERROR((separ(INDEX(Sheet!R$2:R$7967,$A76),"-",2)),"")</f>
        <v/>
      </c>
      <c r="BY76" s="35" t="str">
        <f ca="1">IFERROR((separ(INDEX(Sheet!S$2:S$7967,$A76),"-",2)),"")</f>
        <v/>
      </c>
      <c r="BZ76" s="35" t="str">
        <f ca="1">IFERROR((separ(INDEX(Sheet!T$2:T$7967,$A76),"-",2)),"")</f>
        <v/>
      </c>
      <c r="CA76" s="35" t="str">
        <f ca="1">IFERROR((separ(INDEX(Sheet!U$2:U$7967,$A76),"-",2)),"")</f>
        <v/>
      </c>
      <c r="CB76" s="35" t="str">
        <f ca="1">IFERROR((separ(INDEX(Sheet!V$2:V$7967,$A76),"-",2)),"")</f>
        <v/>
      </c>
      <c r="CC76" s="35" t="str">
        <f ca="1">IFERROR((separ(INDEX(Sheet!W$2:W$7967,$A76),"-",2)),"")</f>
        <v/>
      </c>
      <c r="CD76" s="35" t="str">
        <f ca="1">IFERROR((separ(INDEX(Sheet!X$2:X$7967,$A76),"-",2)),"")</f>
        <v/>
      </c>
      <c r="CE76" s="35" t="str">
        <f ca="1">IFERROR((separ(INDEX(Sheet!Y$2:Y$7967,$A76),"-",2)),"")</f>
        <v/>
      </c>
      <c r="CF76" s="35" t="str">
        <f ca="1">IFERROR((separ(INDEX(Sheet!Z$2:Z$7967,$A76),"-",2)),"")</f>
        <v/>
      </c>
      <c r="CG76" s="35" t="str">
        <f ca="1">IFERROR((separ(INDEX(Sheet!AA$2:AA$7967,$A76),"-",2)),"")</f>
        <v/>
      </c>
      <c r="CH76" s="35" t="str">
        <f ca="1">IFERROR((separ(INDEX(Sheet!AB$2:AB$7967,$A76),"-",2)),"")</f>
        <v/>
      </c>
      <c r="CI76" s="35" t="str">
        <f ca="1">IFERROR((separ(INDEX(Sheet!AC$2:AC$7967,$A76),"-",2)),"")</f>
        <v/>
      </c>
      <c r="CJ76" s="35" t="str">
        <f ca="1">IFERROR((separ(INDEX(Sheet!AD$2:AD$7967,$A76),"-",2)),"")</f>
        <v/>
      </c>
      <c r="CK76" s="35" t="str">
        <f ca="1">IFERROR((separ(INDEX(Sheet!AE$2:AE$7967,$A76),"-",2)),"")</f>
        <v/>
      </c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</row>
    <row r="77" spans="1:104" s="29" customFormat="1">
      <c r="A77" s="45" t="str">
        <f ca="1">IFERROR(MATCH($B$3,OFFSET(Sheet!$D$2,A76,0):'Sheet'!$D$7657,0)+A76,"")</f>
        <v/>
      </c>
      <c r="B77" s="29" t="str">
        <f ca="1">IF(ROW(A70)&lt;=COUNT($A$6:$A$800),INDEX(Sheet!$A$2:$A$7967,$A77),IF(ROW(A70)=COUNT($A$6:$A$800)+1," ",IF(ROW(A70)=COUNT($A$6:$A$800)+2,"  ","")))</f>
        <v/>
      </c>
      <c r="C77" s="67" t="str">
        <f ca="1">IF($A77="","",INDEX(Sheet!E$2:E$7967,$A77))</f>
        <v/>
      </c>
      <c r="D77" s="31" t="str">
        <f ca="1">IF(B74=" ",$AR$1,IF(B77=" ",$AQ$1,IF(A77="","",INDEX(Sheet!G$2:G$7967,$A77))))</f>
        <v/>
      </c>
      <c r="E77" s="32" t="str">
        <f ca="1">IF($A77="","",TEXT(INDEX(Sheet!J$2:J$7967,$A77),"#,#")&amp;" "&amp;INDEX(Sheet!AT$2:AT$7967,$A77))</f>
        <v/>
      </c>
      <c r="F77" s="53" t="str">
        <f ca="1">IF($A77="","",INDEX(Sheet!F$2:F$7967,$A77))</f>
        <v/>
      </c>
      <c r="G77" s="32" t="str">
        <f ca="1">IF($A77="","",INDEX(Sheet!I$2:I$7967,$A77))</f>
        <v/>
      </c>
      <c r="H77" s="32" t="str">
        <f ca="1">IF($A77="","",INDEX(Sheet!L$2:L$7967,$A77))</f>
        <v/>
      </c>
      <c r="I77" s="32" t="str">
        <f ca="1">IF($A77="","",INDEX(Sheet!N$2:N$7967,$A77))</f>
        <v/>
      </c>
      <c r="J77" s="53" t="str">
        <f ca="1">IF($A77="","",INDEX(Sheet!AS$2:AS$7967,$A77))</f>
        <v/>
      </c>
      <c r="K77" s="33" t="str">
        <f ca="1">IF($A77="","",IF(INDEX(Sheet!S$2:S$7967,$A77)="","",INDEX(Sheet!S$2:S$7967,$A77)))</f>
        <v/>
      </c>
      <c r="L77" s="33" t="str">
        <f ca="1">IF($A77="","",IF(INDEX(Sheet!R$2:R$7967,$A77)="","",INDEX(Sheet!R$2:R$7967,$A77)))</f>
        <v/>
      </c>
      <c r="M77" s="33" t="str">
        <f ca="1">IF($A77="","",IF(INDEX(Sheet!AO$2:AO$7967,$A77)="","",INDEX(Sheet!AO$2:AO$7967,$A77)))</f>
        <v/>
      </c>
      <c r="N77" s="33" t="str">
        <f ca="1">IF($A77="","",IF(INDEX(Sheet!T$2:T$7967,$A77)="","",INDEX(Sheet!T$2:T$7967,$A77)))</f>
        <v/>
      </c>
      <c r="O77" s="33" t="str">
        <f ca="1">IF($A77="","",IF(INDEX(Sheet!U$2:U$7967,$A77)="","",INDEX(Sheet!U$2:U$7967,$A77)))</f>
        <v/>
      </c>
      <c r="P77" s="33" t="str">
        <f ca="1">IF($A77="","",IF(INDEX(Sheet!W$2:W$7967,$A77)="","",INDEX(Sheet!W$2:W$7967,$A77)))</f>
        <v/>
      </c>
      <c r="Q77" s="33" t="str">
        <f ca="1">IF($A77="","",IF(INDEX(Sheet!V$2:V$7967,$A77)="","",INDEX(Sheet!V$2:V$7967,$A77)))</f>
        <v/>
      </c>
      <c r="R77" s="33" t="str">
        <f ca="1">IF($A77="","",IF(INDEX(Sheet!Z$2:Z$7967,$A77)="","",INDEX(Sheet!Z$2:Z$7967,$A77)))</f>
        <v/>
      </c>
      <c r="S77" s="33" t="str">
        <f ca="1">IF($A77="","",IF(INDEX(Sheet!Y$2:Y$7967,$A77)="","",INDEX(Sheet!Y$2:Y$7967,$A77)))</f>
        <v/>
      </c>
      <c r="T77" s="33" t="str">
        <f ca="1">IF($A77="","",IF(INDEX(Sheet!X$2:X$7967,$A77)="","",INDEX(Sheet!X$2:X$7967,$A77)))</f>
        <v/>
      </c>
      <c r="U77" s="33" t="str">
        <f ca="1">IF($A77="","",IF(INDEX(Sheet!AA$2:AA$7967,$A77)="","",INDEX(Sheet!AA$2:AA$7967,$A77)))</f>
        <v/>
      </c>
      <c r="V77" s="33" t="str">
        <f ca="1">IF($A77="","",IF(INDEX(Sheet!AB$2:AB$7967,$A77)="","",INDEX(Sheet!AB$2:AB$7967,$A77)))</f>
        <v/>
      </c>
      <c r="W77" s="33" t="str">
        <f ca="1">IF($A77="","",IF(INDEX(Sheet!AH$2:AH$7967,$A77)="","",INDEX(Sheet!AH$2:AH$7967,$A77)))</f>
        <v/>
      </c>
      <c r="X77" s="33" t="str">
        <f ca="1">IF($A77="","",IF(INDEX(Sheet!AC$2:AC$7967,$A77)="","",INDEX(Sheet!AC$2:AC$7967,$A77)))</f>
        <v/>
      </c>
      <c r="Y77" s="33" t="str">
        <f ca="1">IF($A77="","",IF(INDEX(Sheet!AD$2:AD$7967,$A77)="","",INDEX(Sheet!AD$2:AD$7967,$A77)))</f>
        <v/>
      </c>
      <c r="Z77" s="33" t="str">
        <f ca="1">IF($A77="","",IF(INDEX(Sheet!AL$2:AL$7967,$A77)="","",INDEX(Sheet!AL$2:AL$7967,$A77)))</f>
        <v/>
      </c>
      <c r="AA77" s="33" t="str">
        <f ca="1">IF($A77="","",IF(INDEX(Sheet!AE$2:AE$7967,$A77)="","",INDEX(Sheet!AE$2:AE$7967,$A77)))</f>
        <v/>
      </c>
      <c r="AB77" s="33" t="str">
        <f ca="1">IF($A77="","",IF(INDEX(Sheet!AF$2:AF$7967,$A77)="","",INDEX(Sheet!AF$2:AF$7967,$A77)))</f>
        <v/>
      </c>
      <c r="AC77" s="33" t="str">
        <f ca="1">IF($A77="","",IF(INDEX(Sheet!AG$2:AG$7967,$A77)="","",INDEX(Sheet!AG$2:AG$7967,$A77)))</f>
        <v/>
      </c>
      <c r="AD77" s="33" t="str">
        <f ca="1">IF($A77="","",IF(INDEX(Sheet!AM$2:AM$7967,$A77)="","",INDEX(Sheet!AM$2:AM$7967,$A77)))</f>
        <v/>
      </c>
      <c r="AE77" s="33" t="str">
        <f ca="1">IF($A77="","",IF(INDEX(Sheet!AJ$2:AJ$7967,$A77)="","",INDEX(Sheet!AJ$2:AJ$7967,$A77)))</f>
        <v/>
      </c>
      <c r="AF77" s="33" t="str">
        <f ca="1">IF($A77="","",IF(INDEX(Sheet!AI$2:AI$7967,$A77)="","",INDEX(Sheet!AI$2:AI$7967,$A77)))</f>
        <v/>
      </c>
      <c r="AG77" s="33" t="str">
        <f ca="1">IF(D77="duyệt sản xuất"," Bảo Bảo, Ngày "&amp;DAY($J$4)&amp;" Tháng "&amp;MONTH($J$4)&amp;" Năm "&amp;YEAR($J$4),IF(D77="Phê duyệt","NGƯỜI LẬP",IF(D77="Nguyễn Ngọc Thắng","NGUYỄN THỊ MAI",IF($A77="","",INDEX(Sheet!AK$2:AK$7967,$A77)))))</f>
        <v/>
      </c>
      <c r="AH77" s="58" t="str">
        <f ca="1">IF($A77="","",INDEX(Sheet!AR$2:AR$7967,$A77)&amp;" ; "&amp;INDEX(Sheet!M$2:M$7967,$A77))</f>
        <v/>
      </c>
      <c r="AI77" s="1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G77" s="35" t="str">
        <f ca="1">IFERROR(VALUE(separ(INDEX(Sheet!Q$2:Q$7967,$A77),"-",1)),"")</f>
        <v/>
      </c>
      <c r="BH77" s="35" t="str">
        <f ca="1">IFERROR(VALUE(separ(INDEX(Sheet!R$2:R$7967,$A77),"-",1)),"")</f>
        <v/>
      </c>
      <c r="BI77" s="35" t="str">
        <f ca="1">IFERROR(VALUE(separ(INDEX(Sheet!S$2:S$7967,$A77),"-",1)),"")</f>
        <v/>
      </c>
      <c r="BJ77" s="35" t="str">
        <f ca="1">IFERROR(VALUE(separ(INDEX(Sheet!T$2:T$7967,$A77),"-",1)),"")</f>
        <v/>
      </c>
      <c r="BK77" s="35" t="str">
        <f ca="1">IFERROR(VALUE(separ(INDEX(Sheet!U$2:U$7967,$A77),"-",1)),"")</f>
        <v/>
      </c>
      <c r="BL77" s="35" t="str">
        <f ca="1">IFERROR(VALUE(separ(INDEX(Sheet!V$2:V$7967,$A77),"-",1)),"")</f>
        <v/>
      </c>
      <c r="BM77" s="35" t="str">
        <f ca="1">IFERROR(VALUE(separ(INDEX(Sheet!W$2:W$7967,$A77),"-",1)),"")</f>
        <v/>
      </c>
      <c r="BN77" s="35" t="str">
        <f ca="1">IFERROR(VALUE(separ(INDEX(Sheet!X$2:X$7967,$A77),"-",1)),"")</f>
        <v/>
      </c>
      <c r="BO77" s="35" t="str">
        <f ca="1">IFERROR(VALUE(separ(INDEX(Sheet!Y$2:Y$7967,$A77),"-",1)),"")</f>
        <v/>
      </c>
      <c r="BP77" s="35" t="str">
        <f ca="1">IFERROR(VALUE(separ(INDEX(Sheet!Z$2:Z$7967,$A77),"-",1)),"")</f>
        <v/>
      </c>
      <c r="BQ77" s="35" t="str">
        <f ca="1">IFERROR(VALUE(separ(INDEX(Sheet!AA$2:AA$7967,$A77),"-",1)),"")</f>
        <v/>
      </c>
      <c r="BR77" s="35" t="str">
        <f ca="1">IFERROR(VALUE(separ(INDEX(Sheet!AB$2:AB$7967,$A77),"-",1)),"")</f>
        <v/>
      </c>
      <c r="BS77" s="35" t="str">
        <f ca="1">IFERROR(VALUE(separ(INDEX(Sheet!AC$2:AC$7967,$A77),"-",1)),"")</f>
        <v/>
      </c>
      <c r="BT77" s="35" t="str">
        <f ca="1">IFERROR(VALUE(separ(INDEX(Sheet!AD$2:AD$7967,$A77),"-",1)),"")</f>
        <v/>
      </c>
      <c r="BU77" s="35" t="str">
        <f ca="1">IFERROR(VALUE(separ(INDEX(Sheet!AE$2:AE$7967,$A77),"-",1)),"")</f>
        <v/>
      </c>
      <c r="BV77" s="35"/>
      <c r="BW77" s="35" t="str">
        <f ca="1">IFERROR((separ(INDEX(Sheet!Q$2:Q$7967,$A77),"-",2)),"")</f>
        <v/>
      </c>
      <c r="BX77" s="35" t="str">
        <f ca="1">IFERROR((separ(INDEX(Sheet!R$2:R$7967,$A77),"-",2)),"")</f>
        <v/>
      </c>
      <c r="BY77" s="35" t="str">
        <f ca="1">IFERROR((separ(INDEX(Sheet!S$2:S$7967,$A77),"-",2)),"")</f>
        <v/>
      </c>
      <c r="BZ77" s="35" t="str">
        <f ca="1">IFERROR((separ(INDEX(Sheet!T$2:T$7967,$A77),"-",2)),"")</f>
        <v/>
      </c>
      <c r="CA77" s="35" t="str">
        <f ca="1">IFERROR((separ(INDEX(Sheet!U$2:U$7967,$A77),"-",2)),"")</f>
        <v/>
      </c>
      <c r="CB77" s="35" t="str">
        <f ca="1">IFERROR((separ(INDEX(Sheet!V$2:V$7967,$A77),"-",2)),"")</f>
        <v/>
      </c>
      <c r="CC77" s="35" t="str">
        <f ca="1">IFERROR((separ(INDEX(Sheet!W$2:W$7967,$A77),"-",2)),"")</f>
        <v/>
      </c>
      <c r="CD77" s="35" t="str">
        <f ca="1">IFERROR((separ(INDEX(Sheet!X$2:X$7967,$A77),"-",2)),"")</f>
        <v/>
      </c>
      <c r="CE77" s="35" t="str">
        <f ca="1">IFERROR((separ(INDEX(Sheet!Y$2:Y$7967,$A77),"-",2)),"")</f>
        <v/>
      </c>
      <c r="CF77" s="35" t="str">
        <f ca="1">IFERROR((separ(INDEX(Sheet!Z$2:Z$7967,$A77),"-",2)),"")</f>
        <v/>
      </c>
      <c r="CG77" s="35" t="str">
        <f ca="1">IFERROR((separ(INDEX(Sheet!AA$2:AA$7967,$A77),"-",2)),"")</f>
        <v/>
      </c>
      <c r="CH77" s="35" t="str">
        <f ca="1">IFERROR((separ(INDEX(Sheet!AB$2:AB$7967,$A77),"-",2)),"")</f>
        <v/>
      </c>
      <c r="CI77" s="35" t="str">
        <f ca="1">IFERROR((separ(INDEX(Sheet!AC$2:AC$7967,$A77),"-",2)),"")</f>
        <v/>
      </c>
      <c r="CJ77" s="35" t="str">
        <f ca="1">IFERROR((separ(INDEX(Sheet!AD$2:AD$7967,$A77),"-",2)),"")</f>
        <v/>
      </c>
      <c r="CK77" s="35" t="str">
        <f ca="1">IFERROR((separ(INDEX(Sheet!AE$2:AE$7967,$A77),"-",2)),"")</f>
        <v/>
      </c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</row>
    <row r="78" spans="1:104" s="29" customFormat="1">
      <c r="A78" s="45" t="str">
        <f ca="1">IFERROR(MATCH($B$3,OFFSET(Sheet!$D$2,A77,0):'Sheet'!$D$7657,0)+A77,"")</f>
        <v/>
      </c>
      <c r="B78" s="29" t="str">
        <f ca="1">IF(ROW(A71)&lt;=COUNT($A$6:$A$800),INDEX(Sheet!$A$2:$A$7967,$A78),IF(ROW(A71)=COUNT($A$6:$A$800)+1," ",IF(ROW(A71)=COUNT($A$6:$A$800)+2,"  ","")))</f>
        <v/>
      </c>
      <c r="C78" s="67" t="str">
        <f ca="1">IF($A78="","",INDEX(Sheet!E$2:E$7967,$A78))</f>
        <v/>
      </c>
      <c r="D78" s="31" t="str">
        <f ca="1">IF(B75=" ",$AR$1,IF(B78=" ",$AQ$1,IF(A78="","",INDEX(Sheet!G$2:G$7967,$A78))))</f>
        <v/>
      </c>
      <c r="E78" s="32" t="str">
        <f ca="1">IF($A78="","",TEXT(INDEX(Sheet!J$2:J$7967,$A78),"#,#")&amp;" "&amp;INDEX(Sheet!AT$2:AT$7967,$A78))</f>
        <v/>
      </c>
      <c r="F78" s="53" t="str">
        <f ca="1">IF($A78="","",INDEX(Sheet!F$2:F$7967,$A78))</f>
        <v/>
      </c>
      <c r="G78" s="32" t="str">
        <f ca="1">IF($A78="","",INDEX(Sheet!I$2:I$7967,$A78))</f>
        <v/>
      </c>
      <c r="H78" s="32" t="str">
        <f ca="1">IF($A78="","",INDEX(Sheet!L$2:L$7967,$A78))</f>
        <v/>
      </c>
      <c r="I78" s="32" t="str">
        <f ca="1">IF($A78="","",INDEX(Sheet!N$2:N$7967,$A78))</f>
        <v/>
      </c>
      <c r="J78" s="53" t="str">
        <f ca="1">IF($A78="","",INDEX(Sheet!AS$2:AS$7967,$A78))</f>
        <v/>
      </c>
      <c r="K78" s="33" t="str">
        <f ca="1">IF($A78="","",IF(INDEX(Sheet!S$2:S$7967,$A78)="","",INDEX(Sheet!S$2:S$7967,$A78)))</f>
        <v/>
      </c>
      <c r="L78" s="33" t="str">
        <f ca="1">IF($A78="","",IF(INDEX(Sheet!R$2:R$7967,$A78)="","",INDEX(Sheet!R$2:R$7967,$A78)))</f>
        <v/>
      </c>
      <c r="M78" s="33" t="str">
        <f ca="1">IF($A78="","",IF(INDEX(Sheet!AO$2:AO$7967,$A78)="","",INDEX(Sheet!AO$2:AO$7967,$A78)))</f>
        <v/>
      </c>
      <c r="N78" s="33" t="str">
        <f ca="1">IF($A78="","",IF(INDEX(Sheet!T$2:T$7967,$A78)="","",INDEX(Sheet!T$2:T$7967,$A78)))</f>
        <v/>
      </c>
      <c r="O78" s="33" t="str">
        <f ca="1">IF($A78="","",IF(INDEX(Sheet!U$2:U$7967,$A78)="","",INDEX(Sheet!U$2:U$7967,$A78)))</f>
        <v/>
      </c>
      <c r="P78" s="33" t="str">
        <f ca="1">IF($A78="","",IF(INDEX(Sheet!W$2:W$7967,$A78)="","",INDEX(Sheet!W$2:W$7967,$A78)))</f>
        <v/>
      </c>
      <c r="Q78" s="33" t="str">
        <f ca="1">IF($A78="","",IF(INDEX(Sheet!V$2:V$7967,$A78)="","",INDEX(Sheet!V$2:V$7967,$A78)))</f>
        <v/>
      </c>
      <c r="R78" s="33" t="str">
        <f ca="1">IF($A78="","",IF(INDEX(Sheet!Z$2:Z$7967,$A78)="","",INDEX(Sheet!Z$2:Z$7967,$A78)))</f>
        <v/>
      </c>
      <c r="S78" s="33" t="str">
        <f ca="1">IF($A78="","",IF(INDEX(Sheet!Y$2:Y$7967,$A78)="","",INDEX(Sheet!Y$2:Y$7967,$A78)))</f>
        <v/>
      </c>
      <c r="T78" s="33" t="str">
        <f ca="1">IF($A78="","",IF(INDEX(Sheet!X$2:X$7967,$A78)="","",INDEX(Sheet!X$2:X$7967,$A78)))</f>
        <v/>
      </c>
      <c r="U78" s="33" t="str">
        <f ca="1">IF($A78="","",IF(INDEX(Sheet!AA$2:AA$7967,$A78)="","",INDEX(Sheet!AA$2:AA$7967,$A78)))</f>
        <v/>
      </c>
      <c r="V78" s="33" t="str">
        <f ca="1">IF($A78="","",IF(INDEX(Sheet!AB$2:AB$7967,$A78)="","",INDEX(Sheet!AB$2:AB$7967,$A78)))</f>
        <v/>
      </c>
      <c r="W78" s="33" t="str">
        <f ca="1">IF($A78="","",IF(INDEX(Sheet!AH$2:AH$7967,$A78)="","",INDEX(Sheet!AH$2:AH$7967,$A78)))</f>
        <v/>
      </c>
      <c r="X78" s="33" t="str">
        <f ca="1">IF($A78="","",IF(INDEX(Sheet!AC$2:AC$7967,$A78)="","",INDEX(Sheet!AC$2:AC$7967,$A78)))</f>
        <v/>
      </c>
      <c r="Y78" s="33" t="str">
        <f ca="1">IF($A78="","",IF(INDEX(Sheet!AD$2:AD$7967,$A78)="","",INDEX(Sheet!AD$2:AD$7967,$A78)))</f>
        <v/>
      </c>
      <c r="Z78" s="33" t="str">
        <f ca="1">IF($A78="","",IF(INDEX(Sheet!AL$2:AL$7967,$A78)="","",INDEX(Sheet!AL$2:AL$7967,$A78)))</f>
        <v/>
      </c>
      <c r="AA78" s="33" t="str">
        <f ca="1">IF($A78="","",IF(INDEX(Sheet!AE$2:AE$7967,$A78)="","",INDEX(Sheet!AE$2:AE$7967,$A78)))</f>
        <v/>
      </c>
      <c r="AB78" s="33" t="str">
        <f ca="1">IF($A78="","",IF(INDEX(Sheet!AF$2:AF$7967,$A78)="","",INDEX(Sheet!AF$2:AF$7967,$A78)))</f>
        <v/>
      </c>
      <c r="AC78" s="33" t="str">
        <f ca="1">IF($A78="","",IF(INDEX(Sheet!AG$2:AG$7967,$A78)="","",INDEX(Sheet!AG$2:AG$7967,$A78)))</f>
        <v/>
      </c>
      <c r="AD78" s="33" t="str">
        <f ca="1">IF($A78="","",IF(INDEX(Sheet!AM$2:AM$7967,$A78)="","",INDEX(Sheet!AM$2:AM$7967,$A78)))</f>
        <v/>
      </c>
      <c r="AE78" s="33" t="str">
        <f ca="1">IF($A78="","",IF(INDEX(Sheet!AJ$2:AJ$7967,$A78)="","",INDEX(Sheet!AJ$2:AJ$7967,$A78)))</f>
        <v/>
      </c>
      <c r="AF78" s="33" t="str">
        <f ca="1">IF($A78="","",IF(INDEX(Sheet!AI$2:AI$7967,$A78)="","",INDEX(Sheet!AI$2:AI$7967,$A78)))</f>
        <v/>
      </c>
      <c r="AG78" s="33" t="str">
        <f ca="1">IF(D78="duyệt sản xuất"," Bảo Bảo, Ngày "&amp;DAY($J$4)&amp;" Tháng "&amp;MONTH($J$4)&amp;" Năm "&amp;YEAR($J$4),IF(D78="Phê duyệt","NGƯỜI LẬP",IF(D78="Nguyễn Ngọc Thắng","NGUYỄN THỊ MAI",IF($A78="","",INDEX(Sheet!AK$2:AK$7967,$A78)))))</f>
        <v/>
      </c>
      <c r="AH78" s="58" t="str">
        <f ca="1">IF($A78="","",INDEX(Sheet!AR$2:AR$7967,$A78)&amp;" ; "&amp;INDEX(Sheet!M$2:M$7967,$A78))</f>
        <v/>
      </c>
      <c r="AI78" s="1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G78" s="35" t="str">
        <f ca="1">IFERROR(VALUE(separ(INDEX(Sheet!Q$2:Q$7967,$A78),"-",1)),"")</f>
        <v/>
      </c>
      <c r="BH78" s="35" t="str">
        <f ca="1">IFERROR(VALUE(separ(INDEX(Sheet!R$2:R$7967,$A78),"-",1)),"")</f>
        <v/>
      </c>
      <c r="BI78" s="35" t="str">
        <f ca="1">IFERROR(VALUE(separ(INDEX(Sheet!S$2:S$7967,$A78),"-",1)),"")</f>
        <v/>
      </c>
      <c r="BJ78" s="35" t="str">
        <f ca="1">IFERROR(VALUE(separ(INDEX(Sheet!T$2:T$7967,$A78),"-",1)),"")</f>
        <v/>
      </c>
      <c r="BK78" s="35" t="str">
        <f ca="1">IFERROR(VALUE(separ(INDEX(Sheet!U$2:U$7967,$A78),"-",1)),"")</f>
        <v/>
      </c>
      <c r="BL78" s="35" t="str">
        <f ca="1">IFERROR(VALUE(separ(INDEX(Sheet!V$2:V$7967,$A78),"-",1)),"")</f>
        <v/>
      </c>
      <c r="BM78" s="35" t="str">
        <f ca="1">IFERROR(VALUE(separ(INDEX(Sheet!W$2:W$7967,$A78),"-",1)),"")</f>
        <v/>
      </c>
      <c r="BN78" s="35" t="str">
        <f ca="1">IFERROR(VALUE(separ(INDEX(Sheet!X$2:X$7967,$A78),"-",1)),"")</f>
        <v/>
      </c>
      <c r="BO78" s="35" t="str">
        <f ca="1">IFERROR(VALUE(separ(INDEX(Sheet!Y$2:Y$7967,$A78),"-",1)),"")</f>
        <v/>
      </c>
      <c r="BP78" s="35" t="str">
        <f ca="1">IFERROR(VALUE(separ(INDEX(Sheet!Z$2:Z$7967,$A78),"-",1)),"")</f>
        <v/>
      </c>
      <c r="BQ78" s="35" t="str">
        <f ca="1">IFERROR(VALUE(separ(INDEX(Sheet!AA$2:AA$7967,$A78),"-",1)),"")</f>
        <v/>
      </c>
      <c r="BR78" s="35" t="str">
        <f ca="1">IFERROR(VALUE(separ(INDEX(Sheet!AB$2:AB$7967,$A78),"-",1)),"")</f>
        <v/>
      </c>
      <c r="BS78" s="35" t="str">
        <f ca="1">IFERROR(VALUE(separ(INDEX(Sheet!AC$2:AC$7967,$A78),"-",1)),"")</f>
        <v/>
      </c>
      <c r="BT78" s="35" t="str">
        <f ca="1">IFERROR(VALUE(separ(INDEX(Sheet!AD$2:AD$7967,$A78),"-",1)),"")</f>
        <v/>
      </c>
      <c r="BU78" s="35" t="str">
        <f ca="1">IFERROR(VALUE(separ(INDEX(Sheet!AE$2:AE$7967,$A78),"-",1)),"")</f>
        <v/>
      </c>
      <c r="BV78" s="35"/>
      <c r="BW78" s="35" t="str">
        <f ca="1">IFERROR((separ(INDEX(Sheet!Q$2:Q$7967,$A78),"-",2)),"")</f>
        <v/>
      </c>
      <c r="BX78" s="35" t="str">
        <f ca="1">IFERROR((separ(INDEX(Sheet!R$2:R$7967,$A78),"-",2)),"")</f>
        <v/>
      </c>
      <c r="BY78" s="35" t="str">
        <f ca="1">IFERROR((separ(INDEX(Sheet!S$2:S$7967,$A78),"-",2)),"")</f>
        <v/>
      </c>
      <c r="BZ78" s="35" t="str">
        <f ca="1">IFERROR((separ(INDEX(Sheet!T$2:T$7967,$A78),"-",2)),"")</f>
        <v/>
      </c>
      <c r="CA78" s="35" t="str">
        <f ca="1">IFERROR((separ(INDEX(Sheet!U$2:U$7967,$A78),"-",2)),"")</f>
        <v/>
      </c>
      <c r="CB78" s="35" t="str">
        <f ca="1">IFERROR((separ(INDEX(Sheet!V$2:V$7967,$A78),"-",2)),"")</f>
        <v/>
      </c>
      <c r="CC78" s="35" t="str">
        <f ca="1">IFERROR((separ(INDEX(Sheet!W$2:W$7967,$A78),"-",2)),"")</f>
        <v/>
      </c>
      <c r="CD78" s="35" t="str">
        <f ca="1">IFERROR((separ(INDEX(Sheet!X$2:X$7967,$A78),"-",2)),"")</f>
        <v/>
      </c>
      <c r="CE78" s="35" t="str">
        <f ca="1">IFERROR((separ(INDEX(Sheet!Y$2:Y$7967,$A78),"-",2)),"")</f>
        <v/>
      </c>
      <c r="CF78" s="35" t="str">
        <f ca="1">IFERROR((separ(INDEX(Sheet!Z$2:Z$7967,$A78),"-",2)),"")</f>
        <v/>
      </c>
      <c r="CG78" s="35" t="str">
        <f ca="1">IFERROR((separ(INDEX(Sheet!AA$2:AA$7967,$A78),"-",2)),"")</f>
        <v/>
      </c>
      <c r="CH78" s="35" t="str">
        <f ca="1">IFERROR((separ(INDEX(Sheet!AB$2:AB$7967,$A78),"-",2)),"")</f>
        <v/>
      </c>
      <c r="CI78" s="35" t="str">
        <f ca="1">IFERROR((separ(INDEX(Sheet!AC$2:AC$7967,$A78),"-",2)),"")</f>
        <v/>
      </c>
      <c r="CJ78" s="35" t="str">
        <f ca="1">IFERROR((separ(INDEX(Sheet!AD$2:AD$7967,$A78),"-",2)),"")</f>
        <v/>
      </c>
      <c r="CK78" s="35" t="str">
        <f ca="1">IFERROR((separ(INDEX(Sheet!AE$2:AE$7967,$A78),"-",2)),"")</f>
        <v/>
      </c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</row>
    <row r="79" spans="1:104" s="29" customFormat="1">
      <c r="A79" s="45" t="str">
        <f ca="1">IFERROR(MATCH($B$3,OFFSET(Sheet!$D$2,A78,0):'Sheet'!$D$7657,0)+A78,"")</f>
        <v/>
      </c>
      <c r="B79" s="29" t="str">
        <f ca="1">IF(ROW(A72)&lt;=COUNT($A$6:$A$800),INDEX(Sheet!$A$2:$A$7967,$A79),IF(ROW(A72)=COUNT($A$6:$A$800)+1," ",IF(ROW(A72)=COUNT($A$6:$A$800)+2,"  ","")))</f>
        <v/>
      </c>
      <c r="C79" s="67" t="str">
        <f ca="1">IF($A79="","",INDEX(Sheet!E$2:E$7967,$A79))</f>
        <v/>
      </c>
      <c r="D79" s="31" t="str">
        <f ca="1">IF(B76=" ",$AR$1,IF(B79=" ",$AQ$1,IF(A79="","",INDEX(Sheet!G$2:G$7967,$A79))))</f>
        <v/>
      </c>
      <c r="E79" s="32" t="str">
        <f ca="1">IF($A79="","",TEXT(INDEX(Sheet!J$2:J$7967,$A79),"#,#")&amp;" "&amp;INDEX(Sheet!AT$2:AT$7967,$A79))</f>
        <v/>
      </c>
      <c r="F79" s="53" t="str">
        <f ca="1">IF($A79="","",INDEX(Sheet!F$2:F$7967,$A79))</f>
        <v/>
      </c>
      <c r="G79" s="32" t="str">
        <f ca="1">IF($A79="","",INDEX(Sheet!I$2:I$7967,$A79))</f>
        <v/>
      </c>
      <c r="H79" s="32" t="str">
        <f ca="1">IF($A79="","",INDEX(Sheet!L$2:L$7967,$A79))</f>
        <v/>
      </c>
      <c r="I79" s="32" t="str">
        <f ca="1">IF($A79="","",INDEX(Sheet!N$2:N$7967,$A79))</f>
        <v/>
      </c>
      <c r="J79" s="53" t="str">
        <f ca="1">IF($A79="","",INDEX(Sheet!AS$2:AS$7967,$A79))</f>
        <v/>
      </c>
      <c r="K79" s="33" t="str">
        <f ca="1">IF($A79="","",IF(INDEX(Sheet!S$2:S$7967,$A79)="","",INDEX(Sheet!S$2:S$7967,$A79)))</f>
        <v/>
      </c>
      <c r="L79" s="33" t="str">
        <f ca="1">IF($A79="","",IF(INDEX(Sheet!R$2:R$7967,$A79)="","",INDEX(Sheet!R$2:R$7967,$A79)))</f>
        <v/>
      </c>
      <c r="M79" s="33" t="str">
        <f ca="1">IF($A79="","",IF(INDEX(Sheet!AO$2:AO$7967,$A79)="","",INDEX(Sheet!AO$2:AO$7967,$A79)))</f>
        <v/>
      </c>
      <c r="N79" s="33" t="str">
        <f ca="1">IF($A79="","",IF(INDEX(Sheet!T$2:T$7967,$A79)="","",INDEX(Sheet!T$2:T$7967,$A79)))</f>
        <v/>
      </c>
      <c r="O79" s="33" t="str">
        <f ca="1">IF($A79="","",IF(INDEX(Sheet!U$2:U$7967,$A79)="","",INDEX(Sheet!U$2:U$7967,$A79)))</f>
        <v/>
      </c>
      <c r="P79" s="33" t="str">
        <f ca="1">IF($A79="","",IF(INDEX(Sheet!W$2:W$7967,$A79)="","",INDEX(Sheet!W$2:W$7967,$A79)))</f>
        <v/>
      </c>
      <c r="Q79" s="33" t="str">
        <f ca="1">IF($A79="","",IF(INDEX(Sheet!V$2:V$7967,$A79)="","",INDEX(Sheet!V$2:V$7967,$A79)))</f>
        <v/>
      </c>
      <c r="R79" s="33" t="str">
        <f ca="1">IF($A79="","",IF(INDEX(Sheet!Z$2:Z$7967,$A79)="","",INDEX(Sheet!Z$2:Z$7967,$A79)))</f>
        <v/>
      </c>
      <c r="S79" s="33" t="str">
        <f ca="1">IF($A79="","",IF(INDEX(Sheet!Y$2:Y$7967,$A79)="","",INDEX(Sheet!Y$2:Y$7967,$A79)))</f>
        <v/>
      </c>
      <c r="T79" s="33" t="str">
        <f ca="1">IF($A79="","",IF(INDEX(Sheet!X$2:X$7967,$A79)="","",INDEX(Sheet!X$2:X$7967,$A79)))</f>
        <v/>
      </c>
      <c r="U79" s="33" t="str">
        <f ca="1">IF($A79="","",IF(INDEX(Sheet!AA$2:AA$7967,$A79)="","",INDEX(Sheet!AA$2:AA$7967,$A79)))</f>
        <v/>
      </c>
      <c r="V79" s="33" t="str">
        <f ca="1">IF($A79="","",IF(INDEX(Sheet!AB$2:AB$7967,$A79)="","",INDEX(Sheet!AB$2:AB$7967,$A79)))</f>
        <v/>
      </c>
      <c r="W79" s="33" t="str">
        <f ca="1">IF($A79="","",IF(INDEX(Sheet!AH$2:AH$7967,$A79)="","",INDEX(Sheet!AH$2:AH$7967,$A79)))</f>
        <v/>
      </c>
      <c r="X79" s="33" t="str">
        <f ca="1">IF($A79="","",IF(INDEX(Sheet!AC$2:AC$7967,$A79)="","",INDEX(Sheet!AC$2:AC$7967,$A79)))</f>
        <v/>
      </c>
      <c r="Y79" s="33" t="str">
        <f ca="1">IF($A79="","",IF(INDEX(Sheet!AD$2:AD$7967,$A79)="","",INDEX(Sheet!AD$2:AD$7967,$A79)))</f>
        <v/>
      </c>
      <c r="Z79" s="33" t="str">
        <f ca="1">IF($A79="","",IF(INDEX(Sheet!AL$2:AL$7967,$A79)="","",INDEX(Sheet!AL$2:AL$7967,$A79)))</f>
        <v/>
      </c>
      <c r="AA79" s="33" t="str">
        <f ca="1">IF($A79="","",IF(INDEX(Sheet!AE$2:AE$7967,$A79)="","",INDEX(Sheet!AE$2:AE$7967,$A79)))</f>
        <v/>
      </c>
      <c r="AB79" s="33" t="str">
        <f ca="1">IF($A79="","",IF(INDEX(Sheet!AF$2:AF$7967,$A79)="","",INDEX(Sheet!AF$2:AF$7967,$A79)))</f>
        <v/>
      </c>
      <c r="AC79" s="33" t="str">
        <f ca="1">IF($A79="","",IF(INDEX(Sheet!AG$2:AG$7967,$A79)="","",INDEX(Sheet!AG$2:AG$7967,$A79)))</f>
        <v/>
      </c>
      <c r="AD79" s="33" t="str">
        <f ca="1">IF($A79="","",IF(INDEX(Sheet!AM$2:AM$7967,$A79)="","",INDEX(Sheet!AM$2:AM$7967,$A79)))</f>
        <v/>
      </c>
      <c r="AE79" s="33" t="str">
        <f ca="1">IF($A79="","",IF(INDEX(Sheet!AJ$2:AJ$7967,$A79)="","",INDEX(Sheet!AJ$2:AJ$7967,$A79)))</f>
        <v/>
      </c>
      <c r="AF79" s="33" t="str">
        <f ca="1">IF($A79="","",IF(INDEX(Sheet!AI$2:AI$7967,$A79)="","",INDEX(Sheet!AI$2:AI$7967,$A79)))</f>
        <v/>
      </c>
      <c r="AG79" s="33" t="str">
        <f ca="1">IF(D79="duyệt sản xuất"," Bảo Bảo, Ngày "&amp;DAY($J$4)&amp;" Tháng "&amp;MONTH($J$4)&amp;" Năm "&amp;YEAR($J$4),IF(D79="Phê duyệt","NGƯỜI LẬP",IF(D79="Nguyễn Ngọc Thắng","NGUYỄN THỊ MAI",IF($A79="","",INDEX(Sheet!AK$2:AK$7967,$A79)))))</f>
        <v/>
      </c>
      <c r="AH79" s="58" t="str">
        <f ca="1">IF($A79="","",INDEX(Sheet!AR$2:AR$7967,$A79)&amp;" ; "&amp;INDEX(Sheet!M$2:M$7967,$A79))</f>
        <v/>
      </c>
      <c r="AI79" s="1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G79" s="35" t="str">
        <f ca="1">IFERROR(VALUE(separ(INDEX(Sheet!Q$2:Q$7967,$A79),"-",1)),"")</f>
        <v/>
      </c>
      <c r="BH79" s="35" t="str">
        <f ca="1">IFERROR(VALUE(separ(INDEX(Sheet!R$2:R$7967,$A79),"-",1)),"")</f>
        <v/>
      </c>
      <c r="BI79" s="35" t="str">
        <f ca="1">IFERROR(VALUE(separ(INDEX(Sheet!S$2:S$7967,$A79),"-",1)),"")</f>
        <v/>
      </c>
      <c r="BJ79" s="35" t="str">
        <f ca="1">IFERROR(VALUE(separ(INDEX(Sheet!T$2:T$7967,$A79),"-",1)),"")</f>
        <v/>
      </c>
      <c r="BK79" s="35" t="str">
        <f ca="1">IFERROR(VALUE(separ(INDEX(Sheet!U$2:U$7967,$A79),"-",1)),"")</f>
        <v/>
      </c>
      <c r="BL79" s="35" t="str">
        <f ca="1">IFERROR(VALUE(separ(INDEX(Sheet!V$2:V$7967,$A79),"-",1)),"")</f>
        <v/>
      </c>
      <c r="BM79" s="35" t="str">
        <f ca="1">IFERROR(VALUE(separ(INDEX(Sheet!W$2:W$7967,$A79),"-",1)),"")</f>
        <v/>
      </c>
      <c r="BN79" s="35" t="str">
        <f ca="1">IFERROR(VALUE(separ(INDEX(Sheet!X$2:X$7967,$A79),"-",1)),"")</f>
        <v/>
      </c>
      <c r="BO79" s="35" t="str">
        <f ca="1">IFERROR(VALUE(separ(INDEX(Sheet!Y$2:Y$7967,$A79),"-",1)),"")</f>
        <v/>
      </c>
      <c r="BP79" s="35" t="str">
        <f ca="1">IFERROR(VALUE(separ(INDEX(Sheet!Z$2:Z$7967,$A79),"-",1)),"")</f>
        <v/>
      </c>
      <c r="BQ79" s="35" t="str">
        <f ca="1">IFERROR(VALUE(separ(INDEX(Sheet!AA$2:AA$7967,$A79),"-",1)),"")</f>
        <v/>
      </c>
      <c r="BR79" s="35" t="str">
        <f ca="1">IFERROR(VALUE(separ(INDEX(Sheet!AB$2:AB$7967,$A79),"-",1)),"")</f>
        <v/>
      </c>
      <c r="BS79" s="35" t="str">
        <f ca="1">IFERROR(VALUE(separ(INDEX(Sheet!AC$2:AC$7967,$A79),"-",1)),"")</f>
        <v/>
      </c>
      <c r="BT79" s="35" t="str">
        <f ca="1">IFERROR(VALUE(separ(INDEX(Sheet!AD$2:AD$7967,$A79),"-",1)),"")</f>
        <v/>
      </c>
      <c r="BU79" s="35" t="str">
        <f ca="1">IFERROR(VALUE(separ(INDEX(Sheet!AE$2:AE$7967,$A79),"-",1)),"")</f>
        <v/>
      </c>
      <c r="BV79" s="35"/>
      <c r="BW79" s="35" t="str">
        <f ca="1">IFERROR((separ(INDEX(Sheet!Q$2:Q$7967,$A79),"-",2)),"")</f>
        <v/>
      </c>
      <c r="BX79" s="35" t="str">
        <f ca="1">IFERROR((separ(INDEX(Sheet!R$2:R$7967,$A79),"-",2)),"")</f>
        <v/>
      </c>
      <c r="BY79" s="35" t="str">
        <f ca="1">IFERROR((separ(INDEX(Sheet!S$2:S$7967,$A79),"-",2)),"")</f>
        <v/>
      </c>
      <c r="BZ79" s="35" t="str">
        <f ca="1">IFERROR((separ(INDEX(Sheet!T$2:T$7967,$A79),"-",2)),"")</f>
        <v/>
      </c>
      <c r="CA79" s="35" t="str">
        <f ca="1">IFERROR((separ(INDEX(Sheet!U$2:U$7967,$A79),"-",2)),"")</f>
        <v/>
      </c>
      <c r="CB79" s="35" t="str">
        <f ca="1">IFERROR((separ(INDEX(Sheet!V$2:V$7967,$A79),"-",2)),"")</f>
        <v/>
      </c>
      <c r="CC79" s="35" t="str">
        <f ca="1">IFERROR((separ(INDEX(Sheet!W$2:W$7967,$A79),"-",2)),"")</f>
        <v/>
      </c>
      <c r="CD79" s="35" t="str">
        <f ca="1">IFERROR((separ(INDEX(Sheet!X$2:X$7967,$A79),"-",2)),"")</f>
        <v/>
      </c>
      <c r="CE79" s="35" t="str">
        <f ca="1">IFERROR((separ(INDEX(Sheet!Y$2:Y$7967,$A79),"-",2)),"")</f>
        <v/>
      </c>
      <c r="CF79" s="35" t="str">
        <f ca="1">IFERROR((separ(INDEX(Sheet!Z$2:Z$7967,$A79),"-",2)),"")</f>
        <v/>
      </c>
      <c r="CG79" s="35" t="str">
        <f ca="1">IFERROR((separ(INDEX(Sheet!AA$2:AA$7967,$A79),"-",2)),"")</f>
        <v/>
      </c>
      <c r="CH79" s="35" t="str">
        <f ca="1">IFERROR((separ(INDEX(Sheet!AB$2:AB$7967,$A79),"-",2)),"")</f>
        <v/>
      </c>
      <c r="CI79" s="35" t="str">
        <f ca="1">IFERROR((separ(INDEX(Sheet!AC$2:AC$7967,$A79),"-",2)),"")</f>
        <v/>
      </c>
      <c r="CJ79" s="35" t="str">
        <f ca="1">IFERROR((separ(INDEX(Sheet!AD$2:AD$7967,$A79),"-",2)),"")</f>
        <v/>
      </c>
      <c r="CK79" s="35" t="str">
        <f ca="1">IFERROR((separ(INDEX(Sheet!AE$2:AE$7967,$A79),"-",2)),"")</f>
        <v/>
      </c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</row>
    <row r="80" spans="1:104" s="29" customFormat="1">
      <c r="A80" s="45" t="str">
        <f ca="1">IFERROR(MATCH($B$3,OFFSET(Sheet!$D$2,A79,0):'Sheet'!$D$7657,0)+A79,"")</f>
        <v/>
      </c>
      <c r="B80" s="29" t="str">
        <f ca="1">IF(ROW(A73)&lt;=COUNT($A$6:$A$800),INDEX(Sheet!$A$2:$A$7967,$A80),IF(ROW(A73)=COUNT($A$6:$A$800)+1," ",IF(ROW(A73)=COUNT($A$6:$A$800)+2,"  ","")))</f>
        <v/>
      </c>
      <c r="C80" s="67" t="str">
        <f ca="1">IF($A80="","",INDEX(Sheet!E$2:E$7967,$A80))</f>
        <v/>
      </c>
      <c r="D80" s="31" t="str">
        <f ca="1">IF(B77=" ",$AR$1,IF(B80=" ",$AQ$1,IF(A80="","",INDEX(Sheet!G$2:G$7967,$A80))))</f>
        <v/>
      </c>
      <c r="E80" s="32" t="str">
        <f ca="1">IF($A80="","",TEXT(INDEX(Sheet!J$2:J$7967,$A80),"#,#")&amp;" "&amp;INDEX(Sheet!AT$2:AT$7967,$A80))</f>
        <v/>
      </c>
      <c r="F80" s="53" t="str">
        <f ca="1">IF($A80="","",INDEX(Sheet!F$2:F$7967,$A80))</f>
        <v/>
      </c>
      <c r="G80" s="32" t="str">
        <f ca="1">IF($A80="","",INDEX(Sheet!I$2:I$7967,$A80))</f>
        <v/>
      </c>
      <c r="H80" s="32" t="str">
        <f ca="1">IF($A80="","",INDEX(Sheet!L$2:L$7967,$A80))</f>
        <v/>
      </c>
      <c r="I80" s="32" t="str">
        <f ca="1">IF($A80="","",INDEX(Sheet!N$2:N$7967,$A80))</f>
        <v/>
      </c>
      <c r="J80" s="53" t="str">
        <f ca="1">IF($A80="","",INDEX(Sheet!AS$2:AS$7967,$A80))</f>
        <v/>
      </c>
      <c r="K80" s="33" t="str">
        <f ca="1">IF($A80="","",IF(INDEX(Sheet!S$2:S$7967,$A80)="","",INDEX(Sheet!S$2:S$7967,$A80)))</f>
        <v/>
      </c>
      <c r="L80" s="33" t="str">
        <f ca="1">IF($A80="","",IF(INDEX(Sheet!R$2:R$7967,$A80)="","",INDEX(Sheet!R$2:R$7967,$A80)))</f>
        <v/>
      </c>
      <c r="M80" s="33" t="str">
        <f ca="1">IF($A80="","",IF(INDEX(Sheet!AO$2:AO$7967,$A80)="","",INDEX(Sheet!AO$2:AO$7967,$A80)))</f>
        <v/>
      </c>
      <c r="N80" s="33" t="str">
        <f ca="1">IF($A80="","",IF(INDEX(Sheet!T$2:T$7967,$A80)="","",INDEX(Sheet!T$2:T$7967,$A80)))</f>
        <v/>
      </c>
      <c r="O80" s="33" t="str">
        <f ca="1">IF($A80="","",IF(INDEX(Sheet!U$2:U$7967,$A80)="","",INDEX(Sheet!U$2:U$7967,$A80)))</f>
        <v/>
      </c>
      <c r="P80" s="33" t="str">
        <f ca="1">IF($A80="","",IF(INDEX(Sheet!W$2:W$7967,$A80)="","",INDEX(Sheet!W$2:W$7967,$A80)))</f>
        <v/>
      </c>
      <c r="Q80" s="33" t="str">
        <f ca="1">IF($A80="","",IF(INDEX(Sheet!V$2:V$7967,$A80)="","",INDEX(Sheet!V$2:V$7967,$A80)))</f>
        <v/>
      </c>
      <c r="R80" s="33" t="str">
        <f ca="1">IF($A80="","",IF(INDEX(Sheet!Z$2:Z$7967,$A80)="","",INDEX(Sheet!Z$2:Z$7967,$A80)))</f>
        <v/>
      </c>
      <c r="S80" s="33" t="str">
        <f ca="1">IF($A80="","",IF(INDEX(Sheet!Y$2:Y$7967,$A80)="","",INDEX(Sheet!Y$2:Y$7967,$A80)))</f>
        <v/>
      </c>
      <c r="T80" s="33" t="str">
        <f ca="1">IF($A80="","",IF(INDEX(Sheet!X$2:X$7967,$A80)="","",INDEX(Sheet!X$2:X$7967,$A80)))</f>
        <v/>
      </c>
      <c r="U80" s="33" t="str">
        <f ca="1">IF($A80="","",IF(INDEX(Sheet!AA$2:AA$7967,$A80)="","",INDEX(Sheet!AA$2:AA$7967,$A80)))</f>
        <v/>
      </c>
      <c r="V80" s="33" t="str">
        <f ca="1">IF($A80="","",IF(INDEX(Sheet!AB$2:AB$7967,$A80)="","",INDEX(Sheet!AB$2:AB$7967,$A80)))</f>
        <v/>
      </c>
      <c r="W80" s="33" t="str">
        <f ca="1">IF($A80="","",IF(INDEX(Sheet!AH$2:AH$7967,$A80)="","",INDEX(Sheet!AH$2:AH$7967,$A80)))</f>
        <v/>
      </c>
      <c r="X80" s="33" t="str">
        <f ca="1">IF($A80="","",IF(INDEX(Sheet!AC$2:AC$7967,$A80)="","",INDEX(Sheet!AC$2:AC$7967,$A80)))</f>
        <v/>
      </c>
      <c r="Y80" s="33" t="str">
        <f ca="1">IF($A80="","",IF(INDEX(Sheet!AD$2:AD$7967,$A80)="","",INDEX(Sheet!AD$2:AD$7967,$A80)))</f>
        <v/>
      </c>
      <c r="Z80" s="33" t="str">
        <f ca="1">IF($A80="","",IF(INDEX(Sheet!AL$2:AL$7967,$A80)="","",INDEX(Sheet!AL$2:AL$7967,$A80)))</f>
        <v/>
      </c>
      <c r="AA80" s="33" t="str">
        <f ca="1">IF($A80="","",IF(INDEX(Sheet!AE$2:AE$7967,$A80)="","",INDEX(Sheet!AE$2:AE$7967,$A80)))</f>
        <v/>
      </c>
      <c r="AB80" s="33" t="str">
        <f ca="1">IF($A80="","",IF(INDEX(Sheet!AF$2:AF$7967,$A80)="","",INDEX(Sheet!AF$2:AF$7967,$A80)))</f>
        <v/>
      </c>
      <c r="AC80" s="33" t="str">
        <f ca="1">IF($A80="","",IF(INDEX(Sheet!AG$2:AG$7967,$A80)="","",INDEX(Sheet!AG$2:AG$7967,$A80)))</f>
        <v/>
      </c>
      <c r="AD80" s="33" t="str">
        <f ca="1">IF($A80="","",IF(INDEX(Sheet!AM$2:AM$7967,$A80)="","",INDEX(Sheet!AM$2:AM$7967,$A80)))</f>
        <v/>
      </c>
      <c r="AE80" s="33" t="str">
        <f ca="1">IF($A80="","",IF(INDEX(Sheet!AJ$2:AJ$7967,$A80)="","",INDEX(Sheet!AJ$2:AJ$7967,$A80)))</f>
        <v/>
      </c>
      <c r="AF80" s="33" t="str">
        <f ca="1">IF($A80="","",IF(INDEX(Sheet!AI$2:AI$7967,$A80)="","",INDEX(Sheet!AI$2:AI$7967,$A80)))</f>
        <v/>
      </c>
      <c r="AG80" s="33" t="str">
        <f ca="1">IF(D80="duyệt sản xuất"," Bảo Bảo, Ngày "&amp;DAY($J$4)&amp;" Tháng "&amp;MONTH($J$4)&amp;" Năm "&amp;YEAR($J$4),IF(D80="Phê duyệt","NGƯỜI LẬP",IF(D80="Nguyễn Ngọc Thắng","NGUYỄN THỊ MAI",IF($A80="","",INDEX(Sheet!AK$2:AK$7967,$A80)))))</f>
        <v/>
      </c>
      <c r="AH80" s="58" t="str">
        <f ca="1">IF($A80="","",INDEX(Sheet!AR$2:AR$7967,$A80)&amp;" ; "&amp;INDEX(Sheet!M$2:M$7967,$A80))</f>
        <v/>
      </c>
      <c r="AI80" s="1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G80" s="35" t="str">
        <f ca="1">IFERROR(VALUE(separ(INDEX(Sheet!Q$2:Q$7967,$A80),"-",1)),"")</f>
        <v/>
      </c>
      <c r="BH80" s="35" t="str">
        <f ca="1">IFERROR(VALUE(separ(INDEX(Sheet!R$2:R$7967,$A80),"-",1)),"")</f>
        <v/>
      </c>
      <c r="BI80" s="35" t="str">
        <f ca="1">IFERROR(VALUE(separ(INDEX(Sheet!S$2:S$7967,$A80),"-",1)),"")</f>
        <v/>
      </c>
      <c r="BJ80" s="35" t="str">
        <f ca="1">IFERROR(VALUE(separ(INDEX(Sheet!T$2:T$7967,$A80),"-",1)),"")</f>
        <v/>
      </c>
      <c r="BK80" s="35" t="str">
        <f ca="1">IFERROR(VALUE(separ(INDEX(Sheet!U$2:U$7967,$A80),"-",1)),"")</f>
        <v/>
      </c>
      <c r="BL80" s="35" t="str">
        <f ca="1">IFERROR(VALUE(separ(INDEX(Sheet!V$2:V$7967,$A80),"-",1)),"")</f>
        <v/>
      </c>
      <c r="BM80" s="35" t="str">
        <f ca="1">IFERROR(VALUE(separ(INDEX(Sheet!W$2:W$7967,$A80),"-",1)),"")</f>
        <v/>
      </c>
      <c r="BN80" s="35" t="str">
        <f ca="1">IFERROR(VALUE(separ(INDEX(Sheet!X$2:X$7967,$A80),"-",1)),"")</f>
        <v/>
      </c>
      <c r="BO80" s="35" t="str">
        <f ca="1">IFERROR(VALUE(separ(INDEX(Sheet!Y$2:Y$7967,$A80),"-",1)),"")</f>
        <v/>
      </c>
      <c r="BP80" s="35" t="str">
        <f ca="1">IFERROR(VALUE(separ(INDEX(Sheet!Z$2:Z$7967,$A80),"-",1)),"")</f>
        <v/>
      </c>
      <c r="BQ80" s="35" t="str">
        <f ca="1">IFERROR(VALUE(separ(INDEX(Sheet!AA$2:AA$7967,$A80),"-",1)),"")</f>
        <v/>
      </c>
      <c r="BR80" s="35" t="str">
        <f ca="1">IFERROR(VALUE(separ(INDEX(Sheet!AB$2:AB$7967,$A80),"-",1)),"")</f>
        <v/>
      </c>
      <c r="BS80" s="35" t="str">
        <f ca="1">IFERROR(VALUE(separ(INDEX(Sheet!AC$2:AC$7967,$A80),"-",1)),"")</f>
        <v/>
      </c>
      <c r="BT80" s="35" t="str">
        <f ca="1">IFERROR(VALUE(separ(INDEX(Sheet!AD$2:AD$7967,$A80),"-",1)),"")</f>
        <v/>
      </c>
      <c r="BU80" s="35" t="str">
        <f ca="1">IFERROR(VALUE(separ(INDEX(Sheet!AE$2:AE$7967,$A80),"-",1)),"")</f>
        <v/>
      </c>
      <c r="BV80" s="35"/>
      <c r="BW80" s="35" t="str">
        <f ca="1">IFERROR((separ(INDEX(Sheet!Q$2:Q$7967,$A80),"-",2)),"")</f>
        <v/>
      </c>
      <c r="BX80" s="35" t="str">
        <f ca="1">IFERROR((separ(INDEX(Sheet!R$2:R$7967,$A80),"-",2)),"")</f>
        <v/>
      </c>
      <c r="BY80" s="35" t="str">
        <f ca="1">IFERROR((separ(INDEX(Sheet!S$2:S$7967,$A80),"-",2)),"")</f>
        <v/>
      </c>
      <c r="BZ80" s="35" t="str">
        <f ca="1">IFERROR((separ(INDEX(Sheet!T$2:T$7967,$A80),"-",2)),"")</f>
        <v/>
      </c>
      <c r="CA80" s="35" t="str">
        <f ca="1">IFERROR((separ(INDEX(Sheet!U$2:U$7967,$A80),"-",2)),"")</f>
        <v/>
      </c>
      <c r="CB80" s="35" t="str">
        <f ca="1">IFERROR((separ(INDEX(Sheet!V$2:V$7967,$A80),"-",2)),"")</f>
        <v/>
      </c>
      <c r="CC80" s="35" t="str">
        <f ca="1">IFERROR((separ(INDEX(Sheet!W$2:W$7967,$A80),"-",2)),"")</f>
        <v/>
      </c>
      <c r="CD80" s="35" t="str">
        <f ca="1">IFERROR((separ(INDEX(Sheet!X$2:X$7967,$A80),"-",2)),"")</f>
        <v/>
      </c>
      <c r="CE80" s="35" t="str">
        <f ca="1">IFERROR((separ(INDEX(Sheet!Y$2:Y$7967,$A80),"-",2)),"")</f>
        <v/>
      </c>
      <c r="CF80" s="35" t="str">
        <f ca="1">IFERROR((separ(INDEX(Sheet!Z$2:Z$7967,$A80),"-",2)),"")</f>
        <v/>
      </c>
      <c r="CG80" s="35" t="str">
        <f ca="1">IFERROR((separ(INDEX(Sheet!AA$2:AA$7967,$A80),"-",2)),"")</f>
        <v/>
      </c>
      <c r="CH80" s="35" t="str">
        <f ca="1">IFERROR((separ(INDEX(Sheet!AB$2:AB$7967,$A80),"-",2)),"")</f>
        <v/>
      </c>
      <c r="CI80" s="35" t="str">
        <f ca="1">IFERROR((separ(INDEX(Sheet!AC$2:AC$7967,$A80),"-",2)),"")</f>
        <v/>
      </c>
      <c r="CJ80" s="35" t="str">
        <f ca="1">IFERROR((separ(INDEX(Sheet!AD$2:AD$7967,$A80),"-",2)),"")</f>
        <v/>
      </c>
      <c r="CK80" s="35" t="str">
        <f ca="1">IFERROR((separ(INDEX(Sheet!AE$2:AE$7967,$A80),"-",2)),"")</f>
        <v/>
      </c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</row>
    <row r="81" spans="1:104" s="29" customFormat="1">
      <c r="A81" s="45" t="str">
        <f ca="1">IFERROR(MATCH($B$3,OFFSET(Sheet!$D$2,A80,0):'Sheet'!$D$7657,0)+A80,"")</f>
        <v/>
      </c>
      <c r="B81" s="29" t="str">
        <f ca="1">IF(ROW(A74)&lt;=COUNT($A$6:$A$800),INDEX(Sheet!$A$2:$A$7967,$A81),IF(ROW(A74)=COUNT($A$6:$A$800)+1," ",IF(ROW(A74)=COUNT($A$6:$A$800)+2,"  ","")))</f>
        <v/>
      </c>
      <c r="C81" s="67" t="str">
        <f ca="1">IF($A81="","",INDEX(Sheet!E$2:E$7967,$A81))</f>
        <v/>
      </c>
      <c r="D81" s="31" t="str">
        <f ca="1">IF(B78=" ",$AR$1,IF(B81=" ",$AQ$1,IF(A81="","",INDEX(Sheet!G$2:G$7967,$A81))))</f>
        <v/>
      </c>
      <c r="E81" s="32" t="str">
        <f ca="1">IF($A81="","",TEXT(INDEX(Sheet!J$2:J$7967,$A81),"#,#")&amp;" "&amp;INDEX(Sheet!AT$2:AT$7967,$A81))</f>
        <v/>
      </c>
      <c r="F81" s="53" t="str">
        <f ca="1">IF($A81="","",INDEX(Sheet!F$2:F$7967,$A81))</f>
        <v/>
      </c>
      <c r="G81" s="32" t="str">
        <f ca="1">IF($A81="","",INDEX(Sheet!I$2:I$7967,$A81))</f>
        <v/>
      </c>
      <c r="H81" s="32" t="str">
        <f ca="1">IF($A81="","",INDEX(Sheet!L$2:L$7967,$A81))</f>
        <v/>
      </c>
      <c r="I81" s="32" t="str">
        <f ca="1">IF($A81="","",INDEX(Sheet!N$2:N$7967,$A81))</f>
        <v/>
      </c>
      <c r="J81" s="53" t="str">
        <f ca="1">IF($A81="","",INDEX(Sheet!AS$2:AS$7967,$A81))</f>
        <v/>
      </c>
      <c r="K81" s="33" t="str">
        <f ca="1">IF($A81="","",IF(INDEX(Sheet!S$2:S$7967,$A81)="","",INDEX(Sheet!S$2:S$7967,$A81)))</f>
        <v/>
      </c>
      <c r="L81" s="33" t="str">
        <f ca="1">IF($A81="","",IF(INDEX(Sheet!R$2:R$7967,$A81)="","",INDEX(Sheet!R$2:R$7967,$A81)))</f>
        <v/>
      </c>
      <c r="M81" s="33" t="str">
        <f ca="1">IF($A81="","",IF(INDEX(Sheet!AO$2:AO$7967,$A81)="","",INDEX(Sheet!AO$2:AO$7967,$A81)))</f>
        <v/>
      </c>
      <c r="N81" s="33" t="str">
        <f ca="1">IF($A81="","",IF(INDEX(Sheet!T$2:T$7967,$A81)="","",INDEX(Sheet!T$2:T$7967,$A81)))</f>
        <v/>
      </c>
      <c r="O81" s="33" t="str">
        <f ca="1">IF($A81="","",IF(INDEX(Sheet!U$2:U$7967,$A81)="","",INDEX(Sheet!U$2:U$7967,$A81)))</f>
        <v/>
      </c>
      <c r="P81" s="33" t="str">
        <f ca="1">IF($A81="","",IF(INDEX(Sheet!W$2:W$7967,$A81)="","",INDEX(Sheet!W$2:W$7967,$A81)))</f>
        <v/>
      </c>
      <c r="Q81" s="33" t="str">
        <f ca="1">IF($A81="","",IF(INDEX(Sheet!V$2:V$7967,$A81)="","",INDEX(Sheet!V$2:V$7967,$A81)))</f>
        <v/>
      </c>
      <c r="R81" s="33" t="str">
        <f ca="1">IF($A81="","",IF(INDEX(Sheet!Z$2:Z$7967,$A81)="","",INDEX(Sheet!Z$2:Z$7967,$A81)))</f>
        <v/>
      </c>
      <c r="S81" s="33" t="str">
        <f ca="1">IF($A81="","",IF(INDEX(Sheet!Y$2:Y$7967,$A81)="","",INDEX(Sheet!Y$2:Y$7967,$A81)))</f>
        <v/>
      </c>
      <c r="T81" s="33" t="str">
        <f ca="1">IF($A81="","",IF(INDEX(Sheet!X$2:X$7967,$A81)="","",INDEX(Sheet!X$2:X$7967,$A81)))</f>
        <v/>
      </c>
      <c r="U81" s="33" t="str">
        <f ca="1">IF($A81="","",IF(INDEX(Sheet!AA$2:AA$7967,$A81)="","",INDEX(Sheet!AA$2:AA$7967,$A81)))</f>
        <v/>
      </c>
      <c r="V81" s="33" t="str">
        <f ca="1">IF($A81="","",IF(INDEX(Sheet!AB$2:AB$7967,$A81)="","",INDEX(Sheet!AB$2:AB$7967,$A81)))</f>
        <v/>
      </c>
      <c r="W81" s="33" t="str">
        <f ca="1">IF($A81="","",IF(INDEX(Sheet!AH$2:AH$7967,$A81)="","",INDEX(Sheet!AH$2:AH$7967,$A81)))</f>
        <v/>
      </c>
      <c r="X81" s="33" t="str">
        <f ca="1">IF($A81="","",IF(INDEX(Sheet!AC$2:AC$7967,$A81)="","",INDEX(Sheet!AC$2:AC$7967,$A81)))</f>
        <v/>
      </c>
      <c r="Y81" s="33" t="str">
        <f ca="1">IF($A81="","",IF(INDEX(Sheet!AD$2:AD$7967,$A81)="","",INDEX(Sheet!AD$2:AD$7967,$A81)))</f>
        <v/>
      </c>
      <c r="Z81" s="33" t="str">
        <f ca="1">IF($A81="","",IF(INDEX(Sheet!AL$2:AL$7967,$A81)="","",INDEX(Sheet!AL$2:AL$7967,$A81)))</f>
        <v/>
      </c>
      <c r="AA81" s="33" t="str">
        <f ca="1">IF($A81="","",IF(INDEX(Sheet!AE$2:AE$7967,$A81)="","",INDEX(Sheet!AE$2:AE$7967,$A81)))</f>
        <v/>
      </c>
      <c r="AB81" s="33" t="str">
        <f ca="1">IF($A81="","",IF(INDEX(Sheet!AF$2:AF$7967,$A81)="","",INDEX(Sheet!AF$2:AF$7967,$A81)))</f>
        <v/>
      </c>
      <c r="AC81" s="33" t="str">
        <f ca="1">IF($A81="","",IF(INDEX(Sheet!AG$2:AG$7967,$A81)="","",INDEX(Sheet!AG$2:AG$7967,$A81)))</f>
        <v/>
      </c>
      <c r="AD81" s="33" t="str">
        <f ca="1">IF($A81="","",IF(INDEX(Sheet!AM$2:AM$7967,$A81)="","",INDEX(Sheet!AM$2:AM$7967,$A81)))</f>
        <v/>
      </c>
      <c r="AE81" s="33" t="str">
        <f ca="1">IF($A81="","",IF(INDEX(Sheet!AJ$2:AJ$7967,$A81)="","",INDEX(Sheet!AJ$2:AJ$7967,$A81)))</f>
        <v/>
      </c>
      <c r="AF81" s="33" t="str">
        <f ca="1">IF($A81="","",IF(INDEX(Sheet!AI$2:AI$7967,$A81)="","",INDEX(Sheet!AI$2:AI$7967,$A81)))</f>
        <v/>
      </c>
      <c r="AG81" s="33" t="str">
        <f ca="1">IF(D81="duyệt sản xuất"," Bảo Bảo, Ngày "&amp;DAY($J$4)&amp;" Tháng "&amp;MONTH($J$4)&amp;" Năm "&amp;YEAR($J$4),IF(D81="Phê duyệt","NGƯỜI LẬP",IF(D81="Nguyễn Ngọc Thắng","NGUYỄN THỊ MAI",IF($A81="","",INDEX(Sheet!AK$2:AK$7967,$A81)))))</f>
        <v/>
      </c>
      <c r="AH81" s="58" t="str">
        <f ca="1">IF($A81="","",INDEX(Sheet!AR$2:AR$7967,$A81)&amp;" ; "&amp;INDEX(Sheet!M$2:M$7967,$A81))</f>
        <v/>
      </c>
      <c r="AI81" s="1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G81" s="35" t="str">
        <f ca="1">IFERROR(VALUE(separ(INDEX(Sheet!Q$2:Q$7967,$A81),"-",1)),"")</f>
        <v/>
      </c>
      <c r="BH81" s="35" t="str">
        <f ca="1">IFERROR(VALUE(separ(INDEX(Sheet!R$2:R$7967,$A81),"-",1)),"")</f>
        <v/>
      </c>
      <c r="BI81" s="35" t="str">
        <f ca="1">IFERROR(VALUE(separ(INDEX(Sheet!S$2:S$7967,$A81),"-",1)),"")</f>
        <v/>
      </c>
      <c r="BJ81" s="35" t="str">
        <f ca="1">IFERROR(VALUE(separ(INDEX(Sheet!T$2:T$7967,$A81),"-",1)),"")</f>
        <v/>
      </c>
      <c r="BK81" s="35" t="str">
        <f ca="1">IFERROR(VALUE(separ(INDEX(Sheet!U$2:U$7967,$A81),"-",1)),"")</f>
        <v/>
      </c>
      <c r="BL81" s="35" t="str">
        <f ca="1">IFERROR(VALUE(separ(INDEX(Sheet!V$2:V$7967,$A81),"-",1)),"")</f>
        <v/>
      </c>
      <c r="BM81" s="35" t="str">
        <f ca="1">IFERROR(VALUE(separ(INDEX(Sheet!W$2:W$7967,$A81),"-",1)),"")</f>
        <v/>
      </c>
      <c r="BN81" s="35" t="str">
        <f ca="1">IFERROR(VALUE(separ(INDEX(Sheet!X$2:X$7967,$A81),"-",1)),"")</f>
        <v/>
      </c>
      <c r="BO81" s="35" t="str">
        <f ca="1">IFERROR(VALUE(separ(INDEX(Sheet!Y$2:Y$7967,$A81),"-",1)),"")</f>
        <v/>
      </c>
      <c r="BP81" s="35" t="str">
        <f ca="1">IFERROR(VALUE(separ(INDEX(Sheet!Z$2:Z$7967,$A81),"-",1)),"")</f>
        <v/>
      </c>
      <c r="BQ81" s="35" t="str">
        <f ca="1">IFERROR(VALUE(separ(INDEX(Sheet!AA$2:AA$7967,$A81),"-",1)),"")</f>
        <v/>
      </c>
      <c r="BR81" s="35" t="str">
        <f ca="1">IFERROR(VALUE(separ(INDEX(Sheet!AB$2:AB$7967,$A81),"-",1)),"")</f>
        <v/>
      </c>
      <c r="BS81" s="35" t="str">
        <f ca="1">IFERROR(VALUE(separ(INDEX(Sheet!AC$2:AC$7967,$A81),"-",1)),"")</f>
        <v/>
      </c>
      <c r="BT81" s="35" t="str">
        <f ca="1">IFERROR(VALUE(separ(INDEX(Sheet!AD$2:AD$7967,$A81),"-",1)),"")</f>
        <v/>
      </c>
      <c r="BU81" s="35" t="str">
        <f ca="1">IFERROR(VALUE(separ(INDEX(Sheet!AE$2:AE$7967,$A81),"-",1)),"")</f>
        <v/>
      </c>
      <c r="BV81" s="35"/>
      <c r="BW81" s="35" t="str">
        <f ca="1">IFERROR((separ(INDEX(Sheet!Q$2:Q$7967,$A81),"-",2)),"")</f>
        <v/>
      </c>
      <c r="BX81" s="35" t="str">
        <f ca="1">IFERROR((separ(INDEX(Sheet!R$2:R$7967,$A81),"-",2)),"")</f>
        <v/>
      </c>
      <c r="BY81" s="35" t="str">
        <f ca="1">IFERROR((separ(INDEX(Sheet!S$2:S$7967,$A81),"-",2)),"")</f>
        <v/>
      </c>
      <c r="BZ81" s="35" t="str">
        <f ca="1">IFERROR((separ(INDEX(Sheet!T$2:T$7967,$A81),"-",2)),"")</f>
        <v/>
      </c>
      <c r="CA81" s="35" t="str">
        <f ca="1">IFERROR((separ(INDEX(Sheet!U$2:U$7967,$A81),"-",2)),"")</f>
        <v/>
      </c>
      <c r="CB81" s="35" t="str">
        <f ca="1">IFERROR((separ(INDEX(Sheet!V$2:V$7967,$A81),"-",2)),"")</f>
        <v/>
      </c>
      <c r="CC81" s="35" t="str">
        <f ca="1">IFERROR((separ(INDEX(Sheet!W$2:W$7967,$A81),"-",2)),"")</f>
        <v/>
      </c>
      <c r="CD81" s="35" t="str">
        <f ca="1">IFERROR((separ(INDEX(Sheet!X$2:X$7967,$A81),"-",2)),"")</f>
        <v/>
      </c>
      <c r="CE81" s="35" t="str">
        <f ca="1">IFERROR((separ(INDEX(Sheet!Y$2:Y$7967,$A81),"-",2)),"")</f>
        <v/>
      </c>
      <c r="CF81" s="35" t="str">
        <f ca="1">IFERROR((separ(INDEX(Sheet!Z$2:Z$7967,$A81),"-",2)),"")</f>
        <v/>
      </c>
      <c r="CG81" s="35" t="str">
        <f ca="1">IFERROR((separ(INDEX(Sheet!AA$2:AA$7967,$A81),"-",2)),"")</f>
        <v/>
      </c>
      <c r="CH81" s="35" t="str">
        <f ca="1">IFERROR((separ(INDEX(Sheet!AB$2:AB$7967,$A81),"-",2)),"")</f>
        <v/>
      </c>
      <c r="CI81" s="35" t="str">
        <f ca="1">IFERROR((separ(INDEX(Sheet!AC$2:AC$7967,$A81),"-",2)),"")</f>
        <v/>
      </c>
      <c r="CJ81" s="35" t="str">
        <f ca="1">IFERROR((separ(INDEX(Sheet!AD$2:AD$7967,$A81),"-",2)),"")</f>
        <v/>
      </c>
      <c r="CK81" s="35" t="str">
        <f ca="1">IFERROR((separ(INDEX(Sheet!AE$2:AE$7967,$A81),"-",2)),"")</f>
        <v/>
      </c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</row>
    <row r="82" spans="1:104" s="29" customFormat="1">
      <c r="A82" s="45" t="str">
        <f ca="1">IFERROR(MATCH($B$3,OFFSET(Sheet!$D$2,A81,0):'Sheet'!$D$7657,0)+A81,"")</f>
        <v/>
      </c>
      <c r="B82" s="29" t="str">
        <f ca="1">IF(ROW(A75)&lt;=COUNT($A$6:$A$800),INDEX(Sheet!$A$2:$A$7967,$A82),IF(ROW(A75)=COUNT($A$6:$A$800)+1," ",IF(ROW(A75)=COUNT($A$6:$A$800)+2,"  ","")))</f>
        <v/>
      </c>
      <c r="C82" s="67" t="str">
        <f ca="1">IF($A82="","",INDEX(Sheet!E$2:E$7967,$A82))</f>
        <v/>
      </c>
      <c r="D82" s="31" t="str">
        <f ca="1">IF(B79=" ",$AR$1,IF(B82=" ",$AQ$1,IF(A82="","",INDEX(Sheet!G$2:G$7967,$A82))))</f>
        <v/>
      </c>
      <c r="E82" s="32" t="str">
        <f ca="1">IF($A82="","",TEXT(INDEX(Sheet!J$2:J$7967,$A82),"#,#")&amp;" "&amp;INDEX(Sheet!AT$2:AT$7967,$A82))</f>
        <v/>
      </c>
      <c r="F82" s="53" t="str">
        <f ca="1">IF($A82="","",INDEX(Sheet!F$2:F$7967,$A82))</f>
        <v/>
      </c>
      <c r="G82" s="32" t="str">
        <f ca="1">IF($A82="","",INDEX(Sheet!I$2:I$7967,$A82))</f>
        <v/>
      </c>
      <c r="H82" s="32" t="str">
        <f ca="1">IF($A82="","",INDEX(Sheet!L$2:L$7967,$A82))</f>
        <v/>
      </c>
      <c r="I82" s="32" t="str">
        <f ca="1">IF($A82="","",INDEX(Sheet!N$2:N$7967,$A82))</f>
        <v/>
      </c>
      <c r="J82" s="53" t="str">
        <f ca="1">IF($A82="","",INDEX(Sheet!AS$2:AS$7967,$A82))</f>
        <v/>
      </c>
      <c r="K82" s="33" t="str">
        <f ca="1">IF($A82="","",IF(INDEX(Sheet!S$2:S$7967,$A82)="","",INDEX(Sheet!S$2:S$7967,$A82)))</f>
        <v/>
      </c>
      <c r="L82" s="33" t="str">
        <f ca="1">IF($A82="","",IF(INDEX(Sheet!R$2:R$7967,$A82)="","",INDEX(Sheet!R$2:R$7967,$A82)))</f>
        <v/>
      </c>
      <c r="M82" s="33" t="str">
        <f ca="1">IF($A82="","",IF(INDEX(Sheet!AO$2:AO$7967,$A82)="","",INDEX(Sheet!AO$2:AO$7967,$A82)))</f>
        <v/>
      </c>
      <c r="N82" s="33" t="str">
        <f ca="1">IF($A82="","",IF(INDEX(Sheet!T$2:T$7967,$A82)="","",INDEX(Sheet!T$2:T$7967,$A82)))</f>
        <v/>
      </c>
      <c r="O82" s="33" t="str">
        <f ca="1">IF($A82="","",IF(INDEX(Sheet!U$2:U$7967,$A82)="","",INDEX(Sheet!U$2:U$7967,$A82)))</f>
        <v/>
      </c>
      <c r="P82" s="33" t="str">
        <f ca="1">IF($A82="","",IF(INDEX(Sheet!W$2:W$7967,$A82)="","",INDEX(Sheet!W$2:W$7967,$A82)))</f>
        <v/>
      </c>
      <c r="Q82" s="33" t="str">
        <f ca="1">IF($A82="","",IF(INDEX(Sheet!V$2:V$7967,$A82)="","",INDEX(Sheet!V$2:V$7967,$A82)))</f>
        <v/>
      </c>
      <c r="R82" s="33" t="str">
        <f ca="1">IF($A82="","",IF(INDEX(Sheet!Z$2:Z$7967,$A82)="","",INDEX(Sheet!Z$2:Z$7967,$A82)))</f>
        <v/>
      </c>
      <c r="S82" s="33" t="str">
        <f ca="1">IF($A82="","",IF(INDEX(Sheet!Y$2:Y$7967,$A82)="","",INDEX(Sheet!Y$2:Y$7967,$A82)))</f>
        <v/>
      </c>
      <c r="T82" s="33" t="str">
        <f ca="1">IF($A82="","",IF(INDEX(Sheet!X$2:X$7967,$A82)="","",INDEX(Sheet!X$2:X$7967,$A82)))</f>
        <v/>
      </c>
      <c r="U82" s="33" t="str">
        <f ca="1">IF($A82="","",IF(INDEX(Sheet!AA$2:AA$7967,$A82)="","",INDEX(Sheet!AA$2:AA$7967,$A82)))</f>
        <v/>
      </c>
      <c r="V82" s="33" t="str">
        <f ca="1">IF($A82="","",IF(INDEX(Sheet!AB$2:AB$7967,$A82)="","",INDEX(Sheet!AB$2:AB$7967,$A82)))</f>
        <v/>
      </c>
      <c r="W82" s="33" t="str">
        <f ca="1">IF($A82="","",IF(INDEX(Sheet!AH$2:AH$7967,$A82)="","",INDEX(Sheet!AH$2:AH$7967,$A82)))</f>
        <v/>
      </c>
      <c r="X82" s="33" t="str">
        <f ca="1">IF($A82="","",IF(INDEX(Sheet!AC$2:AC$7967,$A82)="","",INDEX(Sheet!AC$2:AC$7967,$A82)))</f>
        <v/>
      </c>
      <c r="Y82" s="33" t="str">
        <f ca="1">IF($A82="","",IF(INDEX(Sheet!AD$2:AD$7967,$A82)="","",INDEX(Sheet!AD$2:AD$7967,$A82)))</f>
        <v/>
      </c>
      <c r="Z82" s="33" t="str">
        <f ca="1">IF($A82="","",IF(INDEX(Sheet!AL$2:AL$7967,$A82)="","",INDEX(Sheet!AL$2:AL$7967,$A82)))</f>
        <v/>
      </c>
      <c r="AA82" s="33" t="str">
        <f ca="1">IF($A82="","",IF(INDEX(Sheet!AE$2:AE$7967,$A82)="","",INDEX(Sheet!AE$2:AE$7967,$A82)))</f>
        <v/>
      </c>
      <c r="AB82" s="33" t="str">
        <f ca="1">IF($A82="","",IF(INDEX(Sheet!AF$2:AF$7967,$A82)="","",INDEX(Sheet!AF$2:AF$7967,$A82)))</f>
        <v/>
      </c>
      <c r="AC82" s="33" t="str">
        <f ca="1">IF($A82="","",IF(INDEX(Sheet!AG$2:AG$7967,$A82)="","",INDEX(Sheet!AG$2:AG$7967,$A82)))</f>
        <v/>
      </c>
      <c r="AD82" s="33" t="str">
        <f ca="1">IF($A82="","",IF(INDEX(Sheet!AM$2:AM$7967,$A82)="","",INDEX(Sheet!AM$2:AM$7967,$A82)))</f>
        <v/>
      </c>
      <c r="AE82" s="33" t="str">
        <f ca="1">IF($A82="","",IF(INDEX(Sheet!AJ$2:AJ$7967,$A82)="","",INDEX(Sheet!AJ$2:AJ$7967,$A82)))</f>
        <v/>
      </c>
      <c r="AF82" s="33" t="str">
        <f ca="1">IF($A82="","",IF(INDEX(Sheet!AI$2:AI$7967,$A82)="","",INDEX(Sheet!AI$2:AI$7967,$A82)))</f>
        <v/>
      </c>
      <c r="AG82" s="33" t="str">
        <f ca="1">IF(D82="duyệt sản xuất"," Bảo Bảo, Ngày "&amp;DAY($J$4)&amp;" Tháng "&amp;MONTH($J$4)&amp;" Năm "&amp;YEAR($J$4),IF(D82="Phê duyệt","NGƯỜI LẬP",IF(D82="Nguyễn Ngọc Thắng","NGUYỄN THỊ MAI",IF($A82="","",INDEX(Sheet!AK$2:AK$7967,$A82)))))</f>
        <v/>
      </c>
      <c r="AH82" s="58" t="str">
        <f ca="1">IF($A82="","",INDEX(Sheet!AR$2:AR$7967,$A82)&amp;" ; "&amp;INDEX(Sheet!M$2:M$7967,$A82))</f>
        <v/>
      </c>
      <c r="AI82" s="1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G82" s="35" t="str">
        <f ca="1">IFERROR(VALUE(separ(INDEX(Sheet!Q$2:Q$7967,$A82),"-",1)),"")</f>
        <v/>
      </c>
      <c r="BH82" s="35" t="str">
        <f ca="1">IFERROR(VALUE(separ(INDEX(Sheet!R$2:R$7967,$A82),"-",1)),"")</f>
        <v/>
      </c>
      <c r="BI82" s="35" t="str">
        <f ca="1">IFERROR(VALUE(separ(INDEX(Sheet!S$2:S$7967,$A82),"-",1)),"")</f>
        <v/>
      </c>
      <c r="BJ82" s="35" t="str">
        <f ca="1">IFERROR(VALUE(separ(INDEX(Sheet!T$2:T$7967,$A82),"-",1)),"")</f>
        <v/>
      </c>
      <c r="BK82" s="35" t="str">
        <f ca="1">IFERROR(VALUE(separ(INDEX(Sheet!U$2:U$7967,$A82),"-",1)),"")</f>
        <v/>
      </c>
      <c r="BL82" s="35" t="str">
        <f ca="1">IFERROR(VALUE(separ(INDEX(Sheet!V$2:V$7967,$A82),"-",1)),"")</f>
        <v/>
      </c>
      <c r="BM82" s="35" t="str">
        <f ca="1">IFERROR(VALUE(separ(INDEX(Sheet!W$2:W$7967,$A82),"-",1)),"")</f>
        <v/>
      </c>
      <c r="BN82" s="35" t="str">
        <f ca="1">IFERROR(VALUE(separ(INDEX(Sheet!X$2:X$7967,$A82),"-",1)),"")</f>
        <v/>
      </c>
      <c r="BO82" s="35" t="str">
        <f ca="1">IFERROR(VALUE(separ(INDEX(Sheet!Y$2:Y$7967,$A82),"-",1)),"")</f>
        <v/>
      </c>
      <c r="BP82" s="35" t="str">
        <f ca="1">IFERROR(VALUE(separ(INDEX(Sheet!Z$2:Z$7967,$A82),"-",1)),"")</f>
        <v/>
      </c>
      <c r="BQ82" s="35" t="str">
        <f ca="1">IFERROR(VALUE(separ(INDEX(Sheet!AA$2:AA$7967,$A82),"-",1)),"")</f>
        <v/>
      </c>
      <c r="BR82" s="35" t="str">
        <f ca="1">IFERROR(VALUE(separ(INDEX(Sheet!AB$2:AB$7967,$A82),"-",1)),"")</f>
        <v/>
      </c>
      <c r="BS82" s="35" t="str">
        <f ca="1">IFERROR(VALUE(separ(INDEX(Sheet!AC$2:AC$7967,$A82),"-",1)),"")</f>
        <v/>
      </c>
      <c r="BT82" s="35" t="str">
        <f ca="1">IFERROR(VALUE(separ(INDEX(Sheet!AD$2:AD$7967,$A82),"-",1)),"")</f>
        <v/>
      </c>
      <c r="BU82" s="35" t="str">
        <f ca="1">IFERROR(VALUE(separ(INDEX(Sheet!AE$2:AE$7967,$A82),"-",1)),"")</f>
        <v/>
      </c>
      <c r="BV82" s="35"/>
      <c r="BW82" s="35" t="str">
        <f ca="1">IFERROR((separ(INDEX(Sheet!Q$2:Q$7967,$A82),"-",2)),"")</f>
        <v/>
      </c>
      <c r="BX82" s="35" t="str">
        <f ca="1">IFERROR((separ(INDEX(Sheet!R$2:R$7967,$A82),"-",2)),"")</f>
        <v/>
      </c>
      <c r="BY82" s="35" t="str">
        <f ca="1">IFERROR((separ(INDEX(Sheet!S$2:S$7967,$A82),"-",2)),"")</f>
        <v/>
      </c>
      <c r="BZ82" s="35" t="str">
        <f ca="1">IFERROR((separ(INDEX(Sheet!T$2:T$7967,$A82),"-",2)),"")</f>
        <v/>
      </c>
      <c r="CA82" s="35" t="str">
        <f ca="1">IFERROR((separ(INDEX(Sheet!U$2:U$7967,$A82),"-",2)),"")</f>
        <v/>
      </c>
      <c r="CB82" s="35" t="str">
        <f ca="1">IFERROR((separ(INDEX(Sheet!V$2:V$7967,$A82),"-",2)),"")</f>
        <v/>
      </c>
      <c r="CC82" s="35" t="str">
        <f ca="1">IFERROR((separ(INDEX(Sheet!W$2:W$7967,$A82),"-",2)),"")</f>
        <v/>
      </c>
      <c r="CD82" s="35" t="str">
        <f ca="1">IFERROR((separ(INDEX(Sheet!X$2:X$7967,$A82),"-",2)),"")</f>
        <v/>
      </c>
      <c r="CE82" s="35" t="str">
        <f ca="1">IFERROR((separ(INDEX(Sheet!Y$2:Y$7967,$A82),"-",2)),"")</f>
        <v/>
      </c>
      <c r="CF82" s="35" t="str">
        <f ca="1">IFERROR((separ(INDEX(Sheet!Z$2:Z$7967,$A82),"-",2)),"")</f>
        <v/>
      </c>
      <c r="CG82" s="35" t="str">
        <f ca="1">IFERROR((separ(INDEX(Sheet!AA$2:AA$7967,$A82),"-",2)),"")</f>
        <v/>
      </c>
      <c r="CH82" s="35" t="str">
        <f ca="1">IFERROR((separ(INDEX(Sheet!AB$2:AB$7967,$A82),"-",2)),"")</f>
        <v/>
      </c>
      <c r="CI82" s="35" t="str">
        <f ca="1">IFERROR((separ(INDEX(Sheet!AC$2:AC$7967,$A82),"-",2)),"")</f>
        <v/>
      </c>
      <c r="CJ82" s="35" t="str">
        <f ca="1">IFERROR((separ(INDEX(Sheet!AD$2:AD$7967,$A82),"-",2)),"")</f>
        <v/>
      </c>
      <c r="CK82" s="35" t="str">
        <f ca="1">IFERROR((separ(INDEX(Sheet!AE$2:AE$7967,$A82),"-",2)),"")</f>
        <v/>
      </c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</row>
    <row r="83" spans="1:104" s="29" customFormat="1">
      <c r="A83" s="45" t="str">
        <f ca="1">IFERROR(MATCH($B$3,OFFSET(Sheet!$D$2,A82,0):'Sheet'!$D$7657,0)+A82,"")</f>
        <v/>
      </c>
      <c r="B83" s="29" t="str">
        <f ca="1">IF(ROW(A76)&lt;=COUNT($A$6:$A$800),INDEX(Sheet!$A$2:$A$7967,$A83),IF(ROW(A76)=COUNT($A$6:$A$800)+1," ",IF(ROW(A76)=COUNT($A$6:$A$800)+2,"  ","")))</f>
        <v/>
      </c>
      <c r="C83" s="67" t="str">
        <f ca="1">IF($A83="","",INDEX(Sheet!E$2:E$7967,$A83))</f>
        <v/>
      </c>
      <c r="D83" s="31" t="str">
        <f ca="1">IF(B80=" ",$AR$1,IF(B83=" ",$AQ$1,IF(A83="","",INDEX(Sheet!G$2:G$7967,$A83))))</f>
        <v/>
      </c>
      <c r="E83" s="32" t="str">
        <f ca="1">IF($A83="","",TEXT(INDEX(Sheet!J$2:J$7967,$A83),"#,#")&amp;" "&amp;INDEX(Sheet!AT$2:AT$7967,$A83))</f>
        <v/>
      </c>
      <c r="F83" s="53" t="str">
        <f ca="1">IF($A83="","",INDEX(Sheet!F$2:F$7967,$A83))</f>
        <v/>
      </c>
      <c r="G83" s="32" t="str">
        <f ca="1">IF($A83="","",INDEX(Sheet!I$2:I$7967,$A83))</f>
        <v/>
      </c>
      <c r="H83" s="32" t="str">
        <f ca="1">IF($A83="","",INDEX(Sheet!L$2:L$7967,$A83))</f>
        <v/>
      </c>
      <c r="I83" s="32" t="str">
        <f ca="1">IF($A83="","",INDEX(Sheet!N$2:N$7967,$A83))</f>
        <v/>
      </c>
      <c r="J83" s="53" t="str">
        <f ca="1">IF($A83="","",INDEX(Sheet!AS$2:AS$7967,$A83))</f>
        <v/>
      </c>
      <c r="K83" s="33" t="str">
        <f ca="1">IF($A83="","",IF(INDEX(Sheet!S$2:S$7967,$A83)="","",INDEX(Sheet!S$2:S$7967,$A83)))</f>
        <v/>
      </c>
      <c r="L83" s="33" t="str">
        <f ca="1">IF($A83="","",IF(INDEX(Sheet!R$2:R$7967,$A83)="","",INDEX(Sheet!R$2:R$7967,$A83)))</f>
        <v/>
      </c>
      <c r="M83" s="33" t="str">
        <f ca="1">IF($A83="","",IF(INDEX(Sheet!AO$2:AO$7967,$A83)="","",INDEX(Sheet!AO$2:AO$7967,$A83)))</f>
        <v/>
      </c>
      <c r="N83" s="33" t="str">
        <f ca="1">IF($A83="","",IF(INDEX(Sheet!T$2:T$7967,$A83)="","",INDEX(Sheet!T$2:T$7967,$A83)))</f>
        <v/>
      </c>
      <c r="O83" s="33" t="str">
        <f ca="1">IF($A83="","",IF(INDEX(Sheet!U$2:U$7967,$A83)="","",INDEX(Sheet!U$2:U$7967,$A83)))</f>
        <v/>
      </c>
      <c r="P83" s="33" t="str">
        <f ca="1">IF($A83="","",IF(INDEX(Sheet!W$2:W$7967,$A83)="","",INDEX(Sheet!W$2:W$7967,$A83)))</f>
        <v/>
      </c>
      <c r="Q83" s="33" t="str">
        <f ca="1">IF($A83="","",IF(INDEX(Sheet!V$2:V$7967,$A83)="","",INDEX(Sheet!V$2:V$7967,$A83)))</f>
        <v/>
      </c>
      <c r="R83" s="33" t="str">
        <f ca="1">IF($A83="","",IF(INDEX(Sheet!Z$2:Z$7967,$A83)="","",INDEX(Sheet!Z$2:Z$7967,$A83)))</f>
        <v/>
      </c>
      <c r="S83" s="33" t="str">
        <f ca="1">IF($A83="","",IF(INDEX(Sheet!Y$2:Y$7967,$A83)="","",INDEX(Sheet!Y$2:Y$7967,$A83)))</f>
        <v/>
      </c>
      <c r="T83" s="33" t="str">
        <f ca="1">IF($A83="","",IF(INDEX(Sheet!X$2:X$7967,$A83)="","",INDEX(Sheet!X$2:X$7967,$A83)))</f>
        <v/>
      </c>
      <c r="U83" s="33" t="str">
        <f ca="1">IF($A83="","",IF(INDEX(Sheet!AA$2:AA$7967,$A83)="","",INDEX(Sheet!AA$2:AA$7967,$A83)))</f>
        <v/>
      </c>
      <c r="V83" s="33" t="str">
        <f ca="1">IF($A83="","",IF(INDEX(Sheet!AB$2:AB$7967,$A83)="","",INDEX(Sheet!AB$2:AB$7967,$A83)))</f>
        <v/>
      </c>
      <c r="W83" s="33" t="str">
        <f ca="1">IF($A83="","",IF(INDEX(Sheet!AH$2:AH$7967,$A83)="","",INDEX(Sheet!AH$2:AH$7967,$A83)))</f>
        <v/>
      </c>
      <c r="X83" s="33" t="str">
        <f ca="1">IF($A83="","",IF(INDEX(Sheet!AC$2:AC$7967,$A83)="","",INDEX(Sheet!AC$2:AC$7967,$A83)))</f>
        <v/>
      </c>
      <c r="Y83" s="33" t="str">
        <f ca="1">IF($A83="","",IF(INDEX(Sheet!AD$2:AD$7967,$A83)="","",INDEX(Sheet!AD$2:AD$7967,$A83)))</f>
        <v/>
      </c>
      <c r="Z83" s="33" t="str">
        <f ca="1">IF($A83="","",IF(INDEX(Sheet!AL$2:AL$7967,$A83)="","",INDEX(Sheet!AL$2:AL$7967,$A83)))</f>
        <v/>
      </c>
      <c r="AA83" s="33" t="str">
        <f ca="1">IF($A83="","",IF(INDEX(Sheet!AE$2:AE$7967,$A83)="","",INDEX(Sheet!AE$2:AE$7967,$A83)))</f>
        <v/>
      </c>
      <c r="AB83" s="33" t="str">
        <f ca="1">IF($A83="","",IF(INDEX(Sheet!AF$2:AF$7967,$A83)="","",INDEX(Sheet!AF$2:AF$7967,$A83)))</f>
        <v/>
      </c>
      <c r="AC83" s="33" t="str">
        <f ca="1">IF($A83="","",IF(INDEX(Sheet!AG$2:AG$7967,$A83)="","",INDEX(Sheet!AG$2:AG$7967,$A83)))</f>
        <v/>
      </c>
      <c r="AD83" s="33" t="str">
        <f ca="1">IF($A83="","",IF(INDEX(Sheet!AM$2:AM$7967,$A83)="","",INDEX(Sheet!AM$2:AM$7967,$A83)))</f>
        <v/>
      </c>
      <c r="AE83" s="33" t="str">
        <f ca="1">IF($A83="","",IF(INDEX(Sheet!AJ$2:AJ$7967,$A83)="","",INDEX(Sheet!AJ$2:AJ$7967,$A83)))</f>
        <v/>
      </c>
      <c r="AF83" s="33" t="str">
        <f ca="1">IF($A83="","",IF(INDEX(Sheet!AI$2:AI$7967,$A83)="","",INDEX(Sheet!AI$2:AI$7967,$A83)))</f>
        <v/>
      </c>
      <c r="AG83" s="33" t="str">
        <f ca="1">IF(D83="duyệt sản xuất"," Bảo Bảo, Ngày "&amp;DAY($J$4)&amp;" Tháng "&amp;MONTH($J$4)&amp;" Năm "&amp;YEAR($J$4),IF(D83="Phê duyệt","NGƯỜI LẬP",IF(D83="Nguyễn Ngọc Thắng","NGUYỄN THỊ MAI",IF($A83="","",INDEX(Sheet!AK$2:AK$7967,$A83)))))</f>
        <v/>
      </c>
      <c r="AH83" s="58" t="str">
        <f ca="1">IF($A83="","",INDEX(Sheet!AR$2:AR$7967,$A83)&amp;" ; "&amp;INDEX(Sheet!M$2:M$7967,$A83))</f>
        <v/>
      </c>
      <c r="AI83" s="1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G83" s="35" t="str">
        <f ca="1">IFERROR(VALUE(separ(INDEX(Sheet!Q$2:Q$7967,$A83),"-",1)),"")</f>
        <v/>
      </c>
      <c r="BH83" s="35" t="str">
        <f ca="1">IFERROR(VALUE(separ(INDEX(Sheet!R$2:R$7967,$A83),"-",1)),"")</f>
        <v/>
      </c>
      <c r="BI83" s="35" t="str">
        <f ca="1">IFERROR(VALUE(separ(INDEX(Sheet!S$2:S$7967,$A83),"-",1)),"")</f>
        <v/>
      </c>
      <c r="BJ83" s="35" t="str">
        <f ca="1">IFERROR(VALUE(separ(INDEX(Sheet!T$2:T$7967,$A83),"-",1)),"")</f>
        <v/>
      </c>
      <c r="BK83" s="35" t="str">
        <f ca="1">IFERROR(VALUE(separ(INDEX(Sheet!U$2:U$7967,$A83),"-",1)),"")</f>
        <v/>
      </c>
      <c r="BL83" s="35" t="str">
        <f ca="1">IFERROR(VALUE(separ(INDEX(Sheet!V$2:V$7967,$A83),"-",1)),"")</f>
        <v/>
      </c>
      <c r="BM83" s="35" t="str">
        <f ca="1">IFERROR(VALUE(separ(INDEX(Sheet!W$2:W$7967,$A83),"-",1)),"")</f>
        <v/>
      </c>
      <c r="BN83" s="35" t="str">
        <f ca="1">IFERROR(VALUE(separ(INDEX(Sheet!X$2:X$7967,$A83),"-",1)),"")</f>
        <v/>
      </c>
      <c r="BO83" s="35" t="str">
        <f ca="1">IFERROR(VALUE(separ(INDEX(Sheet!Y$2:Y$7967,$A83),"-",1)),"")</f>
        <v/>
      </c>
      <c r="BP83" s="35" t="str">
        <f ca="1">IFERROR(VALUE(separ(INDEX(Sheet!Z$2:Z$7967,$A83),"-",1)),"")</f>
        <v/>
      </c>
      <c r="BQ83" s="35" t="str">
        <f ca="1">IFERROR(VALUE(separ(INDEX(Sheet!AA$2:AA$7967,$A83),"-",1)),"")</f>
        <v/>
      </c>
      <c r="BR83" s="35" t="str">
        <f ca="1">IFERROR(VALUE(separ(INDEX(Sheet!AB$2:AB$7967,$A83),"-",1)),"")</f>
        <v/>
      </c>
      <c r="BS83" s="35" t="str">
        <f ca="1">IFERROR(VALUE(separ(INDEX(Sheet!AC$2:AC$7967,$A83),"-",1)),"")</f>
        <v/>
      </c>
      <c r="BT83" s="35" t="str">
        <f ca="1">IFERROR(VALUE(separ(INDEX(Sheet!AD$2:AD$7967,$A83),"-",1)),"")</f>
        <v/>
      </c>
      <c r="BU83" s="35" t="str">
        <f ca="1">IFERROR(VALUE(separ(INDEX(Sheet!AE$2:AE$7967,$A83),"-",1)),"")</f>
        <v/>
      </c>
      <c r="BV83" s="35"/>
      <c r="BW83" s="35" t="str">
        <f ca="1">IFERROR((separ(INDEX(Sheet!Q$2:Q$7967,$A83),"-",2)),"")</f>
        <v/>
      </c>
      <c r="BX83" s="35" t="str">
        <f ca="1">IFERROR((separ(INDEX(Sheet!R$2:R$7967,$A83),"-",2)),"")</f>
        <v/>
      </c>
      <c r="BY83" s="35" t="str">
        <f ca="1">IFERROR((separ(INDEX(Sheet!S$2:S$7967,$A83),"-",2)),"")</f>
        <v/>
      </c>
      <c r="BZ83" s="35" t="str">
        <f ca="1">IFERROR((separ(INDEX(Sheet!T$2:T$7967,$A83),"-",2)),"")</f>
        <v/>
      </c>
      <c r="CA83" s="35" t="str">
        <f ca="1">IFERROR((separ(INDEX(Sheet!U$2:U$7967,$A83),"-",2)),"")</f>
        <v/>
      </c>
      <c r="CB83" s="35" t="str">
        <f ca="1">IFERROR((separ(INDEX(Sheet!V$2:V$7967,$A83),"-",2)),"")</f>
        <v/>
      </c>
      <c r="CC83" s="35" t="str">
        <f ca="1">IFERROR((separ(INDEX(Sheet!W$2:W$7967,$A83),"-",2)),"")</f>
        <v/>
      </c>
      <c r="CD83" s="35" t="str">
        <f ca="1">IFERROR((separ(INDEX(Sheet!X$2:X$7967,$A83),"-",2)),"")</f>
        <v/>
      </c>
      <c r="CE83" s="35" t="str">
        <f ca="1">IFERROR((separ(INDEX(Sheet!Y$2:Y$7967,$A83),"-",2)),"")</f>
        <v/>
      </c>
      <c r="CF83" s="35" t="str">
        <f ca="1">IFERROR((separ(INDEX(Sheet!Z$2:Z$7967,$A83),"-",2)),"")</f>
        <v/>
      </c>
      <c r="CG83" s="35" t="str">
        <f ca="1">IFERROR((separ(INDEX(Sheet!AA$2:AA$7967,$A83),"-",2)),"")</f>
        <v/>
      </c>
      <c r="CH83" s="35" t="str">
        <f ca="1">IFERROR((separ(INDEX(Sheet!AB$2:AB$7967,$A83),"-",2)),"")</f>
        <v/>
      </c>
      <c r="CI83" s="35" t="str">
        <f ca="1">IFERROR((separ(INDEX(Sheet!AC$2:AC$7967,$A83),"-",2)),"")</f>
        <v/>
      </c>
      <c r="CJ83" s="35" t="str">
        <f ca="1">IFERROR((separ(INDEX(Sheet!AD$2:AD$7967,$A83),"-",2)),"")</f>
        <v/>
      </c>
      <c r="CK83" s="35" t="str">
        <f ca="1">IFERROR((separ(INDEX(Sheet!AE$2:AE$7967,$A83),"-",2)),"")</f>
        <v/>
      </c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</row>
    <row r="84" spans="1:104" s="29" customFormat="1">
      <c r="A84" s="45" t="str">
        <f ca="1">IFERROR(MATCH($B$3,OFFSET(Sheet!$D$2,A83,0):'Sheet'!$D$7657,0)+A83,"")</f>
        <v/>
      </c>
      <c r="B84" s="29" t="str">
        <f ca="1">IF(ROW(A77)&lt;=COUNT($A$6:$A$800),INDEX(Sheet!$A$2:$A$7967,$A84),IF(ROW(A77)=COUNT($A$6:$A$800)+1," ",IF(ROW(A77)=COUNT($A$6:$A$800)+2,"  ","")))</f>
        <v/>
      </c>
      <c r="C84" s="67" t="str">
        <f ca="1">IF($A84="","",INDEX(Sheet!E$2:E$7967,$A84))</f>
        <v/>
      </c>
      <c r="D84" s="31" t="str">
        <f ca="1">IF(B81=" ",$AR$1,IF(B84=" ",$AQ$1,IF(A84="","",INDEX(Sheet!G$2:G$7967,$A84))))</f>
        <v/>
      </c>
      <c r="E84" s="32" t="str">
        <f ca="1">IF($A84="","",TEXT(INDEX(Sheet!J$2:J$7967,$A84),"#,#")&amp;" "&amp;INDEX(Sheet!AT$2:AT$7967,$A84))</f>
        <v/>
      </c>
      <c r="F84" s="53" t="str">
        <f ca="1">IF($A84="","",INDEX(Sheet!F$2:F$7967,$A84))</f>
        <v/>
      </c>
      <c r="G84" s="32" t="str">
        <f ca="1">IF($A84="","",INDEX(Sheet!I$2:I$7967,$A84))</f>
        <v/>
      </c>
      <c r="H84" s="32" t="str">
        <f ca="1">IF($A84="","",INDEX(Sheet!L$2:L$7967,$A84))</f>
        <v/>
      </c>
      <c r="I84" s="32" t="str">
        <f ca="1">IF($A84="","",INDEX(Sheet!N$2:N$7967,$A84))</f>
        <v/>
      </c>
      <c r="J84" s="53" t="str">
        <f ca="1">IF($A84="","",INDEX(Sheet!AS$2:AS$7967,$A84))</f>
        <v/>
      </c>
      <c r="K84" s="33" t="str">
        <f ca="1">IF($A84="","",IF(INDEX(Sheet!S$2:S$7967,$A84)="","",INDEX(Sheet!S$2:S$7967,$A84)))</f>
        <v/>
      </c>
      <c r="L84" s="33" t="str">
        <f ca="1">IF($A84="","",IF(INDEX(Sheet!R$2:R$7967,$A84)="","",INDEX(Sheet!R$2:R$7967,$A84)))</f>
        <v/>
      </c>
      <c r="M84" s="33" t="str">
        <f ca="1">IF($A84="","",IF(INDEX(Sheet!AO$2:AO$7967,$A84)="","",INDEX(Sheet!AO$2:AO$7967,$A84)))</f>
        <v/>
      </c>
      <c r="N84" s="33" t="str">
        <f ca="1">IF($A84="","",IF(INDEX(Sheet!T$2:T$7967,$A84)="","",INDEX(Sheet!T$2:T$7967,$A84)))</f>
        <v/>
      </c>
      <c r="O84" s="33" t="str">
        <f ca="1">IF($A84="","",IF(INDEX(Sheet!U$2:U$7967,$A84)="","",INDEX(Sheet!U$2:U$7967,$A84)))</f>
        <v/>
      </c>
      <c r="P84" s="33" t="str">
        <f ca="1">IF($A84="","",IF(INDEX(Sheet!W$2:W$7967,$A84)="","",INDEX(Sheet!W$2:W$7967,$A84)))</f>
        <v/>
      </c>
      <c r="Q84" s="33" t="str">
        <f ca="1">IF($A84="","",IF(INDEX(Sheet!V$2:V$7967,$A84)="","",INDEX(Sheet!V$2:V$7967,$A84)))</f>
        <v/>
      </c>
      <c r="R84" s="33" t="str">
        <f ca="1">IF($A84="","",IF(INDEX(Sheet!Z$2:Z$7967,$A84)="","",INDEX(Sheet!Z$2:Z$7967,$A84)))</f>
        <v/>
      </c>
      <c r="S84" s="33" t="str">
        <f ca="1">IF($A84="","",IF(INDEX(Sheet!Y$2:Y$7967,$A84)="","",INDEX(Sheet!Y$2:Y$7967,$A84)))</f>
        <v/>
      </c>
      <c r="T84" s="33" t="str">
        <f ca="1">IF($A84="","",IF(INDEX(Sheet!X$2:X$7967,$A84)="","",INDEX(Sheet!X$2:X$7967,$A84)))</f>
        <v/>
      </c>
      <c r="U84" s="33" t="str">
        <f ca="1">IF($A84="","",IF(INDEX(Sheet!AA$2:AA$7967,$A84)="","",INDEX(Sheet!AA$2:AA$7967,$A84)))</f>
        <v/>
      </c>
      <c r="V84" s="33" t="str">
        <f ca="1">IF($A84="","",IF(INDEX(Sheet!AB$2:AB$7967,$A84)="","",INDEX(Sheet!AB$2:AB$7967,$A84)))</f>
        <v/>
      </c>
      <c r="W84" s="33" t="str">
        <f ca="1">IF($A84="","",IF(INDEX(Sheet!AH$2:AH$7967,$A84)="","",INDEX(Sheet!AH$2:AH$7967,$A84)))</f>
        <v/>
      </c>
      <c r="X84" s="33" t="str">
        <f ca="1">IF($A84="","",IF(INDEX(Sheet!AC$2:AC$7967,$A84)="","",INDEX(Sheet!AC$2:AC$7967,$A84)))</f>
        <v/>
      </c>
      <c r="Y84" s="33" t="str">
        <f ca="1">IF($A84="","",IF(INDEX(Sheet!AD$2:AD$7967,$A84)="","",INDEX(Sheet!AD$2:AD$7967,$A84)))</f>
        <v/>
      </c>
      <c r="Z84" s="33" t="str">
        <f ca="1">IF($A84="","",IF(INDEX(Sheet!AL$2:AL$7967,$A84)="","",INDEX(Sheet!AL$2:AL$7967,$A84)))</f>
        <v/>
      </c>
      <c r="AA84" s="33" t="str">
        <f ca="1">IF($A84="","",IF(INDEX(Sheet!AE$2:AE$7967,$A84)="","",INDEX(Sheet!AE$2:AE$7967,$A84)))</f>
        <v/>
      </c>
      <c r="AB84" s="33" t="str">
        <f ca="1">IF($A84="","",IF(INDEX(Sheet!AF$2:AF$7967,$A84)="","",INDEX(Sheet!AF$2:AF$7967,$A84)))</f>
        <v/>
      </c>
      <c r="AC84" s="33" t="str">
        <f ca="1">IF($A84="","",IF(INDEX(Sheet!AG$2:AG$7967,$A84)="","",INDEX(Sheet!AG$2:AG$7967,$A84)))</f>
        <v/>
      </c>
      <c r="AD84" s="33" t="str">
        <f ca="1">IF($A84="","",IF(INDEX(Sheet!AM$2:AM$7967,$A84)="","",INDEX(Sheet!AM$2:AM$7967,$A84)))</f>
        <v/>
      </c>
      <c r="AE84" s="33" t="str">
        <f ca="1">IF($A84="","",IF(INDEX(Sheet!AJ$2:AJ$7967,$A84)="","",INDEX(Sheet!AJ$2:AJ$7967,$A84)))</f>
        <v/>
      </c>
      <c r="AF84" s="33" t="str">
        <f ca="1">IF($A84="","",IF(INDEX(Sheet!AI$2:AI$7967,$A84)="","",INDEX(Sheet!AI$2:AI$7967,$A84)))</f>
        <v/>
      </c>
      <c r="AG84" s="33" t="str">
        <f ca="1">IF(D84="duyệt sản xuất"," Bảo Bảo, Ngày "&amp;DAY($J$4)&amp;" Tháng "&amp;MONTH($J$4)&amp;" Năm "&amp;YEAR($J$4),IF(D84="Phê duyệt","NGƯỜI LẬP",IF(D84="Nguyễn Ngọc Thắng","NGUYỄN THỊ MAI",IF($A84="","",INDEX(Sheet!AK$2:AK$7967,$A84)))))</f>
        <v/>
      </c>
      <c r="AH84" s="58" t="str">
        <f ca="1">IF($A84="","",INDEX(Sheet!AR$2:AR$7967,$A84)&amp;" ; "&amp;INDEX(Sheet!M$2:M$7967,$A84))</f>
        <v/>
      </c>
      <c r="AI84" s="1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G84" s="35" t="str">
        <f ca="1">IFERROR(VALUE(separ(INDEX(Sheet!Q$2:Q$7967,$A84),"-",1)),"")</f>
        <v/>
      </c>
      <c r="BH84" s="35" t="str">
        <f ca="1">IFERROR(VALUE(separ(INDEX(Sheet!R$2:R$7967,$A84),"-",1)),"")</f>
        <v/>
      </c>
      <c r="BI84" s="35" t="str">
        <f ca="1">IFERROR(VALUE(separ(INDEX(Sheet!S$2:S$7967,$A84),"-",1)),"")</f>
        <v/>
      </c>
      <c r="BJ84" s="35" t="str">
        <f ca="1">IFERROR(VALUE(separ(INDEX(Sheet!T$2:T$7967,$A84),"-",1)),"")</f>
        <v/>
      </c>
      <c r="BK84" s="35" t="str">
        <f ca="1">IFERROR(VALUE(separ(INDEX(Sheet!U$2:U$7967,$A84),"-",1)),"")</f>
        <v/>
      </c>
      <c r="BL84" s="35" t="str">
        <f ca="1">IFERROR(VALUE(separ(INDEX(Sheet!V$2:V$7967,$A84),"-",1)),"")</f>
        <v/>
      </c>
      <c r="BM84" s="35" t="str">
        <f ca="1">IFERROR(VALUE(separ(INDEX(Sheet!W$2:W$7967,$A84),"-",1)),"")</f>
        <v/>
      </c>
      <c r="BN84" s="35" t="str">
        <f ca="1">IFERROR(VALUE(separ(INDEX(Sheet!X$2:X$7967,$A84),"-",1)),"")</f>
        <v/>
      </c>
      <c r="BO84" s="35" t="str">
        <f ca="1">IFERROR(VALUE(separ(INDEX(Sheet!Y$2:Y$7967,$A84),"-",1)),"")</f>
        <v/>
      </c>
      <c r="BP84" s="35" t="str">
        <f ca="1">IFERROR(VALUE(separ(INDEX(Sheet!Z$2:Z$7967,$A84),"-",1)),"")</f>
        <v/>
      </c>
      <c r="BQ84" s="35" t="str">
        <f ca="1">IFERROR(VALUE(separ(INDEX(Sheet!AA$2:AA$7967,$A84),"-",1)),"")</f>
        <v/>
      </c>
      <c r="BR84" s="35" t="str">
        <f ca="1">IFERROR(VALUE(separ(INDEX(Sheet!AB$2:AB$7967,$A84),"-",1)),"")</f>
        <v/>
      </c>
      <c r="BS84" s="35" t="str">
        <f ca="1">IFERROR(VALUE(separ(INDEX(Sheet!AC$2:AC$7967,$A84),"-",1)),"")</f>
        <v/>
      </c>
      <c r="BT84" s="35" t="str">
        <f ca="1">IFERROR(VALUE(separ(INDEX(Sheet!AD$2:AD$7967,$A84),"-",1)),"")</f>
        <v/>
      </c>
      <c r="BU84" s="35" t="str">
        <f ca="1">IFERROR(VALUE(separ(INDEX(Sheet!AE$2:AE$7967,$A84),"-",1)),"")</f>
        <v/>
      </c>
      <c r="BV84" s="35"/>
      <c r="BW84" s="35" t="str">
        <f ca="1">IFERROR((separ(INDEX(Sheet!Q$2:Q$7967,$A84),"-",2)),"")</f>
        <v/>
      </c>
      <c r="BX84" s="35" t="str">
        <f ca="1">IFERROR((separ(INDEX(Sheet!R$2:R$7967,$A84),"-",2)),"")</f>
        <v/>
      </c>
      <c r="BY84" s="35" t="str">
        <f ca="1">IFERROR((separ(INDEX(Sheet!S$2:S$7967,$A84),"-",2)),"")</f>
        <v/>
      </c>
      <c r="BZ84" s="35" t="str">
        <f ca="1">IFERROR((separ(INDEX(Sheet!T$2:T$7967,$A84),"-",2)),"")</f>
        <v/>
      </c>
      <c r="CA84" s="35" t="str">
        <f ca="1">IFERROR((separ(INDEX(Sheet!U$2:U$7967,$A84),"-",2)),"")</f>
        <v/>
      </c>
      <c r="CB84" s="35" t="str">
        <f ca="1">IFERROR((separ(INDEX(Sheet!V$2:V$7967,$A84),"-",2)),"")</f>
        <v/>
      </c>
      <c r="CC84" s="35" t="str">
        <f ca="1">IFERROR((separ(INDEX(Sheet!W$2:W$7967,$A84),"-",2)),"")</f>
        <v/>
      </c>
      <c r="CD84" s="35" t="str">
        <f ca="1">IFERROR((separ(INDEX(Sheet!X$2:X$7967,$A84),"-",2)),"")</f>
        <v/>
      </c>
      <c r="CE84" s="35" t="str">
        <f ca="1">IFERROR((separ(INDEX(Sheet!Y$2:Y$7967,$A84),"-",2)),"")</f>
        <v/>
      </c>
      <c r="CF84" s="35" t="str">
        <f ca="1">IFERROR((separ(INDEX(Sheet!Z$2:Z$7967,$A84),"-",2)),"")</f>
        <v/>
      </c>
      <c r="CG84" s="35" t="str">
        <f ca="1">IFERROR((separ(INDEX(Sheet!AA$2:AA$7967,$A84),"-",2)),"")</f>
        <v/>
      </c>
      <c r="CH84" s="35" t="str">
        <f ca="1">IFERROR((separ(INDEX(Sheet!AB$2:AB$7967,$A84),"-",2)),"")</f>
        <v/>
      </c>
      <c r="CI84" s="35" t="str">
        <f ca="1">IFERROR((separ(INDEX(Sheet!AC$2:AC$7967,$A84),"-",2)),"")</f>
        <v/>
      </c>
      <c r="CJ84" s="35" t="str">
        <f ca="1">IFERROR((separ(INDEX(Sheet!AD$2:AD$7967,$A84),"-",2)),"")</f>
        <v/>
      </c>
      <c r="CK84" s="35" t="str">
        <f ca="1">IFERROR((separ(INDEX(Sheet!AE$2:AE$7967,$A84),"-",2)),"")</f>
        <v/>
      </c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</row>
    <row r="85" spans="1:104" s="29" customFormat="1">
      <c r="A85" s="45" t="str">
        <f ca="1">IFERROR(MATCH($B$3,OFFSET(Sheet!$D$2,A84,0):'Sheet'!$D$7657,0)+A84,"")</f>
        <v/>
      </c>
      <c r="B85" s="29" t="str">
        <f ca="1">IF(ROW(A78)&lt;=COUNT($A$6:$A$800),INDEX(Sheet!$A$2:$A$7967,$A85),IF(ROW(A78)=COUNT($A$6:$A$800)+1," ",IF(ROW(A78)=COUNT($A$6:$A$800)+2,"  ","")))</f>
        <v/>
      </c>
      <c r="C85" s="67" t="str">
        <f ca="1">IF($A85="","",INDEX(Sheet!E$2:E$7967,$A85))</f>
        <v/>
      </c>
      <c r="D85" s="31" t="str">
        <f ca="1">IF(B82=" ",$AR$1,IF(B85=" ",$AQ$1,IF(A85="","",INDEX(Sheet!G$2:G$7967,$A85))))</f>
        <v/>
      </c>
      <c r="E85" s="32" t="str">
        <f ca="1">IF($A85="","",TEXT(INDEX(Sheet!J$2:J$7967,$A85),"#,#")&amp;" "&amp;INDEX(Sheet!AT$2:AT$7967,$A85))</f>
        <v/>
      </c>
      <c r="F85" s="53" t="str">
        <f ca="1">IF($A85="","",INDEX(Sheet!F$2:F$7967,$A85))</f>
        <v/>
      </c>
      <c r="G85" s="32" t="str">
        <f ca="1">IF($A85="","",INDEX(Sheet!I$2:I$7967,$A85))</f>
        <v/>
      </c>
      <c r="H85" s="32" t="str">
        <f ca="1">IF($A85="","",INDEX(Sheet!L$2:L$7967,$A85))</f>
        <v/>
      </c>
      <c r="I85" s="32" t="str">
        <f ca="1">IF($A85="","",INDEX(Sheet!N$2:N$7967,$A85))</f>
        <v/>
      </c>
      <c r="J85" s="53" t="str">
        <f ca="1">IF($A85="","",INDEX(Sheet!AS$2:AS$7967,$A85))</f>
        <v/>
      </c>
      <c r="K85" s="33" t="str">
        <f ca="1">IF($A85="","",IF(INDEX(Sheet!S$2:S$7967,$A85)="","",INDEX(Sheet!S$2:S$7967,$A85)))</f>
        <v/>
      </c>
      <c r="L85" s="33" t="str">
        <f ca="1">IF($A85="","",IF(INDEX(Sheet!R$2:R$7967,$A85)="","",INDEX(Sheet!R$2:R$7967,$A85)))</f>
        <v/>
      </c>
      <c r="M85" s="33" t="str">
        <f ca="1">IF($A85="","",IF(INDEX(Sheet!AO$2:AO$7967,$A85)="","",INDEX(Sheet!AO$2:AO$7967,$A85)))</f>
        <v/>
      </c>
      <c r="N85" s="33" t="str">
        <f ca="1">IF($A85="","",IF(INDEX(Sheet!T$2:T$7967,$A85)="","",INDEX(Sheet!T$2:T$7967,$A85)))</f>
        <v/>
      </c>
      <c r="O85" s="33" t="str">
        <f ca="1">IF($A85="","",IF(INDEX(Sheet!U$2:U$7967,$A85)="","",INDEX(Sheet!U$2:U$7967,$A85)))</f>
        <v/>
      </c>
      <c r="P85" s="33" t="str">
        <f ca="1">IF($A85="","",IF(INDEX(Sheet!W$2:W$7967,$A85)="","",INDEX(Sheet!W$2:W$7967,$A85)))</f>
        <v/>
      </c>
      <c r="Q85" s="33" t="str">
        <f ca="1">IF($A85="","",IF(INDEX(Sheet!V$2:V$7967,$A85)="","",INDEX(Sheet!V$2:V$7967,$A85)))</f>
        <v/>
      </c>
      <c r="R85" s="33" t="str">
        <f ca="1">IF($A85="","",IF(INDEX(Sheet!Z$2:Z$7967,$A85)="","",INDEX(Sheet!Z$2:Z$7967,$A85)))</f>
        <v/>
      </c>
      <c r="S85" s="33" t="str">
        <f ca="1">IF($A85="","",IF(INDEX(Sheet!Y$2:Y$7967,$A85)="","",INDEX(Sheet!Y$2:Y$7967,$A85)))</f>
        <v/>
      </c>
      <c r="T85" s="33" t="str">
        <f ca="1">IF($A85="","",IF(INDEX(Sheet!X$2:X$7967,$A85)="","",INDEX(Sheet!X$2:X$7967,$A85)))</f>
        <v/>
      </c>
      <c r="U85" s="33" t="str">
        <f ca="1">IF($A85="","",IF(INDEX(Sheet!AA$2:AA$7967,$A85)="","",INDEX(Sheet!AA$2:AA$7967,$A85)))</f>
        <v/>
      </c>
      <c r="V85" s="33" t="str">
        <f ca="1">IF($A85="","",IF(INDEX(Sheet!AB$2:AB$7967,$A85)="","",INDEX(Sheet!AB$2:AB$7967,$A85)))</f>
        <v/>
      </c>
      <c r="W85" s="33" t="str">
        <f ca="1">IF($A85="","",IF(INDEX(Sheet!AH$2:AH$7967,$A85)="","",INDEX(Sheet!AH$2:AH$7967,$A85)))</f>
        <v/>
      </c>
      <c r="X85" s="33" t="str">
        <f ca="1">IF($A85="","",IF(INDEX(Sheet!AC$2:AC$7967,$A85)="","",INDEX(Sheet!AC$2:AC$7967,$A85)))</f>
        <v/>
      </c>
      <c r="Y85" s="33" t="str">
        <f ca="1">IF($A85="","",IF(INDEX(Sheet!AD$2:AD$7967,$A85)="","",INDEX(Sheet!AD$2:AD$7967,$A85)))</f>
        <v/>
      </c>
      <c r="Z85" s="33" t="str">
        <f ca="1">IF($A85="","",IF(INDEX(Sheet!AL$2:AL$7967,$A85)="","",INDEX(Sheet!AL$2:AL$7967,$A85)))</f>
        <v/>
      </c>
      <c r="AA85" s="33" t="str">
        <f ca="1">IF($A85="","",IF(INDEX(Sheet!AE$2:AE$7967,$A85)="","",INDEX(Sheet!AE$2:AE$7967,$A85)))</f>
        <v/>
      </c>
      <c r="AB85" s="33" t="str">
        <f ca="1">IF($A85="","",IF(INDEX(Sheet!AF$2:AF$7967,$A85)="","",INDEX(Sheet!AF$2:AF$7967,$A85)))</f>
        <v/>
      </c>
      <c r="AC85" s="33" t="str">
        <f ca="1">IF($A85="","",IF(INDEX(Sheet!AG$2:AG$7967,$A85)="","",INDEX(Sheet!AG$2:AG$7967,$A85)))</f>
        <v/>
      </c>
      <c r="AD85" s="33" t="str">
        <f ca="1">IF($A85="","",IF(INDEX(Sheet!AM$2:AM$7967,$A85)="","",INDEX(Sheet!AM$2:AM$7967,$A85)))</f>
        <v/>
      </c>
      <c r="AE85" s="33" t="str">
        <f ca="1">IF($A85="","",IF(INDEX(Sheet!AJ$2:AJ$7967,$A85)="","",INDEX(Sheet!AJ$2:AJ$7967,$A85)))</f>
        <v/>
      </c>
      <c r="AF85" s="33" t="str">
        <f ca="1">IF($A85="","",IF(INDEX(Sheet!AI$2:AI$7967,$A85)="","",INDEX(Sheet!AI$2:AI$7967,$A85)))</f>
        <v/>
      </c>
      <c r="AG85" s="33" t="str">
        <f ca="1">IF(D85="duyệt sản xuất"," Bảo Bảo, Ngày "&amp;DAY($J$4)&amp;" Tháng "&amp;MONTH($J$4)&amp;" Năm "&amp;YEAR($J$4),IF(D85="Phê duyệt","NGƯỜI LẬP",IF(D85="Nguyễn Ngọc Thắng","NGUYỄN THỊ MAI",IF($A85="","",INDEX(Sheet!AK$2:AK$7967,$A85)))))</f>
        <v/>
      </c>
      <c r="AH85" s="58" t="str">
        <f ca="1">IF($A85="","",INDEX(Sheet!AR$2:AR$7967,$A85)&amp;" ; "&amp;INDEX(Sheet!M$2:M$7967,$A85))</f>
        <v/>
      </c>
      <c r="AI85" s="1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G85" s="35" t="str">
        <f ca="1">IFERROR(VALUE(separ(INDEX(Sheet!Q$2:Q$7967,$A85),"-",1)),"")</f>
        <v/>
      </c>
      <c r="BH85" s="35" t="str">
        <f ca="1">IFERROR(VALUE(separ(INDEX(Sheet!R$2:R$7967,$A85),"-",1)),"")</f>
        <v/>
      </c>
      <c r="BI85" s="35" t="str">
        <f ca="1">IFERROR(VALUE(separ(INDEX(Sheet!S$2:S$7967,$A85),"-",1)),"")</f>
        <v/>
      </c>
      <c r="BJ85" s="35" t="str">
        <f ca="1">IFERROR(VALUE(separ(INDEX(Sheet!T$2:T$7967,$A85),"-",1)),"")</f>
        <v/>
      </c>
      <c r="BK85" s="35" t="str">
        <f ca="1">IFERROR(VALUE(separ(INDEX(Sheet!U$2:U$7967,$A85),"-",1)),"")</f>
        <v/>
      </c>
      <c r="BL85" s="35" t="str">
        <f ca="1">IFERROR(VALUE(separ(INDEX(Sheet!V$2:V$7967,$A85),"-",1)),"")</f>
        <v/>
      </c>
      <c r="BM85" s="35" t="str">
        <f ca="1">IFERROR(VALUE(separ(INDEX(Sheet!W$2:W$7967,$A85),"-",1)),"")</f>
        <v/>
      </c>
      <c r="BN85" s="35" t="str">
        <f ca="1">IFERROR(VALUE(separ(INDEX(Sheet!X$2:X$7967,$A85),"-",1)),"")</f>
        <v/>
      </c>
      <c r="BO85" s="35" t="str">
        <f ca="1">IFERROR(VALUE(separ(INDEX(Sheet!Y$2:Y$7967,$A85),"-",1)),"")</f>
        <v/>
      </c>
      <c r="BP85" s="35" t="str">
        <f ca="1">IFERROR(VALUE(separ(INDEX(Sheet!Z$2:Z$7967,$A85),"-",1)),"")</f>
        <v/>
      </c>
      <c r="BQ85" s="35" t="str">
        <f ca="1">IFERROR(VALUE(separ(INDEX(Sheet!AA$2:AA$7967,$A85),"-",1)),"")</f>
        <v/>
      </c>
      <c r="BR85" s="35" t="str">
        <f ca="1">IFERROR(VALUE(separ(INDEX(Sheet!AB$2:AB$7967,$A85),"-",1)),"")</f>
        <v/>
      </c>
      <c r="BS85" s="35" t="str">
        <f ca="1">IFERROR(VALUE(separ(INDEX(Sheet!AC$2:AC$7967,$A85),"-",1)),"")</f>
        <v/>
      </c>
      <c r="BT85" s="35" t="str">
        <f ca="1">IFERROR(VALUE(separ(INDEX(Sheet!AD$2:AD$7967,$A85),"-",1)),"")</f>
        <v/>
      </c>
      <c r="BU85" s="35" t="str">
        <f ca="1">IFERROR(VALUE(separ(INDEX(Sheet!AE$2:AE$7967,$A85),"-",1)),"")</f>
        <v/>
      </c>
      <c r="BV85" s="35"/>
      <c r="BW85" s="35" t="str">
        <f ca="1">IFERROR((separ(INDEX(Sheet!Q$2:Q$7967,$A85),"-",2)),"")</f>
        <v/>
      </c>
      <c r="BX85" s="35" t="str">
        <f ca="1">IFERROR((separ(INDEX(Sheet!R$2:R$7967,$A85),"-",2)),"")</f>
        <v/>
      </c>
      <c r="BY85" s="35" t="str">
        <f ca="1">IFERROR((separ(INDEX(Sheet!S$2:S$7967,$A85),"-",2)),"")</f>
        <v/>
      </c>
      <c r="BZ85" s="35" t="str">
        <f ca="1">IFERROR((separ(INDEX(Sheet!T$2:T$7967,$A85),"-",2)),"")</f>
        <v/>
      </c>
      <c r="CA85" s="35" t="str">
        <f ca="1">IFERROR((separ(INDEX(Sheet!U$2:U$7967,$A85),"-",2)),"")</f>
        <v/>
      </c>
      <c r="CB85" s="35" t="str">
        <f ca="1">IFERROR((separ(INDEX(Sheet!V$2:V$7967,$A85),"-",2)),"")</f>
        <v/>
      </c>
      <c r="CC85" s="35" t="str">
        <f ca="1">IFERROR((separ(INDEX(Sheet!W$2:W$7967,$A85),"-",2)),"")</f>
        <v/>
      </c>
      <c r="CD85" s="35" t="str">
        <f ca="1">IFERROR((separ(INDEX(Sheet!X$2:X$7967,$A85),"-",2)),"")</f>
        <v/>
      </c>
      <c r="CE85" s="35" t="str">
        <f ca="1">IFERROR((separ(INDEX(Sheet!Y$2:Y$7967,$A85),"-",2)),"")</f>
        <v/>
      </c>
      <c r="CF85" s="35" t="str">
        <f ca="1">IFERROR((separ(INDEX(Sheet!Z$2:Z$7967,$A85),"-",2)),"")</f>
        <v/>
      </c>
      <c r="CG85" s="35" t="str">
        <f ca="1">IFERROR((separ(INDEX(Sheet!AA$2:AA$7967,$A85),"-",2)),"")</f>
        <v/>
      </c>
      <c r="CH85" s="35" t="str">
        <f ca="1">IFERROR((separ(INDEX(Sheet!AB$2:AB$7967,$A85),"-",2)),"")</f>
        <v/>
      </c>
      <c r="CI85" s="35" t="str">
        <f ca="1">IFERROR((separ(INDEX(Sheet!AC$2:AC$7967,$A85),"-",2)),"")</f>
        <v/>
      </c>
      <c r="CJ85" s="35" t="str">
        <f ca="1">IFERROR((separ(INDEX(Sheet!AD$2:AD$7967,$A85),"-",2)),"")</f>
        <v/>
      </c>
      <c r="CK85" s="35" t="str">
        <f ca="1">IFERROR((separ(INDEX(Sheet!AE$2:AE$7967,$A85),"-",2)),"")</f>
        <v/>
      </c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</row>
    <row r="86" spans="1:104" s="29" customFormat="1">
      <c r="A86" s="45" t="str">
        <f ca="1">IFERROR(MATCH($B$3,OFFSET(Sheet!$D$2,A85,0):'Sheet'!$D$7657,0)+A85,"")</f>
        <v/>
      </c>
      <c r="B86" s="29" t="str">
        <f ca="1">IF(ROW(A79)&lt;=COUNT($A$6:$A$800),INDEX(Sheet!$A$2:$A$7967,$A86),IF(ROW(A79)=COUNT($A$6:$A$800)+1," ",IF(ROW(A79)=COUNT($A$6:$A$800)+2,"  ","")))</f>
        <v/>
      </c>
      <c r="C86" s="67" t="str">
        <f ca="1">IF($A86="","",INDEX(Sheet!E$2:E$7967,$A86))</f>
        <v/>
      </c>
      <c r="D86" s="31" t="str">
        <f ca="1">IF(B83=" ",$AR$1,IF(B86=" ",$AQ$1,IF(A86="","",INDEX(Sheet!G$2:G$7967,$A86))))</f>
        <v/>
      </c>
      <c r="E86" s="32" t="str">
        <f ca="1">IF($A86="","",TEXT(INDEX(Sheet!J$2:J$7967,$A86),"#,#")&amp;" "&amp;INDEX(Sheet!AT$2:AT$7967,$A86))</f>
        <v/>
      </c>
      <c r="F86" s="53" t="str">
        <f ca="1">IF($A86="","",INDEX(Sheet!F$2:F$7967,$A86))</f>
        <v/>
      </c>
      <c r="G86" s="32" t="str">
        <f ca="1">IF($A86="","",INDEX(Sheet!I$2:I$7967,$A86))</f>
        <v/>
      </c>
      <c r="H86" s="32" t="str">
        <f ca="1">IF($A86="","",INDEX(Sheet!L$2:L$7967,$A86))</f>
        <v/>
      </c>
      <c r="I86" s="32" t="str">
        <f ca="1">IF($A86="","",INDEX(Sheet!N$2:N$7967,$A86))</f>
        <v/>
      </c>
      <c r="J86" s="53" t="str">
        <f ca="1">IF($A86="","",INDEX(Sheet!AS$2:AS$7967,$A86))</f>
        <v/>
      </c>
      <c r="K86" s="33" t="str">
        <f ca="1">IF($A86="","",IF(INDEX(Sheet!S$2:S$7967,$A86)="","",INDEX(Sheet!S$2:S$7967,$A86)))</f>
        <v/>
      </c>
      <c r="L86" s="33" t="str">
        <f ca="1">IF($A86="","",IF(INDEX(Sheet!R$2:R$7967,$A86)="","",INDEX(Sheet!R$2:R$7967,$A86)))</f>
        <v/>
      </c>
      <c r="M86" s="33" t="str">
        <f ca="1">IF($A86="","",IF(INDEX(Sheet!AO$2:AO$7967,$A86)="","",INDEX(Sheet!AO$2:AO$7967,$A86)))</f>
        <v/>
      </c>
      <c r="N86" s="33" t="str">
        <f ca="1">IF($A86="","",IF(INDEX(Sheet!T$2:T$7967,$A86)="","",INDEX(Sheet!T$2:T$7967,$A86)))</f>
        <v/>
      </c>
      <c r="O86" s="33" t="str">
        <f ca="1">IF($A86="","",IF(INDEX(Sheet!U$2:U$7967,$A86)="","",INDEX(Sheet!U$2:U$7967,$A86)))</f>
        <v/>
      </c>
      <c r="P86" s="33" t="str">
        <f ca="1">IF($A86="","",IF(INDEX(Sheet!W$2:W$7967,$A86)="","",INDEX(Sheet!W$2:W$7967,$A86)))</f>
        <v/>
      </c>
      <c r="Q86" s="33" t="str">
        <f ca="1">IF($A86="","",IF(INDEX(Sheet!V$2:V$7967,$A86)="","",INDEX(Sheet!V$2:V$7967,$A86)))</f>
        <v/>
      </c>
      <c r="R86" s="33" t="str">
        <f ca="1">IF($A86="","",IF(INDEX(Sheet!Z$2:Z$7967,$A86)="","",INDEX(Sheet!Z$2:Z$7967,$A86)))</f>
        <v/>
      </c>
      <c r="S86" s="33" t="str">
        <f ca="1">IF($A86="","",IF(INDEX(Sheet!Y$2:Y$7967,$A86)="","",INDEX(Sheet!Y$2:Y$7967,$A86)))</f>
        <v/>
      </c>
      <c r="T86" s="33" t="str">
        <f ca="1">IF($A86="","",IF(INDEX(Sheet!X$2:X$7967,$A86)="","",INDEX(Sheet!X$2:X$7967,$A86)))</f>
        <v/>
      </c>
      <c r="U86" s="33" t="str">
        <f ca="1">IF($A86="","",IF(INDEX(Sheet!AA$2:AA$7967,$A86)="","",INDEX(Sheet!AA$2:AA$7967,$A86)))</f>
        <v/>
      </c>
      <c r="V86" s="33" t="str">
        <f ca="1">IF($A86="","",IF(INDEX(Sheet!AB$2:AB$7967,$A86)="","",INDEX(Sheet!AB$2:AB$7967,$A86)))</f>
        <v/>
      </c>
      <c r="W86" s="33" t="str">
        <f ca="1">IF($A86="","",IF(INDEX(Sheet!AH$2:AH$7967,$A86)="","",INDEX(Sheet!AH$2:AH$7967,$A86)))</f>
        <v/>
      </c>
      <c r="X86" s="33" t="str">
        <f ca="1">IF($A86="","",IF(INDEX(Sheet!AC$2:AC$7967,$A86)="","",INDEX(Sheet!AC$2:AC$7967,$A86)))</f>
        <v/>
      </c>
      <c r="Y86" s="33" t="str">
        <f ca="1">IF($A86="","",IF(INDEX(Sheet!AD$2:AD$7967,$A86)="","",INDEX(Sheet!AD$2:AD$7967,$A86)))</f>
        <v/>
      </c>
      <c r="Z86" s="33" t="str">
        <f ca="1">IF($A86="","",IF(INDEX(Sheet!AL$2:AL$7967,$A86)="","",INDEX(Sheet!AL$2:AL$7967,$A86)))</f>
        <v/>
      </c>
      <c r="AA86" s="33" t="str">
        <f ca="1">IF($A86="","",IF(INDEX(Sheet!AE$2:AE$7967,$A86)="","",INDEX(Sheet!AE$2:AE$7967,$A86)))</f>
        <v/>
      </c>
      <c r="AB86" s="33" t="str">
        <f ca="1">IF($A86="","",IF(INDEX(Sheet!AF$2:AF$7967,$A86)="","",INDEX(Sheet!AF$2:AF$7967,$A86)))</f>
        <v/>
      </c>
      <c r="AC86" s="33" t="str">
        <f ca="1">IF($A86="","",IF(INDEX(Sheet!AG$2:AG$7967,$A86)="","",INDEX(Sheet!AG$2:AG$7967,$A86)))</f>
        <v/>
      </c>
      <c r="AD86" s="33" t="str">
        <f ca="1">IF($A86="","",IF(INDEX(Sheet!AM$2:AM$7967,$A86)="","",INDEX(Sheet!AM$2:AM$7967,$A86)))</f>
        <v/>
      </c>
      <c r="AE86" s="33" t="str">
        <f ca="1">IF($A86="","",IF(INDEX(Sheet!AJ$2:AJ$7967,$A86)="","",INDEX(Sheet!AJ$2:AJ$7967,$A86)))</f>
        <v/>
      </c>
      <c r="AF86" s="33" t="str">
        <f ca="1">IF($A86="","",IF(INDEX(Sheet!AI$2:AI$7967,$A86)="","",INDEX(Sheet!AI$2:AI$7967,$A86)))</f>
        <v/>
      </c>
      <c r="AG86" s="33" t="str">
        <f ca="1">IF(D86="duyệt sản xuất"," Bảo Bảo, Ngày "&amp;DAY($J$4)&amp;" Tháng "&amp;MONTH($J$4)&amp;" Năm "&amp;YEAR($J$4),IF(D86="Phê duyệt","NGƯỜI LẬP",IF(D86="Nguyễn Ngọc Thắng","NGUYỄN THỊ MAI",IF($A86="","",INDEX(Sheet!AK$2:AK$7967,$A86)))))</f>
        <v/>
      </c>
      <c r="AH86" s="58" t="str">
        <f ca="1">IF($A86="","",INDEX(Sheet!AR$2:AR$7967,$A86)&amp;" ; "&amp;INDEX(Sheet!M$2:M$7967,$A86))</f>
        <v/>
      </c>
      <c r="AI86" s="1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G86" s="35" t="str">
        <f ca="1">IFERROR(VALUE(separ(INDEX(Sheet!Q$2:Q$7967,$A86),"-",1)),"")</f>
        <v/>
      </c>
      <c r="BH86" s="35" t="str">
        <f ca="1">IFERROR(VALUE(separ(INDEX(Sheet!R$2:R$7967,$A86),"-",1)),"")</f>
        <v/>
      </c>
      <c r="BI86" s="35" t="str">
        <f ca="1">IFERROR(VALUE(separ(INDEX(Sheet!S$2:S$7967,$A86),"-",1)),"")</f>
        <v/>
      </c>
      <c r="BJ86" s="35" t="str">
        <f ca="1">IFERROR(VALUE(separ(INDEX(Sheet!T$2:T$7967,$A86),"-",1)),"")</f>
        <v/>
      </c>
      <c r="BK86" s="35" t="str">
        <f ca="1">IFERROR(VALUE(separ(INDEX(Sheet!U$2:U$7967,$A86),"-",1)),"")</f>
        <v/>
      </c>
      <c r="BL86" s="35" t="str">
        <f ca="1">IFERROR(VALUE(separ(INDEX(Sheet!V$2:V$7967,$A86),"-",1)),"")</f>
        <v/>
      </c>
      <c r="BM86" s="35" t="str">
        <f ca="1">IFERROR(VALUE(separ(INDEX(Sheet!W$2:W$7967,$A86),"-",1)),"")</f>
        <v/>
      </c>
      <c r="BN86" s="35" t="str">
        <f ca="1">IFERROR(VALUE(separ(INDEX(Sheet!X$2:X$7967,$A86),"-",1)),"")</f>
        <v/>
      </c>
      <c r="BO86" s="35" t="str">
        <f ca="1">IFERROR(VALUE(separ(INDEX(Sheet!Y$2:Y$7967,$A86),"-",1)),"")</f>
        <v/>
      </c>
      <c r="BP86" s="35" t="str">
        <f ca="1">IFERROR(VALUE(separ(INDEX(Sheet!Z$2:Z$7967,$A86),"-",1)),"")</f>
        <v/>
      </c>
      <c r="BQ86" s="35" t="str">
        <f ca="1">IFERROR(VALUE(separ(INDEX(Sheet!AA$2:AA$7967,$A86),"-",1)),"")</f>
        <v/>
      </c>
      <c r="BR86" s="35" t="str">
        <f ca="1">IFERROR(VALUE(separ(INDEX(Sheet!AB$2:AB$7967,$A86),"-",1)),"")</f>
        <v/>
      </c>
      <c r="BS86" s="35" t="str">
        <f ca="1">IFERROR(VALUE(separ(INDEX(Sheet!AC$2:AC$7967,$A86),"-",1)),"")</f>
        <v/>
      </c>
      <c r="BT86" s="35" t="str">
        <f ca="1">IFERROR(VALUE(separ(INDEX(Sheet!AD$2:AD$7967,$A86),"-",1)),"")</f>
        <v/>
      </c>
      <c r="BU86" s="35" t="str">
        <f ca="1">IFERROR(VALUE(separ(INDEX(Sheet!AE$2:AE$7967,$A86),"-",1)),"")</f>
        <v/>
      </c>
      <c r="BV86" s="35"/>
      <c r="BW86" s="35" t="str">
        <f ca="1">IFERROR((separ(INDEX(Sheet!Q$2:Q$7967,$A86),"-",2)),"")</f>
        <v/>
      </c>
      <c r="BX86" s="35" t="str">
        <f ca="1">IFERROR((separ(INDEX(Sheet!R$2:R$7967,$A86),"-",2)),"")</f>
        <v/>
      </c>
      <c r="BY86" s="35" t="str">
        <f ca="1">IFERROR((separ(INDEX(Sheet!S$2:S$7967,$A86),"-",2)),"")</f>
        <v/>
      </c>
      <c r="BZ86" s="35" t="str">
        <f ca="1">IFERROR((separ(INDEX(Sheet!T$2:T$7967,$A86),"-",2)),"")</f>
        <v/>
      </c>
      <c r="CA86" s="35" t="str">
        <f ca="1">IFERROR((separ(INDEX(Sheet!U$2:U$7967,$A86),"-",2)),"")</f>
        <v/>
      </c>
      <c r="CB86" s="35" t="str">
        <f ca="1">IFERROR((separ(INDEX(Sheet!V$2:V$7967,$A86),"-",2)),"")</f>
        <v/>
      </c>
      <c r="CC86" s="35" t="str">
        <f ca="1">IFERROR((separ(INDEX(Sheet!W$2:W$7967,$A86),"-",2)),"")</f>
        <v/>
      </c>
      <c r="CD86" s="35" t="str">
        <f ca="1">IFERROR((separ(INDEX(Sheet!X$2:X$7967,$A86),"-",2)),"")</f>
        <v/>
      </c>
      <c r="CE86" s="35" t="str">
        <f ca="1">IFERROR((separ(INDEX(Sheet!Y$2:Y$7967,$A86),"-",2)),"")</f>
        <v/>
      </c>
      <c r="CF86" s="35" t="str">
        <f ca="1">IFERROR((separ(INDEX(Sheet!Z$2:Z$7967,$A86),"-",2)),"")</f>
        <v/>
      </c>
      <c r="CG86" s="35" t="str">
        <f ca="1">IFERROR((separ(INDEX(Sheet!AA$2:AA$7967,$A86),"-",2)),"")</f>
        <v/>
      </c>
      <c r="CH86" s="35" t="str">
        <f ca="1">IFERROR((separ(INDEX(Sheet!AB$2:AB$7967,$A86),"-",2)),"")</f>
        <v/>
      </c>
      <c r="CI86" s="35" t="str">
        <f ca="1">IFERROR((separ(INDEX(Sheet!AC$2:AC$7967,$A86),"-",2)),"")</f>
        <v/>
      </c>
      <c r="CJ86" s="35" t="str">
        <f ca="1">IFERROR((separ(INDEX(Sheet!AD$2:AD$7967,$A86),"-",2)),"")</f>
        <v/>
      </c>
      <c r="CK86" s="35" t="str">
        <f ca="1">IFERROR((separ(INDEX(Sheet!AE$2:AE$7967,$A86),"-",2)),"")</f>
        <v/>
      </c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</row>
    <row r="87" spans="1:104" s="29" customFormat="1">
      <c r="A87" s="45" t="str">
        <f ca="1">IFERROR(MATCH($B$3,OFFSET(Sheet!$D$2,A86,0):'Sheet'!$D$7657,0)+A86,"")</f>
        <v/>
      </c>
      <c r="B87" s="29" t="str">
        <f ca="1">IF(ROW(A80)&lt;=COUNT($A$6:$A$800),INDEX(Sheet!$A$2:$A$7967,$A87),IF(ROW(A80)=COUNT($A$6:$A$800)+1," ",IF(ROW(A80)=COUNT($A$6:$A$800)+2,"  ","")))</f>
        <v/>
      </c>
      <c r="C87" s="67" t="str">
        <f ca="1">IF($A87="","",INDEX(Sheet!E$2:E$7967,$A87))</f>
        <v/>
      </c>
      <c r="D87" s="31" t="str">
        <f ca="1">IF(B84=" ",$AR$1,IF(B87=" ",$AQ$1,IF(A87="","",INDEX(Sheet!G$2:G$7967,$A87))))</f>
        <v/>
      </c>
      <c r="E87" s="32" t="str">
        <f ca="1">IF($A87="","",TEXT(INDEX(Sheet!J$2:J$7967,$A87),"#,#")&amp;" "&amp;INDEX(Sheet!AT$2:AT$7967,$A87))</f>
        <v/>
      </c>
      <c r="F87" s="53" t="str">
        <f ca="1">IF($A87="","",INDEX(Sheet!F$2:F$7967,$A87))</f>
        <v/>
      </c>
      <c r="G87" s="32" t="str">
        <f ca="1">IF($A87="","",INDEX(Sheet!I$2:I$7967,$A87))</f>
        <v/>
      </c>
      <c r="H87" s="32" t="str">
        <f ca="1">IF($A87="","",INDEX(Sheet!L$2:L$7967,$A87))</f>
        <v/>
      </c>
      <c r="I87" s="32" t="str">
        <f ca="1">IF($A87="","",INDEX(Sheet!N$2:N$7967,$A87))</f>
        <v/>
      </c>
      <c r="J87" s="53" t="str">
        <f ca="1">IF($A87="","",INDEX(Sheet!AS$2:AS$7967,$A87))</f>
        <v/>
      </c>
      <c r="K87" s="33" t="str">
        <f ca="1">IF($A87="","",IF(INDEX(Sheet!S$2:S$7967,$A87)="","",INDEX(Sheet!S$2:S$7967,$A87)))</f>
        <v/>
      </c>
      <c r="L87" s="33" t="str">
        <f ca="1">IF($A87="","",IF(INDEX(Sheet!R$2:R$7967,$A87)="","",INDEX(Sheet!R$2:R$7967,$A87)))</f>
        <v/>
      </c>
      <c r="M87" s="33" t="str">
        <f ca="1">IF($A87="","",IF(INDEX(Sheet!AO$2:AO$7967,$A87)="","",INDEX(Sheet!AO$2:AO$7967,$A87)))</f>
        <v/>
      </c>
      <c r="N87" s="33" t="str">
        <f ca="1">IF($A87="","",IF(INDEX(Sheet!T$2:T$7967,$A87)="","",INDEX(Sheet!T$2:T$7967,$A87)))</f>
        <v/>
      </c>
      <c r="O87" s="33" t="str">
        <f ca="1">IF($A87="","",IF(INDEX(Sheet!U$2:U$7967,$A87)="","",INDEX(Sheet!U$2:U$7967,$A87)))</f>
        <v/>
      </c>
      <c r="P87" s="33" t="str">
        <f ca="1">IF($A87="","",IF(INDEX(Sheet!W$2:W$7967,$A87)="","",INDEX(Sheet!W$2:W$7967,$A87)))</f>
        <v/>
      </c>
      <c r="Q87" s="33" t="str">
        <f ca="1">IF($A87="","",IF(INDEX(Sheet!V$2:V$7967,$A87)="","",INDEX(Sheet!V$2:V$7967,$A87)))</f>
        <v/>
      </c>
      <c r="R87" s="33" t="str">
        <f ca="1">IF($A87="","",IF(INDEX(Sheet!Z$2:Z$7967,$A87)="","",INDEX(Sheet!Z$2:Z$7967,$A87)))</f>
        <v/>
      </c>
      <c r="S87" s="33" t="str">
        <f ca="1">IF($A87="","",IF(INDEX(Sheet!Y$2:Y$7967,$A87)="","",INDEX(Sheet!Y$2:Y$7967,$A87)))</f>
        <v/>
      </c>
      <c r="T87" s="33" t="str">
        <f ca="1">IF($A87="","",IF(INDEX(Sheet!X$2:X$7967,$A87)="","",INDEX(Sheet!X$2:X$7967,$A87)))</f>
        <v/>
      </c>
      <c r="U87" s="33" t="str">
        <f ca="1">IF($A87="","",IF(INDEX(Sheet!AA$2:AA$7967,$A87)="","",INDEX(Sheet!AA$2:AA$7967,$A87)))</f>
        <v/>
      </c>
      <c r="V87" s="33" t="str">
        <f ca="1">IF($A87="","",IF(INDEX(Sheet!AB$2:AB$7967,$A87)="","",INDEX(Sheet!AB$2:AB$7967,$A87)))</f>
        <v/>
      </c>
      <c r="W87" s="33" t="str">
        <f ca="1">IF($A87="","",IF(INDEX(Sheet!AH$2:AH$7967,$A87)="","",INDEX(Sheet!AH$2:AH$7967,$A87)))</f>
        <v/>
      </c>
      <c r="X87" s="33" t="str">
        <f ca="1">IF($A87="","",IF(INDEX(Sheet!AC$2:AC$7967,$A87)="","",INDEX(Sheet!AC$2:AC$7967,$A87)))</f>
        <v/>
      </c>
      <c r="Y87" s="33" t="str">
        <f ca="1">IF($A87="","",IF(INDEX(Sheet!AD$2:AD$7967,$A87)="","",INDEX(Sheet!AD$2:AD$7967,$A87)))</f>
        <v/>
      </c>
      <c r="Z87" s="33" t="str">
        <f ca="1">IF($A87="","",IF(INDEX(Sheet!AL$2:AL$7967,$A87)="","",INDEX(Sheet!AL$2:AL$7967,$A87)))</f>
        <v/>
      </c>
      <c r="AA87" s="33" t="str">
        <f ca="1">IF($A87="","",IF(INDEX(Sheet!AE$2:AE$7967,$A87)="","",INDEX(Sheet!AE$2:AE$7967,$A87)))</f>
        <v/>
      </c>
      <c r="AB87" s="33" t="str">
        <f ca="1">IF($A87="","",IF(INDEX(Sheet!AF$2:AF$7967,$A87)="","",INDEX(Sheet!AF$2:AF$7967,$A87)))</f>
        <v/>
      </c>
      <c r="AC87" s="33" t="str">
        <f ca="1">IF($A87="","",IF(INDEX(Sheet!AG$2:AG$7967,$A87)="","",INDEX(Sheet!AG$2:AG$7967,$A87)))</f>
        <v/>
      </c>
      <c r="AD87" s="33" t="str">
        <f ca="1">IF($A87="","",IF(INDEX(Sheet!AM$2:AM$7967,$A87)="","",INDEX(Sheet!AM$2:AM$7967,$A87)))</f>
        <v/>
      </c>
      <c r="AE87" s="33" t="str">
        <f ca="1">IF($A87="","",IF(INDEX(Sheet!AJ$2:AJ$7967,$A87)="","",INDEX(Sheet!AJ$2:AJ$7967,$A87)))</f>
        <v/>
      </c>
      <c r="AF87" s="33" t="str">
        <f ca="1">IF($A87="","",IF(INDEX(Sheet!AI$2:AI$7967,$A87)="","",INDEX(Sheet!AI$2:AI$7967,$A87)))</f>
        <v/>
      </c>
      <c r="AG87" s="33" t="str">
        <f ca="1">IF(D87="duyệt sản xuất"," Bảo Bảo, Ngày "&amp;DAY($J$4)&amp;" Tháng "&amp;MONTH($J$4)&amp;" Năm "&amp;YEAR($J$4),IF(D87="Phê duyệt","NGƯỜI LẬP",IF(D87="Nguyễn Ngọc Thắng","NGUYỄN THỊ MAI",IF($A87="","",INDEX(Sheet!AK$2:AK$7967,$A87)))))</f>
        <v/>
      </c>
      <c r="AH87" s="58" t="str">
        <f ca="1">IF($A87="","",INDEX(Sheet!AR$2:AR$7967,$A87)&amp;" ; "&amp;INDEX(Sheet!M$2:M$7967,$A87))</f>
        <v/>
      </c>
      <c r="AI87" s="1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G87" s="35" t="str">
        <f ca="1">IFERROR(VALUE(separ(INDEX(Sheet!Q$2:Q$7967,$A87),"-",1)),"")</f>
        <v/>
      </c>
      <c r="BH87" s="35" t="str">
        <f ca="1">IFERROR(VALUE(separ(INDEX(Sheet!R$2:R$7967,$A87),"-",1)),"")</f>
        <v/>
      </c>
      <c r="BI87" s="35" t="str">
        <f ca="1">IFERROR(VALUE(separ(INDEX(Sheet!S$2:S$7967,$A87),"-",1)),"")</f>
        <v/>
      </c>
      <c r="BJ87" s="35" t="str">
        <f ca="1">IFERROR(VALUE(separ(INDEX(Sheet!T$2:T$7967,$A87),"-",1)),"")</f>
        <v/>
      </c>
      <c r="BK87" s="35" t="str">
        <f ca="1">IFERROR(VALUE(separ(INDEX(Sheet!U$2:U$7967,$A87),"-",1)),"")</f>
        <v/>
      </c>
      <c r="BL87" s="35" t="str">
        <f ca="1">IFERROR(VALUE(separ(INDEX(Sheet!V$2:V$7967,$A87),"-",1)),"")</f>
        <v/>
      </c>
      <c r="BM87" s="35" t="str">
        <f ca="1">IFERROR(VALUE(separ(INDEX(Sheet!W$2:W$7967,$A87),"-",1)),"")</f>
        <v/>
      </c>
      <c r="BN87" s="35" t="str">
        <f ca="1">IFERROR(VALUE(separ(INDEX(Sheet!X$2:X$7967,$A87),"-",1)),"")</f>
        <v/>
      </c>
      <c r="BO87" s="35" t="str">
        <f ca="1">IFERROR(VALUE(separ(INDEX(Sheet!Y$2:Y$7967,$A87),"-",1)),"")</f>
        <v/>
      </c>
      <c r="BP87" s="35" t="str">
        <f ca="1">IFERROR(VALUE(separ(INDEX(Sheet!Z$2:Z$7967,$A87),"-",1)),"")</f>
        <v/>
      </c>
      <c r="BQ87" s="35" t="str">
        <f ca="1">IFERROR(VALUE(separ(INDEX(Sheet!AA$2:AA$7967,$A87),"-",1)),"")</f>
        <v/>
      </c>
      <c r="BR87" s="35" t="str">
        <f ca="1">IFERROR(VALUE(separ(INDEX(Sheet!AB$2:AB$7967,$A87),"-",1)),"")</f>
        <v/>
      </c>
      <c r="BS87" s="35" t="str">
        <f ca="1">IFERROR(VALUE(separ(INDEX(Sheet!AC$2:AC$7967,$A87),"-",1)),"")</f>
        <v/>
      </c>
      <c r="BT87" s="35" t="str">
        <f ca="1">IFERROR(VALUE(separ(INDEX(Sheet!AD$2:AD$7967,$A87),"-",1)),"")</f>
        <v/>
      </c>
      <c r="BU87" s="35" t="str">
        <f ca="1">IFERROR(VALUE(separ(INDEX(Sheet!AE$2:AE$7967,$A87),"-",1)),"")</f>
        <v/>
      </c>
      <c r="BV87" s="35"/>
      <c r="BW87" s="35" t="str">
        <f ca="1">IFERROR((separ(INDEX(Sheet!Q$2:Q$7967,$A87),"-",2)),"")</f>
        <v/>
      </c>
      <c r="BX87" s="35" t="str">
        <f ca="1">IFERROR((separ(INDEX(Sheet!R$2:R$7967,$A87),"-",2)),"")</f>
        <v/>
      </c>
      <c r="BY87" s="35" t="str">
        <f ca="1">IFERROR((separ(INDEX(Sheet!S$2:S$7967,$A87),"-",2)),"")</f>
        <v/>
      </c>
      <c r="BZ87" s="35" t="str">
        <f ca="1">IFERROR((separ(INDEX(Sheet!T$2:T$7967,$A87),"-",2)),"")</f>
        <v/>
      </c>
      <c r="CA87" s="35" t="str">
        <f ca="1">IFERROR((separ(INDEX(Sheet!U$2:U$7967,$A87),"-",2)),"")</f>
        <v/>
      </c>
      <c r="CB87" s="35" t="str">
        <f ca="1">IFERROR((separ(INDEX(Sheet!V$2:V$7967,$A87),"-",2)),"")</f>
        <v/>
      </c>
      <c r="CC87" s="35" t="str">
        <f ca="1">IFERROR((separ(INDEX(Sheet!W$2:W$7967,$A87),"-",2)),"")</f>
        <v/>
      </c>
      <c r="CD87" s="35" t="str">
        <f ca="1">IFERROR((separ(INDEX(Sheet!X$2:X$7967,$A87),"-",2)),"")</f>
        <v/>
      </c>
      <c r="CE87" s="35" t="str">
        <f ca="1">IFERROR((separ(INDEX(Sheet!Y$2:Y$7967,$A87),"-",2)),"")</f>
        <v/>
      </c>
      <c r="CF87" s="35" t="str">
        <f ca="1">IFERROR((separ(INDEX(Sheet!Z$2:Z$7967,$A87),"-",2)),"")</f>
        <v/>
      </c>
      <c r="CG87" s="35" t="str">
        <f ca="1">IFERROR((separ(INDEX(Sheet!AA$2:AA$7967,$A87),"-",2)),"")</f>
        <v/>
      </c>
      <c r="CH87" s="35" t="str">
        <f ca="1">IFERROR((separ(INDEX(Sheet!AB$2:AB$7967,$A87),"-",2)),"")</f>
        <v/>
      </c>
      <c r="CI87" s="35" t="str">
        <f ca="1">IFERROR((separ(INDEX(Sheet!AC$2:AC$7967,$A87),"-",2)),"")</f>
        <v/>
      </c>
      <c r="CJ87" s="35" t="str">
        <f ca="1">IFERROR((separ(INDEX(Sheet!AD$2:AD$7967,$A87),"-",2)),"")</f>
        <v/>
      </c>
      <c r="CK87" s="35" t="str">
        <f ca="1">IFERROR((separ(INDEX(Sheet!AE$2:AE$7967,$A87),"-",2)),"")</f>
        <v/>
      </c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</row>
    <row r="88" spans="1:104" s="29" customFormat="1">
      <c r="A88" s="45" t="str">
        <f ca="1">IFERROR(MATCH($B$3,OFFSET(Sheet!$D$2,A87,0):'Sheet'!$D$7657,0)+A87,"")</f>
        <v/>
      </c>
      <c r="B88" s="29" t="str">
        <f ca="1">IF(ROW(A81)&lt;=COUNT($A$6:$A$800),INDEX(Sheet!$A$2:$A$7967,$A88),IF(ROW(A81)=COUNT($A$6:$A$800)+1," ",IF(ROW(A81)=COUNT($A$6:$A$800)+2,"  ","")))</f>
        <v/>
      </c>
      <c r="C88" s="67" t="str">
        <f ca="1">IF($A88="","",INDEX(Sheet!E$2:E$7967,$A88))</f>
        <v/>
      </c>
      <c r="D88" s="31" t="str">
        <f ca="1">IF(B85=" ",$AR$1,IF(B88=" ",$AQ$1,IF(A88="","",INDEX(Sheet!G$2:G$7967,$A88))))</f>
        <v/>
      </c>
      <c r="E88" s="32" t="str">
        <f ca="1">IF($A88="","",TEXT(INDEX(Sheet!J$2:J$7967,$A88),"#,#")&amp;" "&amp;INDEX(Sheet!AT$2:AT$7967,$A88))</f>
        <v/>
      </c>
      <c r="F88" s="53" t="str">
        <f ca="1">IF($A88="","",INDEX(Sheet!F$2:F$7967,$A88))</f>
        <v/>
      </c>
      <c r="G88" s="32" t="str">
        <f ca="1">IF($A88="","",INDEX(Sheet!I$2:I$7967,$A88))</f>
        <v/>
      </c>
      <c r="H88" s="32" t="str">
        <f ca="1">IF($A88="","",INDEX(Sheet!L$2:L$7967,$A88))</f>
        <v/>
      </c>
      <c r="I88" s="32" t="str">
        <f ca="1">IF($A88="","",INDEX(Sheet!N$2:N$7967,$A88))</f>
        <v/>
      </c>
      <c r="J88" s="53" t="str">
        <f ca="1">IF($A88="","",INDEX(Sheet!AS$2:AS$7967,$A88))</f>
        <v/>
      </c>
      <c r="K88" s="33" t="str">
        <f ca="1">IF($A88="","",IF(INDEX(Sheet!S$2:S$7967,$A88)="","",INDEX(Sheet!S$2:S$7967,$A88)))</f>
        <v/>
      </c>
      <c r="L88" s="33" t="str">
        <f ca="1">IF($A88="","",IF(INDEX(Sheet!R$2:R$7967,$A88)="","",INDEX(Sheet!R$2:R$7967,$A88)))</f>
        <v/>
      </c>
      <c r="M88" s="33" t="str">
        <f ca="1">IF($A88="","",IF(INDEX(Sheet!AO$2:AO$7967,$A88)="","",INDEX(Sheet!AO$2:AO$7967,$A88)))</f>
        <v/>
      </c>
      <c r="N88" s="33" t="str">
        <f ca="1">IF($A88="","",IF(INDEX(Sheet!T$2:T$7967,$A88)="","",INDEX(Sheet!T$2:T$7967,$A88)))</f>
        <v/>
      </c>
      <c r="O88" s="33" t="str">
        <f ca="1">IF($A88="","",IF(INDEX(Sheet!U$2:U$7967,$A88)="","",INDEX(Sheet!U$2:U$7967,$A88)))</f>
        <v/>
      </c>
      <c r="P88" s="33" t="str">
        <f ca="1">IF($A88="","",IF(INDEX(Sheet!W$2:W$7967,$A88)="","",INDEX(Sheet!W$2:W$7967,$A88)))</f>
        <v/>
      </c>
      <c r="Q88" s="33" t="str">
        <f ca="1">IF($A88="","",IF(INDEX(Sheet!V$2:V$7967,$A88)="","",INDEX(Sheet!V$2:V$7967,$A88)))</f>
        <v/>
      </c>
      <c r="R88" s="33" t="str">
        <f ca="1">IF($A88="","",IF(INDEX(Sheet!Z$2:Z$7967,$A88)="","",INDEX(Sheet!Z$2:Z$7967,$A88)))</f>
        <v/>
      </c>
      <c r="S88" s="33" t="str">
        <f ca="1">IF($A88="","",IF(INDEX(Sheet!Y$2:Y$7967,$A88)="","",INDEX(Sheet!Y$2:Y$7967,$A88)))</f>
        <v/>
      </c>
      <c r="T88" s="33" t="str">
        <f ca="1">IF($A88="","",IF(INDEX(Sheet!X$2:X$7967,$A88)="","",INDEX(Sheet!X$2:X$7967,$A88)))</f>
        <v/>
      </c>
      <c r="U88" s="33" t="str">
        <f ca="1">IF($A88="","",IF(INDEX(Sheet!AA$2:AA$7967,$A88)="","",INDEX(Sheet!AA$2:AA$7967,$A88)))</f>
        <v/>
      </c>
      <c r="V88" s="33" t="str">
        <f ca="1">IF($A88="","",IF(INDEX(Sheet!AB$2:AB$7967,$A88)="","",INDEX(Sheet!AB$2:AB$7967,$A88)))</f>
        <v/>
      </c>
      <c r="W88" s="33" t="str">
        <f ca="1">IF($A88="","",IF(INDEX(Sheet!AH$2:AH$7967,$A88)="","",INDEX(Sheet!AH$2:AH$7967,$A88)))</f>
        <v/>
      </c>
      <c r="X88" s="33" t="str">
        <f ca="1">IF($A88="","",IF(INDEX(Sheet!AC$2:AC$7967,$A88)="","",INDEX(Sheet!AC$2:AC$7967,$A88)))</f>
        <v/>
      </c>
      <c r="Y88" s="33" t="str">
        <f ca="1">IF($A88="","",IF(INDEX(Sheet!AD$2:AD$7967,$A88)="","",INDEX(Sheet!AD$2:AD$7967,$A88)))</f>
        <v/>
      </c>
      <c r="Z88" s="33" t="str">
        <f ca="1">IF($A88="","",IF(INDEX(Sheet!AL$2:AL$7967,$A88)="","",INDEX(Sheet!AL$2:AL$7967,$A88)))</f>
        <v/>
      </c>
      <c r="AA88" s="33" t="str">
        <f ca="1">IF($A88="","",IF(INDEX(Sheet!AE$2:AE$7967,$A88)="","",INDEX(Sheet!AE$2:AE$7967,$A88)))</f>
        <v/>
      </c>
      <c r="AB88" s="33" t="str">
        <f ca="1">IF($A88="","",IF(INDEX(Sheet!AF$2:AF$7967,$A88)="","",INDEX(Sheet!AF$2:AF$7967,$A88)))</f>
        <v/>
      </c>
      <c r="AC88" s="33" t="str">
        <f ca="1">IF($A88="","",IF(INDEX(Sheet!AG$2:AG$7967,$A88)="","",INDEX(Sheet!AG$2:AG$7967,$A88)))</f>
        <v/>
      </c>
      <c r="AD88" s="33" t="str">
        <f ca="1">IF($A88="","",IF(INDEX(Sheet!AM$2:AM$7967,$A88)="","",INDEX(Sheet!AM$2:AM$7967,$A88)))</f>
        <v/>
      </c>
      <c r="AE88" s="33" t="str">
        <f ca="1">IF($A88="","",IF(INDEX(Sheet!AJ$2:AJ$7967,$A88)="","",INDEX(Sheet!AJ$2:AJ$7967,$A88)))</f>
        <v/>
      </c>
      <c r="AF88" s="33" t="str">
        <f ca="1">IF($A88="","",IF(INDEX(Sheet!AI$2:AI$7967,$A88)="","",INDEX(Sheet!AI$2:AI$7967,$A88)))</f>
        <v/>
      </c>
      <c r="AG88" s="33" t="str">
        <f ca="1">IF(D88="duyệt sản xuất"," Bảo Bảo, Ngày "&amp;DAY($J$4)&amp;" Tháng "&amp;MONTH($J$4)&amp;" Năm "&amp;YEAR($J$4),IF(D88="Phê duyệt","NGƯỜI LẬP",IF(D88="Nguyễn Ngọc Thắng","NGUYỄN THỊ MAI",IF($A88="","",INDEX(Sheet!AK$2:AK$7967,$A88)))))</f>
        <v/>
      </c>
      <c r="AH88" s="58" t="str">
        <f ca="1">IF($A88="","",INDEX(Sheet!AR$2:AR$7967,$A88)&amp;" ; "&amp;INDEX(Sheet!M$2:M$7967,$A88))</f>
        <v/>
      </c>
      <c r="AI88" s="1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G88" s="35" t="str">
        <f ca="1">IFERROR(VALUE(separ(INDEX(Sheet!Q$2:Q$7967,$A88),"-",1)),"")</f>
        <v/>
      </c>
      <c r="BH88" s="35" t="str">
        <f ca="1">IFERROR(VALUE(separ(INDEX(Sheet!R$2:R$7967,$A88),"-",1)),"")</f>
        <v/>
      </c>
      <c r="BI88" s="35" t="str">
        <f ca="1">IFERROR(VALUE(separ(INDEX(Sheet!S$2:S$7967,$A88),"-",1)),"")</f>
        <v/>
      </c>
      <c r="BJ88" s="35" t="str">
        <f ca="1">IFERROR(VALUE(separ(INDEX(Sheet!T$2:T$7967,$A88),"-",1)),"")</f>
        <v/>
      </c>
      <c r="BK88" s="35" t="str">
        <f ca="1">IFERROR(VALUE(separ(INDEX(Sheet!U$2:U$7967,$A88),"-",1)),"")</f>
        <v/>
      </c>
      <c r="BL88" s="35" t="str">
        <f ca="1">IFERROR(VALUE(separ(INDEX(Sheet!V$2:V$7967,$A88),"-",1)),"")</f>
        <v/>
      </c>
      <c r="BM88" s="35" t="str">
        <f ca="1">IFERROR(VALUE(separ(INDEX(Sheet!W$2:W$7967,$A88),"-",1)),"")</f>
        <v/>
      </c>
      <c r="BN88" s="35" t="str">
        <f ca="1">IFERROR(VALUE(separ(INDEX(Sheet!X$2:X$7967,$A88),"-",1)),"")</f>
        <v/>
      </c>
      <c r="BO88" s="35" t="str">
        <f ca="1">IFERROR(VALUE(separ(INDEX(Sheet!Y$2:Y$7967,$A88),"-",1)),"")</f>
        <v/>
      </c>
      <c r="BP88" s="35" t="str">
        <f ca="1">IFERROR(VALUE(separ(INDEX(Sheet!Z$2:Z$7967,$A88),"-",1)),"")</f>
        <v/>
      </c>
      <c r="BQ88" s="35" t="str">
        <f ca="1">IFERROR(VALUE(separ(INDEX(Sheet!AA$2:AA$7967,$A88),"-",1)),"")</f>
        <v/>
      </c>
      <c r="BR88" s="35" t="str">
        <f ca="1">IFERROR(VALUE(separ(INDEX(Sheet!AB$2:AB$7967,$A88),"-",1)),"")</f>
        <v/>
      </c>
      <c r="BS88" s="35" t="str">
        <f ca="1">IFERROR(VALUE(separ(INDEX(Sheet!AC$2:AC$7967,$A88),"-",1)),"")</f>
        <v/>
      </c>
      <c r="BT88" s="35" t="str">
        <f ca="1">IFERROR(VALUE(separ(INDEX(Sheet!AD$2:AD$7967,$A88),"-",1)),"")</f>
        <v/>
      </c>
      <c r="BU88" s="35" t="str">
        <f ca="1">IFERROR(VALUE(separ(INDEX(Sheet!AE$2:AE$7967,$A88),"-",1)),"")</f>
        <v/>
      </c>
      <c r="BV88" s="35"/>
      <c r="BW88" s="35" t="str">
        <f ca="1">IFERROR((separ(INDEX(Sheet!Q$2:Q$7967,$A88),"-",2)),"")</f>
        <v/>
      </c>
      <c r="BX88" s="35" t="str">
        <f ca="1">IFERROR((separ(INDEX(Sheet!R$2:R$7967,$A88),"-",2)),"")</f>
        <v/>
      </c>
      <c r="BY88" s="35" t="str">
        <f ca="1">IFERROR((separ(INDEX(Sheet!S$2:S$7967,$A88),"-",2)),"")</f>
        <v/>
      </c>
      <c r="BZ88" s="35" t="str">
        <f ca="1">IFERROR((separ(INDEX(Sheet!T$2:T$7967,$A88),"-",2)),"")</f>
        <v/>
      </c>
      <c r="CA88" s="35" t="str">
        <f ca="1">IFERROR((separ(INDEX(Sheet!U$2:U$7967,$A88),"-",2)),"")</f>
        <v/>
      </c>
      <c r="CB88" s="35" t="str">
        <f ca="1">IFERROR((separ(INDEX(Sheet!V$2:V$7967,$A88),"-",2)),"")</f>
        <v/>
      </c>
      <c r="CC88" s="35" t="str">
        <f ca="1">IFERROR((separ(INDEX(Sheet!W$2:W$7967,$A88),"-",2)),"")</f>
        <v/>
      </c>
      <c r="CD88" s="35" t="str">
        <f ca="1">IFERROR((separ(INDEX(Sheet!X$2:X$7967,$A88),"-",2)),"")</f>
        <v/>
      </c>
      <c r="CE88" s="35" t="str">
        <f ca="1">IFERROR((separ(INDEX(Sheet!Y$2:Y$7967,$A88),"-",2)),"")</f>
        <v/>
      </c>
      <c r="CF88" s="35" t="str">
        <f ca="1">IFERROR((separ(INDEX(Sheet!Z$2:Z$7967,$A88),"-",2)),"")</f>
        <v/>
      </c>
      <c r="CG88" s="35" t="str">
        <f ca="1">IFERROR((separ(INDEX(Sheet!AA$2:AA$7967,$A88),"-",2)),"")</f>
        <v/>
      </c>
      <c r="CH88" s="35" t="str">
        <f ca="1">IFERROR((separ(INDEX(Sheet!AB$2:AB$7967,$A88),"-",2)),"")</f>
        <v/>
      </c>
      <c r="CI88" s="35" t="str">
        <f ca="1">IFERROR((separ(INDEX(Sheet!AC$2:AC$7967,$A88),"-",2)),"")</f>
        <v/>
      </c>
      <c r="CJ88" s="35" t="str">
        <f ca="1">IFERROR((separ(INDEX(Sheet!AD$2:AD$7967,$A88),"-",2)),"")</f>
        <v/>
      </c>
      <c r="CK88" s="35" t="str">
        <f ca="1">IFERROR((separ(INDEX(Sheet!AE$2:AE$7967,$A88),"-",2)),"")</f>
        <v/>
      </c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</row>
    <row r="89" spans="1:104" s="29" customFormat="1">
      <c r="A89" s="45" t="str">
        <f ca="1">IFERROR(MATCH($B$3,OFFSET(Sheet!$D$2,A88,0):'Sheet'!$D$7657,0)+A88,"")</f>
        <v/>
      </c>
      <c r="B89" s="29" t="str">
        <f ca="1">IF(ROW(A82)&lt;=COUNT($A$6:$A$800),INDEX(Sheet!$A$2:$A$7967,$A89),IF(ROW(A82)=COUNT($A$6:$A$800)+1," ",IF(ROW(A82)=COUNT($A$6:$A$800)+2,"  ","")))</f>
        <v/>
      </c>
      <c r="C89" s="67" t="str">
        <f ca="1">IF($A89="","",INDEX(Sheet!E$2:E$7967,$A89))</f>
        <v/>
      </c>
      <c r="D89" s="31" t="str">
        <f ca="1">IF(B86=" ",$AR$1,IF(B89=" ",$AQ$1,IF(A89="","",INDEX(Sheet!G$2:G$7967,$A89))))</f>
        <v/>
      </c>
      <c r="E89" s="32" t="str">
        <f ca="1">IF($A89="","",TEXT(INDEX(Sheet!J$2:J$7967,$A89),"#,#")&amp;" "&amp;INDEX(Sheet!AT$2:AT$7967,$A89))</f>
        <v/>
      </c>
      <c r="F89" s="53" t="str">
        <f ca="1">IF($A89="","",INDEX(Sheet!F$2:F$7967,$A89))</f>
        <v/>
      </c>
      <c r="G89" s="32" t="str">
        <f ca="1">IF($A89="","",INDEX(Sheet!I$2:I$7967,$A89))</f>
        <v/>
      </c>
      <c r="H89" s="32" t="str">
        <f ca="1">IF($A89="","",INDEX(Sheet!L$2:L$7967,$A89))</f>
        <v/>
      </c>
      <c r="I89" s="32" t="str">
        <f ca="1">IF($A89="","",INDEX(Sheet!N$2:N$7967,$A89))</f>
        <v/>
      </c>
      <c r="J89" s="53" t="str">
        <f ca="1">IF($A89="","",INDEX(Sheet!AS$2:AS$7967,$A89))</f>
        <v/>
      </c>
      <c r="K89" s="33" t="str">
        <f ca="1">IF($A89="","",IF(INDEX(Sheet!S$2:S$7967,$A89)="","",INDEX(Sheet!S$2:S$7967,$A89)))</f>
        <v/>
      </c>
      <c r="L89" s="33" t="str">
        <f ca="1">IF($A89="","",IF(INDEX(Sheet!R$2:R$7967,$A89)="","",INDEX(Sheet!R$2:R$7967,$A89)))</f>
        <v/>
      </c>
      <c r="M89" s="33" t="str">
        <f ca="1">IF($A89="","",IF(INDEX(Sheet!AO$2:AO$7967,$A89)="","",INDEX(Sheet!AO$2:AO$7967,$A89)))</f>
        <v/>
      </c>
      <c r="N89" s="33" t="str">
        <f ca="1">IF($A89="","",IF(INDEX(Sheet!T$2:T$7967,$A89)="","",INDEX(Sheet!T$2:T$7967,$A89)))</f>
        <v/>
      </c>
      <c r="O89" s="33" t="str">
        <f ca="1">IF($A89="","",IF(INDEX(Sheet!U$2:U$7967,$A89)="","",INDEX(Sheet!U$2:U$7967,$A89)))</f>
        <v/>
      </c>
      <c r="P89" s="33" t="str">
        <f ca="1">IF($A89="","",IF(INDEX(Sheet!W$2:W$7967,$A89)="","",INDEX(Sheet!W$2:W$7967,$A89)))</f>
        <v/>
      </c>
      <c r="Q89" s="33" t="str">
        <f ca="1">IF($A89="","",IF(INDEX(Sheet!V$2:V$7967,$A89)="","",INDEX(Sheet!V$2:V$7967,$A89)))</f>
        <v/>
      </c>
      <c r="R89" s="33" t="str">
        <f ca="1">IF($A89="","",IF(INDEX(Sheet!Z$2:Z$7967,$A89)="","",INDEX(Sheet!Z$2:Z$7967,$A89)))</f>
        <v/>
      </c>
      <c r="S89" s="33" t="str">
        <f ca="1">IF($A89="","",IF(INDEX(Sheet!Y$2:Y$7967,$A89)="","",INDEX(Sheet!Y$2:Y$7967,$A89)))</f>
        <v/>
      </c>
      <c r="T89" s="33" t="str">
        <f ca="1">IF($A89="","",IF(INDEX(Sheet!X$2:X$7967,$A89)="","",INDEX(Sheet!X$2:X$7967,$A89)))</f>
        <v/>
      </c>
      <c r="U89" s="33" t="str">
        <f ca="1">IF($A89="","",IF(INDEX(Sheet!AA$2:AA$7967,$A89)="","",INDEX(Sheet!AA$2:AA$7967,$A89)))</f>
        <v/>
      </c>
      <c r="V89" s="33" t="str">
        <f ca="1">IF($A89="","",IF(INDEX(Sheet!AB$2:AB$7967,$A89)="","",INDEX(Sheet!AB$2:AB$7967,$A89)))</f>
        <v/>
      </c>
      <c r="W89" s="33" t="str">
        <f ca="1">IF($A89="","",IF(INDEX(Sheet!AH$2:AH$7967,$A89)="","",INDEX(Sheet!AH$2:AH$7967,$A89)))</f>
        <v/>
      </c>
      <c r="X89" s="33" t="str">
        <f ca="1">IF($A89="","",IF(INDEX(Sheet!AC$2:AC$7967,$A89)="","",INDEX(Sheet!AC$2:AC$7967,$A89)))</f>
        <v/>
      </c>
      <c r="Y89" s="33" t="str">
        <f ca="1">IF($A89="","",IF(INDEX(Sheet!AD$2:AD$7967,$A89)="","",INDEX(Sheet!AD$2:AD$7967,$A89)))</f>
        <v/>
      </c>
      <c r="Z89" s="33" t="str">
        <f ca="1">IF($A89="","",IF(INDEX(Sheet!AL$2:AL$7967,$A89)="","",INDEX(Sheet!AL$2:AL$7967,$A89)))</f>
        <v/>
      </c>
      <c r="AA89" s="33" t="str">
        <f ca="1">IF($A89="","",IF(INDEX(Sheet!AE$2:AE$7967,$A89)="","",INDEX(Sheet!AE$2:AE$7967,$A89)))</f>
        <v/>
      </c>
      <c r="AB89" s="33" t="str">
        <f ca="1">IF($A89="","",IF(INDEX(Sheet!AF$2:AF$7967,$A89)="","",INDEX(Sheet!AF$2:AF$7967,$A89)))</f>
        <v/>
      </c>
      <c r="AC89" s="33" t="str">
        <f ca="1">IF($A89="","",IF(INDEX(Sheet!AG$2:AG$7967,$A89)="","",INDEX(Sheet!AG$2:AG$7967,$A89)))</f>
        <v/>
      </c>
      <c r="AD89" s="33" t="str">
        <f ca="1">IF($A89="","",IF(INDEX(Sheet!AM$2:AM$7967,$A89)="","",INDEX(Sheet!AM$2:AM$7967,$A89)))</f>
        <v/>
      </c>
      <c r="AE89" s="33" t="str">
        <f ca="1">IF($A89="","",IF(INDEX(Sheet!AJ$2:AJ$7967,$A89)="","",INDEX(Sheet!AJ$2:AJ$7967,$A89)))</f>
        <v/>
      </c>
      <c r="AF89" s="33" t="str">
        <f ca="1">IF($A89="","",IF(INDEX(Sheet!AI$2:AI$7967,$A89)="","",INDEX(Sheet!AI$2:AI$7967,$A89)))</f>
        <v/>
      </c>
      <c r="AG89" s="33" t="str">
        <f ca="1">IF(D89="duyệt sản xuất"," Bảo Bảo, Ngày "&amp;DAY($J$4)&amp;" Tháng "&amp;MONTH($J$4)&amp;" Năm "&amp;YEAR($J$4),IF(D89="Phê duyệt","NGƯỜI LẬP",IF(D89="Nguyễn Ngọc Thắng","NGUYỄN THỊ MAI",IF($A89="","",INDEX(Sheet!AK$2:AK$7967,$A89)))))</f>
        <v/>
      </c>
      <c r="AH89" s="58" t="str">
        <f ca="1">IF($A89="","",INDEX(Sheet!AR$2:AR$7967,$A89)&amp;" ; "&amp;INDEX(Sheet!M$2:M$7967,$A89))</f>
        <v/>
      </c>
      <c r="AI89" s="1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G89" s="35" t="str">
        <f ca="1">IFERROR(VALUE(separ(INDEX(Sheet!Q$2:Q$7967,$A89),"-",1)),"")</f>
        <v/>
      </c>
      <c r="BH89" s="35" t="str">
        <f ca="1">IFERROR(VALUE(separ(INDEX(Sheet!R$2:R$7967,$A89),"-",1)),"")</f>
        <v/>
      </c>
      <c r="BI89" s="35" t="str">
        <f ca="1">IFERROR(VALUE(separ(INDEX(Sheet!S$2:S$7967,$A89),"-",1)),"")</f>
        <v/>
      </c>
      <c r="BJ89" s="35" t="str">
        <f ca="1">IFERROR(VALUE(separ(INDEX(Sheet!T$2:T$7967,$A89),"-",1)),"")</f>
        <v/>
      </c>
      <c r="BK89" s="35" t="str">
        <f ca="1">IFERROR(VALUE(separ(INDEX(Sheet!U$2:U$7967,$A89),"-",1)),"")</f>
        <v/>
      </c>
      <c r="BL89" s="35" t="str">
        <f ca="1">IFERROR(VALUE(separ(INDEX(Sheet!V$2:V$7967,$A89),"-",1)),"")</f>
        <v/>
      </c>
      <c r="BM89" s="35" t="str">
        <f ca="1">IFERROR(VALUE(separ(INDEX(Sheet!W$2:W$7967,$A89),"-",1)),"")</f>
        <v/>
      </c>
      <c r="BN89" s="35" t="str">
        <f ca="1">IFERROR(VALUE(separ(INDEX(Sheet!X$2:X$7967,$A89),"-",1)),"")</f>
        <v/>
      </c>
      <c r="BO89" s="35" t="str">
        <f ca="1">IFERROR(VALUE(separ(INDEX(Sheet!Y$2:Y$7967,$A89),"-",1)),"")</f>
        <v/>
      </c>
      <c r="BP89" s="35" t="str">
        <f ca="1">IFERROR(VALUE(separ(INDEX(Sheet!Z$2:Z$7967,$A89),"-",1)),"")</f>
        <v/>
      </c>
      <c r="BQ89" s="35" t="str">
        <f ca="1">IFERROR(VALUE(separ(INDEX(Sheet!AA$2:AA$7967,$A89),"-",1)),"")</f>
        <v/>
      </c>
      <c r="BR89" s="35" t="str">
        <f ca="1">IFERROR(VALUE(separ(INDEX(Sheet!AB$2:AB$7967,$A89),"-",1)),"")</f>
        <v/>
      </c>
      <c r="BS89" s="35" t="str">
        <f ca="1">IFERROR(VALUE(separ(INDEX(Sheet!AC$2:AC$7967,$A89),"-",1)),"")</f>
        <v/>
      </c>
      <c r="BT89" s="35" t="str">
        <f ca="1">IFERROR(VALUE(separ(INDEX(Sheet!AD$2:AD$7967,$A89),"-",1)),"")</f>
        <v/>
      </c>
      <c r="BU89" s="35" t="str">
        <f ca="1">IFERROR(VALUE(separ(INDEX(Sheet!AE$2:AE$7967,$A89),"-",1)),"")</f>
        <v/>
      </c>
      <c r="BV89" s="35"/>
      <c r="BW89" s="35" t="str">
        <f ca="1">IFERROR((separ(INDEX(Sheet!Q$2:Q$7967,$A89),"-",2)),"")</f>
        <v/>
      </c>
      <c r="BX89" s="35" t="str">
        <f ca="1">IFERROR((separ(INDEX(Sheet!R$2:R$7967,$A89),"-",2)),"")</f>
        <v/>
      </c>
      <c r="BY89" s="35" t="str">
        <f ca="1">IFERROR((separ(INDEX(Sheet!S$2:S$7967,$A89),"-",2)),"")</f>
        <v/>
      </c>
      <c r="BZ89" s="35" t="str">
        <f ca="1">IFERROR((separ(INDEX(Sheet!T$2:T$7967,$A89),"-",2)),"")</f>
        <v/>
      </c>
      <c r="CA89" s="35" t="str">
        <f ca="1">IFERROR((separ(INDEX(Sheet!U$2:U$7967,$A89),"-",2)),"")</f>
        <v/>
      </c>
      <c r="CB89" s="35" t="str">
        <f ca="1">IFERROR((separ(INDEX(Sheet!V$2:V$7967,$A89),"-",2)),"")</f>
        <v/>
      </c>
      <c r="CC89" s="35" t="str">
        <f ca="1">IFERROR((separ(INDEX(Sheet!W$2:W$7967,$A89),"-",2)),"")</f>
        <v/>
      </c>
      <c r="CD89" s="35" t="str">
        <f ca="1">IFERROR((separ(INDEX(Sheet!X$2:X$7967,$A89),"-",2)),"")</f>
        <v/>
      </c>
      <c r="CE89" s="35" t="str">
        <f ca="1">IFERROR((separ(INDEX(Sheet!Y$2:Y$7967,$A89),"-",2)),"")</f>
        <v/>
      </c>
      <c r="CF89" s="35" t="str">
        <f ca="1">IFERROR((separ(INDEX(Sheet!Z$2:Z$7967,$A89),"-",2)),"")</f>
        <v/>
      </c>
      <c r="CG89" s="35" t="str">
        <f ca="1">IFERROR((separ(INDEX(Sheet!AA$2:AA$7967,$A89),"-",2)),"")</f>
        <v/>
      </c>
      <c r="CH89" s="35" t="str">
        <f ca="1">IFERROR((separ(INDEX(Sheet!AB$2:AB$7967,$A89),"-",2)),"")</f>
        <v/>
      </c>
      <c r="CI89" s="35" t="str">
        <f ca="1">IFERROR((separ(INDEX(Sheet!AC$2:AC$7967,$A89),"-",2)),"")</f>
        <v/>
      </c>
      <c r="CJ89" s="35" t="str">
        <f ca="1">IFERROR((separ(INDEX(Sheet!AD$2:AD$7967,$A89),"-",2)),"")</f>
        <v/>
      </c>
      <c r="CK89" s="35" t="str">
        <f ca="1">IFERROR((separ(INDEX(Sheet!AE$2:AE$7967,$A89),"-",2)),"")</f>
        <v/>
      </c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</row>
    <row r="90" spans="1:104" s="29" customFormat="1">
      <c r="A90" s="45" t="str">
        <f ca="1">IFERROR(MATCH($B$3,OFFSET(Sheet!$D$2,A89,0):'Sheet'!$D$7657,0)+A89,"")</f>
        <v/>
      </c>
      <c r="B90" s="29" t="str">
        <f ca="1">IF(ROW(A83)&lt;=COUNT($A$6:$A$800),INDEX(Sheet!$A$2:$A$7967,$A90),IF(ROW(A83)=COUNT($A$6:$A$800)+1," ",IF(ROW(A83)=COUNT($A$6:$A$800)+2,"  ","")))</f>
        <v/>
      </c>
      <c r="C90" s="67" t="str">
        <f ca="1">IF($A90="","",INDEX(Sheet!E$2:E$7967,$A90))</f>
        <v/>
      </c>
      <c r="D90" s="31" t="str">
        <f ca="1">IF(B87=" ",$AR$1,IF(B90=" ",$AQ$1,IF(A90="","",INDEX(Sheet!G$2:G$7967,$A90))))</f>
        <v/>
      </c>
      <c r="E90" s="32" t="str">
        <f ca="1">IF($A90="","",TEXT(INDEX(Sheet!J$2:J$7967,$A90),"#,#")&amp;" "&amp;INDEX(Sheet!AT$2:AT$7967,$A90))</f>
        <v/>
      </c>
      <c r="F90" s="53" t="str">
        <f ca="1">IF($A90="","",INDEX(Sheet!F$2:F$7967,$A90))</f>
        <v/>
      </c>
      <c r="G90" s="32" t="str">
        <f ca="1">IF($A90="","",INDEX(Sheet!I$2:I$7967,$A90))</f>
        <v/>
      </c>
      <c r="H90" s="32" t="str">
        <f ca="1">IF($A90="","",INDEX(Sheet!L$2:L$7967,$A90))</f>
        <v/>
      </c>
      <c r="I90" s="32" t="str">
        <f ca="1">IF($A90="","",INDEX(Sheet!N$2:N$7967,$A90))</f>
        <v/>
      </c>
      <c r="J90" s="53" t="str">
        <f ca="1">IF($A90="","",INDEX(Sheet!AS$2:AS$7967,$A90))</f>
        <v/>
      </c>
      <c r="K90" s="33" t="str">
        <f ca="1">IF($A90="","",IF(INDEX(Sheet!S$2:S$7967,$A90)="","",INDEX(Sheet!S$2:S$7967,$A90)))</f>
        <v/>
      </c>
      <c r="L90" s="33" t="str">
        <f ca="1">IF($A90="","",IF(INDEX(Sheet!R$2:R$7967,$A90)="","",INDEX(Sheet!R$2:R$7967,$A90)))</f>
        <v/>
      </c>
      <c r="M90" s="33" t="str">
        <f ca="1">IF($A90="","",IF(INDEX(Sheet!AO$2:AO$7967,$A90)="","",INDEX(Sheet!AO$2:AO$7967,$A90)))</f>
        <v/>
      </c>
      <c r="N90" s="33" t="str">
        <f ca="1">IF($A90="","",IF(INDEX(Sheet!T$2:T$7967,$A90)="","",INDEX(Sheet!T$2:T$7967,$A90)))</f>
        <v/>
      </c>
      <c r="O90" s="33" t="str">
        <f ca="1">IF($A90="","",IF(INDEX(Sheet!U$2:U$7967,$A90)="","",INDEX(Sheet!U$2:U$7967,$A90)))</f>
        <v/>
      </c>
      <c r="P90" s="33" t="str">
        <f ca="1">IF($A90="","",IF(INDEX(Sheet!W$2:W$7967,$A90)="","",INDEX(Sheet!W$2:W$7967,$A90)))</f>
        <v/>
      </c>
      <c r="Q90" s="33" t="str">
        <f ca="1">IF($A90="","",IF(INDEX(Sheet!V$2:V$7967,$A90)="","",INDEX(Sheet!V$2:V$7967,$A90)))</f>
        <v/>
      </c>
      <c r="R90" s="33" t="str">
        <f ca="1">IF($A90="","",IF(INDEX(Sheet!Z$2:Z$7967,$A90)="","",INDEX(Sheet!Z$2:Z$7967,$A90)))</f>
        <v/>
      </c>
      <c r="S90" s="33" t="str">
        <f ca="1">IF($A90="","",IF(INDEX(Sheet!Y$2:Y$7967,$A90)="","",INDEX(Sheet!Y$2:Y$7967,$A90)))</f>
        <v/>
      </c>
      <c r="T90" s="33" t="str">
        <f ca="1">IF($A90="","",IF(INDEX(Sheet!X$2:X$7967,$A90)="","",INDEX(Sheet!X$2:X$7967,$A90)))</f>
        <v/>
      </c>
      <c r="U90" s="33" t="str">
        <f ca="1">IF($A90="","",IF(INDEX(Sheet!AA$2:AA$7967,$A90)="","",INDEX(Sheet!AA$2:AA$7967,$A90)))</f>
        <v/>
      </c>
      <c r="V90" s="33" t="str">
        <f ca="1">IF($A90="","",IF(INDEX(Sheet!AB$2:AB$7967,$A90)="","",INDEX(Sheet!AB$2:AB$7967,$A90)))</f>
        <v/>
      </c>
      <c r="W90" s="33" t="str">
        <f ca="1">IF($A90="","",IF(INDEX(Sheet!AH$2:AH$7967,$A90)="","",INDEX(Sheet!AH$2:AH$7967,$A90)))</f>
        <v/>
      </c>
      <c r="X90" s="33" t="str">
        <f ca="1">IF($A90="","",IF(INDEX(Sheet!AC$2:AC$7967,$A90)="","",INDEX(Sheet!AC$2:AC$7967,$A90)))</f>
        <v/>
      </c>
      <c r="Y90" s="33" t="str">
        <f ca="1">IF($A90="","",IF(INDEX(Sheet!AD$2:AD$7967,$A90)="","",INDEX(Sheet!AD$2:AD$7967,$A90)))</f>
        <v/>
      </c>
      <c r="Z90" s="33" t="str">
        <f ca="1">IF($A90="","",IF(INDEX(Sheet!AL$2:AL$7967,$A90)="","",INDEX(Sheet!AL$2:AL$7967,$A90)))</f>
        <v/>
      </c>
      <c r="AA90" s="33" t="str">
        <f ca="1">IF($A90="","",IF(INDEX(Sheet!AE$2:AE$7967,$A90)="","",INDEX(Sheet!AE$2:AE$7967,$A90)))</f>
        <v/>
      </c>
      <c r="AB90" s="33" t="str">
        <f ca="1">IF($A90="","",IF(INDEX(Sheet!AF$2:AF$7967,$A90)="","",INDEX(Sheet!AF$2:AF$7967,$A90)))</f>
        <v/>
      </c>
      <c r="AC90" s="33" t="str">
        <f ca="1">IF($A90="","",IF(INDEX(Sheet!AG$2:AG$7967,$A90)="","",INDEX(Sheet!AG$2:AG$7967,$A90)))</f>
        <v/>
      </c>
      <c r="AD90" s="33" t="str">
        <f ca="1">IF($A90="","",IF(INDEX(Sheet!AM$2:AM$7967,$A90)="","",INDEX(Sheet!AM$2:AM$7967,$A90)))</f>
        <v/>
      </c>
      <c r="AE90" s="33" t="str">
        <f ca="1">IF($A90="","",IF(INDEX(Sheet!AJ$2:AJ$7967,$A90)="","",INDEX(Sheet!AJ$2:AJ$7967,$A90)))</f>
        <v/>
      </c>
      <c r="AF90" s="33" t="str">
        <f ca="1">IF($A90="","",IF(INDEX(Sheet!AI$2:AI$7967,$A90)="","",INDEX(Sheet!AI$2:AI$7967,$A90)))</f>
        <v/>
      </c>
      <c r="AG90" s="33" t="str">
        <f ca="1">IF(D90="duyệt sản xuất"," Bảo Bảo, Ngày "&amp;DAY($J$4)&amp;" Tháng "&amp;MONTH($J$4)&amp;" Năm "&amp;YEAR($J$4),IF(D90="Phê duyệt","NGƯỜI LẬP",IF(D90="Nguyễn Ngọc Thắng","NGUYỄN THỊ MAI",IF($A90="","",INDEX(Sheet!AK$2:AK$7967,$A90)))))</f>
        <v/>
      </c>
      <c r="AH90" s="58" t="str">
        <f ca="1">IF($A90="","",INDEX(Sheet!AR$2:AR$7967,$A90)&amp;" ; "&amp;INDEX(Sheet!M$2:M$7967,$A90))</f>
        <v/>
      </c>
      <c r="AI90" s="1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G90" s="35" t="str">
        <f ca="1">IFERROR(VALUE(separ(INDEX(Sheet!Q$2:Q$7967,$A90),"-",1)),"")</f>
        <v/>
      </c>
      <c r="BH90" s="35" t="str">
        <f ca="1">IFERROR(VALUE(separ(INDEX(Sheet!R$2:R$7967,$A90),"-",1)),"")</f>
        <v/>
      </c>
      <c r="BI90" s="35" t="str">
        <f ca="1">IFERROR(VALUE(separ(INDEX(Sheet!S$2:S$7967,$A90),"-",1)),"")</f>
        <v/>
      </c>
      <c r="BJ90" s="35" t="str">
        <f ca="1">IFERROR(VALUE(separ(INDEX(Sheet!T$2:T$7967,$A90),"-",1)),"")</f>
        <v/>
      </c>
      <c r="BK90" s="35" t="str">
        <f ca="1">IFERROR(VALUE(separ(INDEX(Sheet!U$2:U$7967,$A90),"-",1)),"")</f>
        <v/>
      </c>
      <c r="BL90" s="35" t="str">
        <f ca="1">IFERROR(VALUE(separ(INDEX(Sheet!V$2:V$7967,$A90),"-",1)),"")</f>
        <v/>
      </c>
      <c r="BM90" s="35" t="str">
        <f ca="1">IFERROR(VALUE(separ(INDEX(Sheet!W$2:W$7967,$A90),"-",1)),"")</f>
        <v/>
      </c>
      <c r="BN90" s="35" t="str">
        <f ca="1">IFERROR(VALUE(separ(INDEX(Sheet!X$2:X$7967,$A90),"-",1)),"")</f>
        <v/>
      </c>
      <c r="BO90" s="35" t="str">
        <f ca="1">IFERROR(VALUE(separ(INDEX(Sheet!Y$2:Y$7967,$A90),"-",1)),"")</f>
        <v/>
      </c>
      <c r="BP90" s="35" t="str">
        <f ca="1">IFERROR(VALUE(separ(INDEX(Sheet!Z$2:Z$7967,$A90),"-",1)),"")</f>
        <v/>
      </c>
      <c r="BQ90" s="35" t="str">
        <f ca="1">IFERROR(VALUE(separ(INDEX(Sheet!AA$2:AA$7967,$A90),"-",1)),"")</f>
        <v/>
      </c>
      <c r="BR90" s="35" t="str">
        <f ca="1">IFERROR(VALUE(separ(INDEX(Sheet!AB$2:AB$7967,$A90),"-",1)),"")</f>
        <v/>
      </c>
      <c r="BS90" s="35" t="str">
        <f ca="1">IFERROR(VALUE(separ(INDEX(Sheet!AC$2:AC$7967,$A90),"-",1)),"")</f>
        <v/>
      </c>
      <c r="BT90" s="35" t="str">
        <f ca="1">IFERROR(VALUE(separ(INDEX(Sheet!AD$2:AD$7967,$A90),"-",1)),"")</f>
        <v/>
      </c>
      <c r="BU90" s="35" t="str">
        <f ca="1">IFERROR(VALUE(separ(INDEX(Sheet!AE$2:AE$7967,$A90),"-",1)),"")</f>
        <v/>
      </c>
      <c r="BV90" s="35"/>
      <c r="BW90" s="35" t="str">
        <f ca="1">IFERROR((separ(INDEX(Sheet!Q$2:Q$7967,$A90),"-",2)),"")</f>
        <v/>
      </c>
      <c r="BX90" s="35" t="str">
        <f ca="1">IFERROR((separ(INDEX(Sheet!R$2:R$7967,$A90),"-",2)),"")</f>
        <v/>
      </c>
      <c r="BY90" s="35" t="str">
        <f ca="1">IFERROR((separ(INDEX(Sheet!S$2:S$7967,$A90),"-",2)),"")</f>
        <v/>
      </c>
      <c r="BZ90" s="35" t="str">
        <f ca="1">IFERROR((separ(INDEX(Sheet!T$2:T$7967,$A90),"-",2)),"")</f>
        <v/>
      </c>
      <c r="CA90" s="35" t="str">
        <f ca="1">IFERROR((separ(INDEX(Sheet!U$2:U$7967,$A90),"-",2)),"")</f>
        <v/>
      </c>
      <c r="CB90" s="35" t="str">
        <f ca="1">IFERROR((separ(INDEX(Sheet!V$2:V$7967,$A90),"-",2)),"")</f>
        <v/>
      </c>
      <c r="CC90" s="35" t="str">
        <f ca="1">IFERROR((separ(INDEX(Sheet!W$2:W$7967,$A90),"-",2)),"")</f>
        <v/>
      </c>
      <c r="CD90" s="35" t="str">
        <f ca="1">IFERROR((separ(INDEX(Sheet!X$2:X$7967,$A90),"-",2)),"")</f>
        <v/>
      </c>
      <c r="CE90" s="35" t="str">
        <f ca="1">IFERROR((separ(INDEX(Sheet!Y$2:Y$7967,$A90),"-",2)),"")</f>
        <v/>
      </c>
      <c r="CF90" s="35" t="str">
        <f ca="1">IFERROR((separ(INDEX(Sheet!Z$2:Z$7967,$A90),"-",2)),"")</f>
        <v/>
      </c>
      <c r="CG90" s="35" t="str">
        <f ca="1">IFERROR((separ(INDEX(Sheet!AA$2:AA$7967,$A90),"-",2)),"")</f>
        <v/>
      </c>
      <c r="CH90" s="35" t="str">
        <f ca="1">IFERROR((separ(INDEX(Sheet!AB$2:AB$7967,$A90),"-",2)),"")</f>
        <v/>
      </c>
      <c r="CI90" s="35" t="str">
        <f ca="1">IFERROR((separ(INDEX(Sheet!AC$2:AC$7967,$A90),"-",2)),"")</f>
        <v/>
      </c>
      <c r="CJ90" s="35" t="str">
        <f ca="1">IFERROR((separ(INDEX(Sheet!AD$2:AD$7967,$A90),"-",2)),"")</f>
        <v/>
      </c>
      <c r="CK90" s="35" t="str">
        <f ca="1">IFERROR((separ(INDEX(Sheet!AE$2:AE$7967,$A90),"-",2)),"")</f>
        <v/>
      </c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</row>
    <row r="91" spans="1:104" s="29" customFormat="1">
      <c r="A91" s="45" t="str">
        <f ca="1">IFERROR(MATCH($B$3,OFFSET(Sheet!$D$2,A90,0):'Sheet'!$D$7657,0)+A90,"")</f>
        <v/>
      </c>
      <c r="B91" s="29" t="str">
        <f ca="1">IF(ROW(A84)&lt;=COUNT($A$6:$A$800),INDEX(Sheet!$A$2:$A$7967,$A91),IF(ROW(A84)=COUNT($A$6:$A$800)+1," ",IF(ROW(A84)=COUNT($A$6:$A$800)+2,"  ","")))</f>
        <v/>
      </c>
      <c r="C91" s="67" t="str">
        <f ca="1">IF($A91="","",INDEX(Sheet!E$2:E$7967,$A91))</f>
        <v/>
      </c>
      <c r="D91" s="31" t="str">
        <f ca="1">IF(B88=" ",$AR$1,IF(B91=" ",$AQ$1,IF(A91="","",INDEX(Sheet!G$2:G$7967,$A91))))</f>
        <v/>
      </c>
      <c r="E91" s="32" t="str">
        <f ca="1">IF($A91="","",TEXT(INDEX(Sheet!J$2:J$7967,$A91),"#,#")&amp;" "&amp;INDEX(Sheet!AT$2:AT$7967,$A91))</f>
        <v/>
      </c>
      <c r="F91" s="53" t="str">
        <f ca="1">IF($A91="","",INDEX(Sheet!F$2:F$7967,$A91))</f>
        <v/>
      </c>
      <c r="G91" s="32" t="str">
        <f ca="1">IF($A91="","",INDEX(Sheet!I$2:I$7967,$A91))</f>
        <v/>
      </c>
      <c r="H91" s="32" t="str">
        <f ca="1">IF($A91="","",INDEX(Sheet!L$2:L$7967,$A91))</f>
        <v/>
      </c>
      <c r="I91" s="32" t="str">
        <f ca="1">IF($A91="","",INDEX(Sheet!N$2:N$7967,$A91))</f>
        <v/>
      </c>
      <c r="J91" s="53" t="str">
        <f ca="1">IF($A91="","",INDEX(Sheet!AS$2:AS$7967,$A91))</f>
        <v/>
      </c>
      <c r="K91" s="33" t="str">
        <f ca="1">IF($A91="","",IF(INDEX(Sheet!S$2:S$7967,$A91)="","",INDEX(Sheet!S$2:S$7967,$A91)))</f>
        <v/>
      </c>
      <c r="L91" s="33" t="str">
        <f ca="1">IF($A91="","",IF(INDEX(Sheet!R$2:R$7967,$A91)="","",INDEX(Sheet!R$2:R$7967,$A91)))</f>
        <v/>
      </c>
      <c r="M91" s="33" t="str">
        <f ca="1">IF($A91="","",IF(INDEX(Sheet!AO$2:AO$7967,$A91)="","",INDEX(Sheet!AO$2:AO$7967,$A91)))</f>
        <v/>
      </c>
      <c r="N91" s="33" t="str">
        <f ca="1">IF($A91="","",IF(INDEX(Sheet!T$2:T$7967,$A91)="","",INDEX(Sheet!T$2:T$7967,$A91)))</f>
        <v/>
      </c>
      <c r="O91" s="33" t="str">
        <f ca="1">IF($A91="","",IF(INDEX(Sheet!U$2:U$7967,$A91)="","",INDEX(Sheet!U$2:U$7967,$A91)))</f>
        <v/>
      </c>
      <c r="P91" s="33" t="str">
        <f ca="1">IF($A91="","",IF(INDEX(Sheet!W$2:W$7967,$A91)="","",INDEX(Sheet!W$2:W$7967,$A91)))</f>
        <v/>
      </c>
      <c r="Q91" s="33" t="str">
        <f ca="1">IF($A91="","",IF(INDEX(Sheet!V$2:V$7967,$A91)="","",INDEX(Sheet!V$2:V$7967,$A91)))</f>
        <v/>
      </c>
      <c r="R91" s="33" t="str">
        <f ca="1">IF($A91="","",IF(INDEX(Sheet!Z$2:Z$7967,$A91)="","",INDEX(Sheet!Z$2:Z$7967,$A91)))</f>
        <v/>
      </c>
      <c r="S91" s="33" t="str">
        <f ca="1">IF($A91="","",IF(INDEX(Sheet!Y$2:Y$7967,$A91)="","",INDEX(Sheet!Y$2:Y$7967,$A91)))</f>
        <v/>
      </c>
      <c r="T91" s="33" t="str">
        <f ca="1">IF($A91="","",IF(INDEX(Sheet!X$2:X$7967,$A91)="","",INDEX(Sheet!X$2:X$7967,$A91)))</f>
        <v/>
      </c>
      <c r="U91" s="33" t="str">
        <f ca="1">IF($A91="","",IF(INDEX(Sheet!AA$2:AA$7967,$A91)="","",INDEX(Sheet!AA$2:AA$7967,$A91)))</f>
        <v/>
      </c>
      <c r="V91" s="33" t="str">
        <f ca="1">IF($A91="","",IF(INDEX(Sheet!AB$2:AB$7967,$A91)="","",INDEX(Sheet!AB$2:AB$7967,$A91)))</f>
        <v/>
      </c>
      <c r="W91" s="33" t="str">
        <f ca="1">IF($A91="","",IF(INDEX(Sheet!AH$2:AH$7967,$A91)="","",INDEX(Sheet!AH$2:AH$7967,$A91)))</f>
        <v/>
      </c>
      <c r="X91" s="33" t="str">
        <f ca="1">IF($A91="","",IF(INDEX(Sheet!AC$2:AC$7967,$A91)="","",INDEX(Sheet!AC$2:AC$7967,$A91)))</f>
        <v/>
      </c>
      <c r="Y91" s="33" t="str">
        <f ca="1">IF($A91="","",IF(INDEX(Sheet!AD$2:AD$7967,$A91)="","",INDEX(Sheet!AD$2:AD$7967,$A91)))</f>
        <v/>
      </c>
      <c r="Z91" s="33" t="str">
        <f ca="1">IF($A91="","",IF(INDEX(Sheet!AL$2:AL$7967,$A91)="","",INDEX(Sheet!AL$2:AL$7967,$A91)))</f>
        <v/>
      </c>
      <c r="AA91" s="33" t="str">
        <f ca="1">IF($A91="","",IF(INDEX(Sheet!AE$2:AE$7967,$A91)="","",INDEX(Sheet!AE$2:AE$7967,$A91)))</f>
        <v/>
      </c>
      <c r="AB91" s="33" t="str">
        <f ca="1">IF($A91="","",IF(INDEX(Sheet!AF$2:AF$7967,$A91)="","",INDEX(Sheet!AF$2:AF$7967,$A91)))</f>
        <v/>
      </c>
      <c r="AC91" s="33" t="str">
        <f ca="1">IF($A91="","",IF(INDEX(Sheet!AG$2:AG$7967,$A91)="","",INDEX(Sheet!AG$2:AG$7967,$A91)))</f>
        <v/>
      </c>
      <c r="AD91" s="33" t="str">
        <f ca="1">IF($A91="","",IF(INDEX(Sheet!AM$2:AM$7967,$A91)="","",INDEX(Sheet!AM$2:AM$7967,$A91)))</f>
        <v/>
      </c>
      <c r="AE91" s="33" t="str">
        <f ca="1">IF($A91="","",IF(INDEX(Sheet!AJ$2:AJ$7967,$A91)="","",INDEX(Sheet!AJ$2:AJ$7967,$A91)))</f>
        <v/>
      </c>
      <c r="AF91" s="33" t="str">
        <f ca="1">IF($A91="","",IF(INDEX(Sheet!AI$2:AI$7967,$A91)="","",INDEX(Sheet!AI$2:AI$7967,$A91)))</f>
        <v/>
      </c>
      <c r="AG91" s="33" t="str">
        <f ca="1">IF(D91="duyệt sản xuất"," Bảo Bảo, Ngày "&amp;DAY($J$4)&amp;" Tháng "&amp;MONTH($J$4)&amp;" Năm "&amp;YEAR($J$4),IF(D91="Phê duyệt","NGƯỜI LẬP",IF(D91="Nguyễn Ngọc Thắng","NGUYỄN THỊ MAI",IF($A91="","",INDEX(Sheet!AK$2:AK$7967,$A91)))))</f>
        <v/>
      </c>
      <c r="AH91" s="58" t="str">
        <f ca="1">IF($A91="","",INDEX(Sheet!AR$2:AR$7967,$A91)&amp;" ; "&amp;INDEX(Sheet!M$2:M$7967,$A91))</f>
        <v/>
      </c>
      <c r="AI91" s="1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G91" s="35" t="str">
        <f ca="1">IFERROR(VALUE(separ(INDEX(Sheet!Q$2:Q$7967,$A91),"-",1)),"")</f>
        <v/>
      </c>
      <c r="BH91" s="35" t="str">
        <f ca="1">IFERROR(VALUE(separ(INDEX(Sheet!R$2:R$7967,$A91),"-",1)),"")</f>
        <v/>
      </c>
      <c r="BI91" s="35" t="str">
        <f ca="1">IFERROR(VALUE(separ(INDEX(Sheet!S$2:S$7967,$A91),"-",1)),"")</f>
        <v/>
      </c>
      <c r="BJ91" s="35" t="str">
        <f ca="1">IFERROR(VALUE(separ(INDEX(Sheet!T$2:T$7967,$A91),"-",1)),"")</f>
        <v/>
      </c>
      <c r="BK91" s="35" t="str">
        <f ca="1">IFERROR(VALUE(separ(INDEX(Sheet!U$2:U$7967,$A91),"-",1)),"")</f>
        <v/>
      </c>
      <c r="BL91" s="35" t="str">
        <f ca="1">IFERROR(VALUE(separ(INDEX(Sheet!V$2:V$7967,$A91),"-",1)),"")</f>
        <v/>
      </c>
      <c r="BM91" s="35" t="str">
        <f ca="1">IFERROR(VALUE(separ(INDEX(Sheet!W$2:W$7967,$A91),"-",1)),"")</f>
        <v/>
      </c>
      <c r="BN91" s="35" t="str">
        <f ca="1">IFERROR(VALUE(separ(INDEX(Sheet!X$2:X$7967,$A91),"-",1)),"")</f>
        <v/>
      </c>
      <c r="BO91" s="35" t="str">
        <f ca="1">IFERROR(VALUE(separ(INDEX(Sheet!Y$2:Y$7967,$A91),"-",1)),"")</f>
        <v/>
      </c>
      <c r="BP91" s="35" t="str">
        <f ca="1">IFERROR(VALUE(separ(INDEX(Sheet!Z$2:Z$7967,$A91),"-",1)),"")</f>
        <v/>
      </c>
      <c r="BQ91" s="35" t="str">
        <f ca="1">IFERROR(VALUE(separ(INDEX(Sheet!AA$2:AA$7967,$A91),"-",1)),"")</f>
        <v/>
      </c>
      <c r="BR91" s="35" t="str">
        <f ca="1">IFERROR(VALUE(separ(INDEX(Sheet!AB$2:AB$7967,$A91),"-",1)),"")</f>
        <v/>
      </c>
      <c r="BS91" s="35" t="str">
        <f ca="1">IFERROR(VALUE(separ(INDEX(Sheet!AC$2:AC$7967,$A91),"-",1)),"")</f>
        <v/>
      </c>
      <c r="BT91" s="35" t="str">
        <f ca="1">IFERROR(VALUE(separ(INDEX(Sheet!AD$2:AD$7967,$A91),"-",1)),"")</f>
        <v/>
      </c>
      <c r="BU91" s="35" t="str">
        <f ca="1">IFERROR(VALUE(separ(INDEX(Sheet!AE$2:AE$7967,$A91),"-",1)),"")</f>
        <v/>
      </c>
      <c r="BV91" s="35"/>
      <c r="BW91" s="35" t="str">
        <f ca="1">IFERROR((separ(INDEX(Sheet!Q$2:Q$7967,$A91),"-",2)),"")</f>
        <v/>
      </c>
      <c r="BX91" s="35" t="str">
        <f ca="1">IFERROR((separ(INDEX(Sheet!R$2:R$7967,$A91),"-",2)),"")</f>
        <v/>
      </c>
      <c r="BY91" s="35" t="str">
        <f ca="1">IFERROR((separ(INDEX(Sheet!S$2:S$7967,$A91),"-",2)),"")</f>
        <v/>
      </c>
      <c r="BZ91" s="35" t="str">
        <f ca="1">IFERROR((separ(INDEX(Sheet!T$2:T$7967,$A91),"-",2)),"")</f>
        <v/>
      </c>
      <c r="CA91" s="35" t="str">
        <f ca="1">IFERROR((separ(INDEX(Sheet!U$2:U$7967,$A91),"-",2)),"")</f>
        <v/>
      </c>
      <c r="CB91" s="35" t="str">
        <f ca="1">IFERROR((separ(INDEX(Sheet!V$2:V$7967,$A91),"-",2)),"")</f>
        <v/>
      </c>
      <c r="CC91" s="35" t="str">
        <f ca="1">IFERROR((separ(INDEX(Sheet!W$2:W$7967,$A91),"-",2)),"")</f>
        <v/>
      </c>
      <c r="CD91" s="35" t="str">
        <f ca="1">IFERROR((separ(INDEX(Sheet!X$2:X$7967,$A91),"-",2)),"")</f>
        <v/>
      </c>
      <c r="CE91" s="35" t="str">
        <f ca="1">IFERROR((separ(INDEX(Sheet!Y$2:Y$7967,$A91),"-",2)),"")</f>
        <v/>
      </c>
      <c r="CF91" s="35" t="str">
        <f ca="1">IFERROR((separ(INDEX(Sheet!Z$2:Z$7967,$A91),"-",2)),"")</f>
        <v/>
      </c>
      <c r="CG91" s="35" t="str">
        <f ca="1">IFERROR((separ(INDEX(Sheet!AA$2:AA$7967,$A91),"-",2)),"")</f>
        <v/>
      </c>
      <c r="CH91" s="35" t="str">
        <f ca="1">IFERROR((separ(INDEX(Sheet!AB$2:AB$7967,$A91),"-",2)),"")</f>
        <v/>
      </c>
      <c r="CI91" s="35" t="str">
        <f ca="1">IFERROR((separ(INDEX(Sheet!AC$2:AC$7967,$A91),"-",2)),"")</f>
        <v/>
      </c>
      <c r="CJ91" s="35" t="str">
        <f ca="1">IFERROR((separ(INDEX(Sheet!AD$2:AD$7967,$A91),"-",2)),"")</f>
        <v/>
      </c>
      <c r="CK91" s="35" t="str">
        <f ca="1">IFERROR((separ(INDEX(Sheet!AE$2:AE$7967,$A91),"-",2)),"")</f>
        <v/>
      </c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</row>
    <row r="92" spans="1:104" s="29" customFormat="1">
      <c r="A92" s="45" t="str">
        <f ca="1">IFERROR(MATCH($B$3,OFFSET(Sheet!$D$2,A91,0):'Sheet'!$D$7657,0)+A91,"")</f>
        <v/>
      </c>
      <c r="B92" s="29" t="str">
        <f ca="1">IF(ROW(A85)&lt;=COUNT($A$6:$A$800),INDEX(Sheet!$A$2:$A$7967,$A92),IF(ROW(A85)=COUNT($A$6:$A$800)+1," ",IF(ROW(A85)=COUNT($A$6:$A$800)+2,"  ","")))</f>
        <v/>
      </c>
      <c r="C92" s="67" t="str">
        <f ca="1">IF($A92="","",INDEX(Sheet!E$2:E$7967,$A92))</f>
        <v/>
      </c>
      <c r="D92" s="31" t="str">
        <f ca="1">IF(B89=" ",$AR$1,IF(B92=" ",$AQ$1,IF(A92="","",INDEX(Sheet!G$2:G$7967,$A92))))</f>
        <v/>
      </c>
      <c r="E92" s="32" t="str">
        <f ca="1">IF($A92="","",TEXT(INDEX(Sheet!J$2:J$7967,$A92),"#,#")&amp;" "&amp;INDEX(Sheet!AT$2:AT$7967,$A92))</f>
        <v/>
      </c>
      <c r="F92" s="53" t="str">
        <f ca="1">IF($A92="","",INDEX(Sheet!F$2:F$7967,$A92))</f>
        <v/>
      </c>
      <c r="G92" s="32" t="str">
        <f ca="1">IF($A92="","",INDEX(Sheet!I$2:I$7967,$A92))</f>
        <v/>
      </c>
      <c r="H92" s="32" t="str">
        <f ca="1">IF($A92="","",INDEX(Sheet!L$2:L$7967,$A92))</f>
        <v/>
      </c>
      <c r="I92" s="32" t="str">
        <f ca="1">IF($A92="","",INDEX(Sheet!N$2:N$7967,$A92))</f>
        <v/>
      </c>
      <c r="J92" s="53" t="str">
        <f ca="1">IF($A92="","",INDEX(Sheet!AS$2:AS$7967,$A92))</f>
        <v/>
      </c>
      <c r="K92" s="33" t="str">
        <f ca="1">IF($A92="","",IF(INDEX(Sheet!S$2:S$7967,$A92)="","",INDEX(Sheet!S$2:S$7967,$A92)))</f>
        <v/>
      </c>
      <c r="L92" s="33" t="str">
        <f ca="1">IF($A92="","",IF(INDEX(Sheet!R$2:R$7967,$A92)="","",INDEX(Sheet!R$2:R$7967,$A92)))</f>
        <v/>
      </c>
      <c r="M92" s="33" t="str">
        <f ca="1">IF($A92="","",IF(INDEX(Sheet!AO$2:AO$7967,$A92)="","",INDEX(Sheet!AO$2:AO$7967,$A92)))</f>
        <v/>
      </c>
      <c r="N92" s="33" t="str">
        <f ca="1">IF($A92="","",IF(INDEX(Sheet!T$2:T$7967,$A92)="","",INDEX(Sheet!T$2:T$7967,$A92)))</f>
        <v/>
      </c>
      <c r="O92" s="33" t="str">
        <f ca="1">IF($A92="","",IF(INDEX(Sheet!U$2:U$7967,$A92)="","",INDEX(Sheet!U$2:U$7967,$A92)))</f>
        <v/>
      </c>
      <c r="P92" s="33" t="str">
        <f ca="1">IF($A92="","",IF(INDEX(Sheet!W$2:W$7967,$A92)="","",INDEX(Sheet!W$2:W$7967,$A92)))</f>
        <v/>
      </c>
      <c r="Q92" s="33" t="str">
        <f ca="1">IF($A92="","",IF(INDEX(Sheet!V$2:V$7967,$A92)="","",INDEX(Sheet!V$2:V$7967,$A92)))</f>
        <v/>
      </c>
      <c r="R92" s="33" t="str">
        <f ca="1">IF($A92="","",IF(INDEX(Sheet!Z$2:Z$7967,$A92)="","",INDEX(Sheet!Z$2:Z$7967,$A92)))</f>
        <v/>
      </c>
      <c r="S92" s="33" t="str">
        <f ca="1">IF($A92="","",IF(INDEX(Sheet!Y$2:Y$7967,$A92)="","",INDEX(Sheet!Y$2:Y$7967,$A92)))</f>
        <v/>
      </c>
      <c r="T92" s="33" t="str">
        <f ca="1">IF($A92="","",IF(INDEX(Sheet!X$2:X$7967,$A92)="","",INDEX(Sheet!X$2:X$7967,$A92)))</f>
        <v/>
      </c>
      <c r="U92" s="33" t="str">
        <f ca="1">IF($A92="","",IF(INDEX(Sheet!AA$2:AA$7967,$A92)="","",INDEX(Sheet!AA$2:AA$7967,$A92)))</f>
        <v/>
      </c>
      <c r="V92" s="33" t="str">
        <f ca="1">IF($A92="","",IF(INDEX(Sheet!AB$2:AB$7967,$A92)="","",INDEX(Sheet!AB$2:AB$7967,$A92)))</f>
        <v/>
      </c>
      <c r="W92" s="33" t="str">
        <f ca="1">IF($A92="","",IF(INDEX(Sheet!AH$2:AH$7967,$A92)="","",INDEX(Sheet!AH$2:AH$7967,$A92)))</f>
        <v/>
      </c>
      <c r="X92" s="33" t="str">
        <f ca="1">IF($A92="","",IF(INDEX(Sheet!AC$2:AC$7967,$A92)="","",INDEX(Sheet!AC$2:AC$7967,$A92)))</f>
        <v/>
      </c>
      <c r="Y92" s="33" t="str">
        <f ca="1">IF($A92="","",IF(INDEX(Sheet!AD$2:AD$7967,$A92)="","",INDEX(Sheet!AD$2:AD$7967,$A92)))</f>
        <v/>
      </c>
      <c r="Z92" s="33" t="str">
        <f ca="1">IF($A92="","",IF(INDEX(Sheet!AL$2:AL$7967,$A92)="","",INDEX(Sheet!AL$2:AL$7967,$A92)))</f>
        <v/>
      </c>
      <c r="AA92" s="33" t="str">
        <f ca="1">IF($A92="","",IF(INDEX(Sheet!AE$2:AE$7967,$A92)="","",INDEX(Sheet!AE$2:AE$7967,$A92)))</f>
        <v/>
      </c>
      <c r="AB92" s="33" t="str">
        <f ca="1">IF($A92="","",IF(INDEX(Sheet!AF$2:AF$7967,$A92)="","",INDEX(Sheet!AF$2:AF$7967,$A92)))</f>
        <v/>
      </c>
      <c r="AC92" s="33" t="str">
        <f ca="1">IF($A92="","",IF(INDEX(Sheet!AG$2:AG$7967,$A92)="","",INDEX(Sheet!AG$2:AG$7967,$A92)))</f>
        <v/>
      </c>
      <c r="AD92" s="33" t="str">
        <f ca="1">IF($A92="","",IF(INDEX(Sheet!AM$2:AM$7967,$A92)="","",INDEX(Sheet!AM$2:AM$7967,$A92)))</f>
        <v/>
      </c>
      <c r="AE92" s="33" t="str">
        <f ca="1">IF($A92="","",IF(INDEX(Sheet!AJ$2:AJ$7967,$A92)="","",INDEX(Sheet!AJ$2:AJ$7967,$A92)))</f>
        <v/>
      </c>
      <c r="AF92" s="33" t="str">
        <f ca="1">IF($A92="","",IF(INDEX(Sheet!AI$2:AI$7967,$A92)="","",INDEX(Sheet!AI$2:AI$7967,$A92)))</f>
        <v/>
      </c>
      <c r="AG92" s="33" t="str">
        <f ca="1">IF(D92="duyệt sản xuất"," Bảo Bảo, Ngày "&amp;DAY($J$4)&amp;" Tháng "&amp;MONTH($J$4)&amp;" Năm "&amp;YEAR($J$4),IF(D92="Phê duyệt","NGƯỜI LẬP",IF(D92="Nguyễn Ngọc Thắng","NGUYỄN THỊ MAI",IF($A92="","",INDEX(Sheet!AK$2:AK$7967,$A92)))))</f>
        <v/>
      </c>
      <c r="AH92" s="58" t="str">
        <f ca="1">IF($A92="","",INDEX(Sheet!AR$2:AR$7967,$A92)&amp;" ; "&amp;INDEX(Sheet!M$2:M$7967,$A92))</f>
        <v/>
      </c>
      <c r="AI92" s="1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G92" s="35" t="str">
        <f ca="1">IFERROR(VALUE(separ(INDEX(Sheet!Q$2:Q$7967,$A92),"-",1)),"")</f>
        <v/>
      </c>
      <c r="BH92" s="35" t="str">
        <f ca="1">IFERROR(VALUE(separ(INDEX(Sheet!R$2:R$7967,$A92),"-",1)),"")</f>
        <v/>
      </c>
      <c r="BI92" s="35" t="str">
        <f ca="1">IFERROR(VALUE(separ(INDEX(Sheet!S$2:S$7967,$A92),"-",1)),"")</f>
        <v/>
      </c>
      <c r="BJ92" s="35" t="str">
        <f ca="1">IFERROR(VALUE(separ(INDEX(Sheet!T$2:T$7967,$A92),"-",1)),"")</f>
        <v/>
      </c>
      <c r="BK92" s="35" t="str">
        <f ca="1">IFERROR(VALUE(separ(INDEX(Sheet!U$2:U$7967,$A92),"-",1)),"")</f>
        <v/>
      </c>
      <c r="BL92" s="35" t="str">
        <f ca="1">IFERROR(VALUE(separ(INDEX(Sheet!V$2:V$7967,$A92),"-",1)),"")</f>
        <v/>
      </c>
      <c r="BM92" s="35" t="str">
        <f ca="1">IFERROR(VALUE(separ(INDEX(Sheet!W$2:W$7967,$A92),"-",1)),"")</f>
        <v/>
      </c>
      <c r="BN92" s="35" t="str">
        <f ca="1">IFERROR(VALUE(separ(INDEX(Sheet!X$2:X$7967,$A92),"-",1)),"")</f>
        <v/>
      </c>
      <c r="BO92" s="35" t="str">
        <f ca="1">IFERROR(VALUE(separ(INDEX(Sheet!Y$2:Y$7967,$A92),"-",1)),"")</f>
        <v/>
      </c>
      <c r="BP92" s="35" t="str">
        <f ca="1">IFERROR(VALUE(separ(INDEX(Sheet!Z$2:Z$7967,$A92),"-",1)),"")</f>
        <v/>
      </c>
      <c r="BQ92" s="35" t="str">
        <f ca="1">IFERROR(VALUE(separ(INDEX(Sheet!AA$2:AA$7967,$A92),"-",1)),"")</f>
        <v/>
      </c>
      <c r="BR92" s="35" t="str">
        <f ca="1">IFERROR(VALUE(separ(INDEX(Sheet!AB$2:AB$7967,$A92),"-",1)),"")</f>
        <v/>
      </c>
      <c r="BS92" s="35" t="str">
        <f ca="1">IFERROR(VALUE(separ(INDEX(Sheet!AC$2:AC$7967,$A92),"-",1)),"")</f>
        <v/>
      </c>
      <c r="BT92" s="35" t="str">
        <f ca="1">IFERROR(VALUE(separ(INDEX(Sheet!AD$2:AD$7967,$A92),"-",1)),"")</f>
        <v/>
      </c>
      <c r="BU92" s="35" t="str">
        <f ca="1">IFERROR(VALUE(separ(INDEX(Sheet!AE$2:AE$7967,$A92),"-",1)),"")</f>
        <v/>
      </c>
      <c r="BV92" s="35"/>
      <c r="BW92" s="35" t="str">
        <f ca="1">IFERROR((separ(INDEX(Sheet!Q$2:Q$7967,$A92),"-",2)),"")</f>
        <v/>
      </c>
      <c r="BX92" s="35" t="str">
        <f ca="1">IFERROR((separ(INDEX(Sheet!R$2:R$7967,$A92),"-",2)),"")</f>
        <v/>
      </c>
      <c r="BY92" s="35" t="str">
        <f ca="1">IFERROR((separ(INDEX(Sheet!S$2:S$7967,$A92),"-",2)),"")</f>
        <v/>
      </c>
      <c r="BZ92" s="35" t="str">
        <f ca="1">IFERROR((separ(INDEX(Sheet!T$2:T$7967,$A92),"-",2)),"")</f>
        <v/>
      </c>
      <c r="CA92" s="35" t="str">
        <f ca="1">IFERROR((separ(INDEX(Sheet!U$2:U$7967,$A92),"-",2)),"")</f>
        <v/>
      </c>
      <c r="CB92" s="35" t="str">
        <f ca="1">IFERROR((separ(INDEX(Sheet!V$2:V$7967,$A92),"-",2)),"")</f>
        <v/>
      </c>
      <c r="CC92" s="35" t="str">
        <f ca="1">IFERROR((separ(INDEX(Sheet!W$2:W$7967,$A92),"-",2)),"")</f>
        <v/>
      </c>
      <c r="CD92" s="35" t="str">
        <f ca="1">IFERROR((separ(INDEX(Sheet!X$2:X$7967,$A92),"-",2)),"")</f>
        <v/>
      </c>
      <c r="CE92" s="35" t="str">
        <f ca="1">IFERROR((separ(INDEX(Sheet!Y$2:Y$7967,$A92),"-",2)),"")</f>
        <v/>
      </c>
      <c r="CF92" s="35" t="str">
        <f ca="1">IFERROR((separ(INDEX(Sheet!Z$2:Z$7967,$A92),"-",2)),"")</f>
        <v/>
      </c>
      <c r="CG92" s="35" t="str">
        <f ca="1">IFERROR((separ(INDEX(Sheet!AA$2:AA$7967,$A92),"-",2)),"")</f>
        <v/>
      </c>
      <c r="CH92" s="35" t="str">
        <f ca="1">IFERROR((separ(INDEX(Sheet!AB$2:AB$7967,$A92),"-",2)),"")</f>
        <v/>
      </c>
      <c r="CI92" s="35" t="str">
        <f ca="1">IFERROR((separ(INDEX(Sheet!AC$2:AC$7967,$A92),"-",2)),"")</f>
        <v/>
      </c>
      <c r="CJ92" s="35" t="str">
        <f ca="1">IFERROR((separ(INDEX(Sheet!AD$2:AD$7967,$A92),"-",2)),"")</f>
        <v/>
      </c>
      <c r="CK92" s="35" t="str">
        <f ca="1">IFERROR((separ(INDEX(Sheet!AE$2:AE$7967,$A92),"-",2)),"")</f>
        <v/>
      </c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</row>
    <row r="93" spans="1:104" s="29" customFormat="1">
      <c r="A93" s="45" t="str">
        <f ca="1">IFERROR(MATCH($B$3,OFFSET(Sheet!$D$2,A92,0):'Sheet'!$D$7657,0)+A92,"")</f>
        <v/>
      </c>
      <c r="B93" s="29" t="str">
        <f ca="1">IF(ROW(A86)&lt;=COUNT($A$6:$A$800),INDEX(Sheet!$A$2:$A$7967,$A93),IF(ROW(A86)=COUNT($A$6:$A$800)+1," ",IF(ROW(A86)=COUNT($A$6:$A$800)+2,"  ","")))</f>
        <v/>
      </c>
      <c r="C93" s="67" t="str">
        <f ca="1">IF($A93="","",INDEX(Sheet!E$2:E$7967,$A93))</f>
        <v/>
      </c>
      <c r="D93" s="31" t="str">
        <f ca="1">IF(B90=" ",$AR$1,IF(B93=" ",$AQ$1,IF(A93="","",INDEX(Sheet!G$2:G$7967,$A93))))</f>
        <v/>
      </c>
      <c r="E93" s="32" t="str">
        <f ca="1">IF($A93="","",TEXT(INDEX(Sheet!J$2:J$7967,$A93),"#,#")&amp;" "&amp;INDEX(Sheet!AT$2:AT$7967,$A93))</f>
        <v/>
      </c>
      <c r="F93" s="53" t="str">
        <f ca="1">IF($A93="","",INDEX(Sheet!F$2:F$7967,$A93))</f>
        <v/>
      </c>
      <c r="G93" s="32" t="str">
        <f ca="1">IF($A93="","",INDEX(Sheet!I$2:I$7967,$A93))</f>
        <v/>
      </c>
      <c r="H93" s="32" t="str">
        <f ca="1">IF($A93="","",INDEX(Sheet!L$2:L$7967,$A93))</f>
        <v/>
      </c>
      <c r="I93" s="32" t="str">
        <f ca="1">IF($A93="","",INDEX(Sheet!N$2:N$7967,$A93))</f>
        <v/>
      </c>
      <c r="J93" s="53" t="str">
        <f ca="1">IF($A93="","",INDEX(Sheet!AS$2:AS$7967,$A93))</f>
        <v/>
      </c>
      <c r="K93" s="33" t="str">
        <f ca="1">IF($A93="","",IF(INDEX(Sheet!S$2:S$7967,$A93)="","",INDEX(Sheet!S$2:S$7967,$A93)))</f>
        <v/>
      </c>
      <c r="L93" s="33" t="str">
        <f ca="1">IF($A93="","",IF(INDEX(Sheet!R$2:R$7967,$A93)="","",INDEX(Sheet!R$2:R$7967,$A93)))</f>
        <v/>
      </c>
      <c r="M93" s="33" t="str">
        <f ca="1">IF($A93="","",IF(INDEX(Sheet!AO$2:AO$7967,$A93)="","",INDEX(Sheet!AO$2:AO$7967,$A93)))</f>
        <v/>
      </c>
      <c r="N93" s="33" t="str">
        <f ca="1">IF($A93="","",IF(INDEX(Sheet!T$2:T$7967,$A93)="","",INDEX(Sheet!T$2:T$7967,$A93)))</f>
        <v/>
      </c>
      <c r="O93" s="33" t="str">
        <f ca="1">IF($A93="","",IF(INDEX(Sheet!U$2:U$7967,$A93)="","",INDEX(Sheet!U$2:U$7967,$A93)))</f>
        <v/>
      </c>
      <c r="P93" s="33" t="str">
        <f ca="1">IF($A93="","",IF(INDEX(Sheet!W$2:W$7967,$A93)="","",INDEX(Sheet!W$2:W$7967,$A93)))</f>
        <v/>
      </c>
      <c r="Q93" s="33" t="str">
        <f ca="1">IF($A93="","",IF(INDEX(Sheet!V$2:V$7967,$A93)="","",INDEX(Sheet!V$2:V$7967,$A93)))</f>
        <v/>
      </c>
      <c r="R93" s="33" t="str">
        <f ca="1">IF($A93="","",IF(INDEX(Sheet!Z$2:Z$7967,$A93)="","",INDEX(Sheet!Z$2:Z$7967,$A93)))</f>
        <v/>
      </c>
      <c r="S93" s="33" t="str">
        <f ca="1">IF($A93="","",IF(INDEX(Sheet!Y$2:Y$7967,$A93)="","",INDEX(Sheet!Y$2:Y$7967,$A93)))</f>
        <v/>
      </c>
      <c r="T93" s="33" t="str">
        <f ca="1">IF($A93="","",IF(INDEX(Sheet!X$2:X$7967,$A93)="","",INDEX(Sheet!X$2:X$7967,$A93)))</f>
        <v/>
      </c>
      <c r="U93" s="33" t="str">
        <f ca="1">IF($A93="","",IF(INDEX(Sheet!AA$2:AA$7967,$A93)="","",INDEX(Sheet!AA$2:AA$7967,$A93)))</f>
        <v/>
      </c>
      <c r="V93" s="33" t="str">
        <f ca="1">IF($A93="","",IF(INDEX(Sheet!AB$2:AB$7967,$A93)="","",INDEX(Sheet!AB$2:AB$7967,$A93)))</f>
        <v/>
      </c>
      <c r="W93" s="33" t="str">
        <f ca="1">IF($A93="","",IF(INDEX(Sheet!AH$2:AH$7967,$A93)="","",INDEX(Sheet!AH$2:AH$7967,$A93)))</f>
        <v/>
      </c>
      <c r="X93" s="33" t="str">
        <f ca="1">IF($A93="","",IF(INDEX(Sheet!AC$2:AC$7967,$A93)="","",INDEX(Sheet!AC$2:AC$7967,$A93)))</f>
        <v/>
      </c>
      <c r="Y93" s="33" t="str">
        <f ca="1">IF($A93="","",IF(INDEX(Sheet!AD$2:AD$7967,$A93)="","",INDEX(Sheet!AD$2:AD$7967,$A93)))</f>
        <v/>
      </c>
      <c r="Z93" s="33" t="str">
        <f ca="1">IF($A93="","",IF(INDEX(Sheet!AL$2:AL$7967,$A93)="","",INDEX(Sheet!AL$2:AL$7967,$A93)))</f>
        <v/>
      </c>
      <c r="AA93" s="33" t="str">
        <f ca="1">IF($A93="","",IF(INDEX(Sheet!AE$2:AE$7967,$A93)="","",INDEX(Sheet!AE$2:AE$7967,$A93)))</f>
        <v/>
      </c>
      <c r="AB93" s="33" t="str">
        <f ca="1">IF($A93="","",IF(INDEX(Sheet!AF$2:AF$7967,$A93)="","",INDEX(Sheet!AF$2:AF$7967,$A93)))</f>
        <v/>
      </c>
      <c r="AC93" s="33" t="str">
        <f ca="1">IF($A93="","",IF(INDEX(Sheet!AG$2:AG$7967,$A93)="","",INDEX(Sheet!AG$2:AG$7967,$A93)))</f>
        <v/>
      </c>
      <c r="AD93" s="33" t="str">
        <f ca="1">IF($A93="","",IF(INDEX(Sheet!AM$2:AM$7967,$A93)="","",INDEX(Sheet!AM$2:AM$7967,$A93)))</f>
        <v/>
      </c>
      <c r="AE93" s="33" t="str">
        <f ca="1">IF($A93="","",IF(INDEX(Sheet!AJ$2:AJ$7967,$A93)="","",INDEX(Sheet!AJ$2:AJ$7967,$A93)))</f>
        <v/>
      </c>
      <c r="AF93" s="33" t="str">
        <f ca="1">IF($A93="","",IF(INDEX(Sheet!AI$2:AI$7967,$A93)="","",INDEX(Sheet!AI$2:AI$7967,$A93)))</f>
        <v/>
      </c>
      <c r="AG93" s="33" t="str">
        <f ca="1">IF(D93="duyệt sản xuất"," Bảo Bảo, Ngày "&amp;DAY($J$4)&amp;" Tháng "&amp;MONTH($J$4)&amp;" Năm "&amp;YEAR($J$4),IF(D93="Phê duyệt","NGƯỜI LẬP",IF(D93="Nguyễn Ngọc Thắng","NGUYỄN THỊ MAI",IF($A93="","",INDEX(Sheet!AK$2:AK$7967,$A93)))))</f>
        <v/>
      </c>
      <c r="AH93" s="58" t="str">
        <f ca="1">IF($A93="","",INDEX(Sheet!AR$2:AR$7967,$A93)&amp;" ; "&amp;INDEX(Sheet!M$2:M$7967,$A93))</f>
        <v/>
      </c>
      <c r="AI93" s="1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G93" s="35" t="str">
        <f ca="1">IFERROR(VALUE(separ(INDEX(Sheet!Q$2:Q$7967,$A93),"-",1)),"")</f>
        <v/>
      </c>
      <c r="BH93" s="35" t="str">
        <f ca="1">IFERROR(VALUE(separ(INDEX(Sheet!R$2:R$7967,$A93),"-",1)),"")</f>
        <v/>
      </c>
      <c r="BI93" s="35" t="str">
        <f ca="1">IFERROR(VALUE(separ(INDEX(Sheet!S$2:S$7967,$A93),"-",1)),"")</f>
        <v/>
      </c>
      <c r="BJ93" s="35" t="str">
        <f ca="1">IFERROR(VALUE(separ(INDEX(Sheet!T$2:T$7967,$A93),"-",1)),"")</f>
        <v/>
      </c>
      <c r="BK93" s="35" t="str">
        <f ca="1">IFERROR(VALUE(separ(INDEX(Sheet!U$2:U$7967,$A93),"-",1)),"")</f>
        <v/>
      </c>
      <c r="BL93" s="35" t="str">
        <f ca="1">IFERROR(VALUE(separ(INDEX(Sheet!V$2:V$7967,$A93),"-",1)),"")</f>
        <v/>
      </c>
      <c r="BM93" s="35" t="str">
        <f ca="1">IFERROR(VALUE(separ(INDEX(Sheet!W$2:W$7967,$A93),"-",1)),"")</f>
        <v/>
      </c>
      <c r="BN93" s="35" t="str">
        <f ca="1">IFERROR(VALUE(separ(INDEX(Sheet!X$2:X$7967,$A93),"-",1)),"")</f>
        <v/>
      </c>
      <c r="BO93" s="35" t="str">
        <f ca="1">IFERROR(VALUE(separ(INDEX(Sheet!Y$2:Y$7967,$A93),"-",1)),"")</f>
        <v/>
      </c>
      <c r="BP93" s="35" t="str">
        <f ca="1">IFERROR(VALUE(separ(INDEX(Sheet!Z$2:Z$7967,$A93),"-",1)),"")</f>
        <v/>
      </c>
      <c r="BQ93" s="35" t="str">
        <f ca="1">IFERROR(VALUE(separ(INDEX(Sheet!AA$2:AA$7967,$A93),"-",1)),"")</f>
        <v/>
      </c>
      <c r="BR93" s="35" t="str">
        <f ca="1">IFERROR(VALUE(separ(INDEX(Sheet!AB$2:AB$7967,$A93),"-",1)),"")</f>
        <v/>
      </c>
      <c r="BS93" s="35" t="str">
        <f ca="1">IFERROR(VALUE(separ(INDEX(Sheet!AC$2:AC$7967,$A93),"-",1)),"")</f>
        <v/>
      </c>
      <c r="BT93" s="35" t="str">
        <f ca="1">IFERROR(VALUE(separ(INDEX(Sheet!AD$2:AD$7967,$A93),"-",1)),"")</f>
        <v/>
      </c>
      <c r="BU93" s="35" t="str">
        <f ca="1">IFERROR(VALUE(separ(INDEX(Sheet!AE$2:AE$7967,$A93),"-",1)),"")</f>
        <v/>
      </c>
      <c r="BV93" s="35"/>
      <c r="BW93" s="35" t="str">
        <f ca="1">IFERROR((separ(INDEX(Sheet!Q$2:Q$7967,$A93),"-",2)),"")</f>
        <v/>
      </c>
      <c r="BX93" s="35" t="str">
        <f ca="1">IFERROR((separ(INDEX(Sheet!R$2:R$7967,$A93),"-",2)),"")</f>
        <v/>
      </c>
      <c r="BY93" s="35" t="str">
        <f ca="1">IFERROR((separ(INDEX(Sheet!S$2:S$7967,$A93),"-",2)),"")</f>
        <v/>
      </c>
      <c r="BZ93" s="35" t="str">
        <f ca="1">IFERROR((separ(INDEX(Sheet!T$2:T$7967,$A93),"-",2)),"")</f>
        <v/>
      </c>
      <c r="CA93" s="35" t="str">
        <f ca="1">IFERROR((separ(INDEX(Sheet!U$2:U$7967,$A93),"-",2)),"")</f>
        <v/>
      </c>
      <c r="CB93" s="35" t="str">
        <f ca="1">IFERROR((separ(INDEX(Sheet!V$2:V$7967,$A93),"-",2)),"")</f>
        <v/>
      </c>
      <c r="CC93" s="35" t="str">
        <f ca="1">IFERROR((separ(INDEX(Sheet!W$2:W$7967,$A93),"-",2)),"")</f>
        <v/>
      </c>
      <c r="CD93" s="35" t="str">
        <f ca="1">IFERROR((separ(INDEX(Sheet!X$2:X$7967,$A93),"-",2)),"")</f>
        <v/>
      </c>
      <c r="CE93" s="35" t="str">
        <f ca="1">IFERROR((separ(INDEX(Sheet!Y$2:Y$7967,$A93),"-",2)),"")</f>
        <v/>
      </c>
      <c r="CF93" s="35" t="str">
        <f ca="1">IFERROR((separ(INDEX(Sheet!Z$2:Z$7967,$A93),"-",2)),"")</f>
        <v/>
      </c>
      <c r="CG93" s="35" t="str">
        <f ca="1">IFERROR((separ(INDEX(Sheet!AA$2:AA$7967,$A93),"-",2)),"")</f>
        <v/>
      </c>
      <c r="CH93" s="35" t="str">
        <f ca="1">IFERROR((separ(INDEX(Sheet!AB$2:AB$7967,$A93),"-",2)),"")</f>
        <v/>
      </c>
      <c r="CI93" s="35" t="str">
        <f ca="1">IFERROR((separ(INDEX(Sheet!AC$2:AC$7967,$A93),"-",2)),"")</f>
        <v/>
      </c>
      <c r="CJ93" s="35" t="str">
        <f ca="1">IFERROR((separ(INDEX(Sheet!AD$2:AD$7967,$A93),"-",2)),"")</f>
        <v/>
      </c>
      <c r="CK93" s="35" t="str">
        <f ca="1">IFERROR((separ(INDEX(Sheet!AE$2:AE$7967,$A93),"-",2)),"")</f>
        <v/>
      </c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</row>
    <row r="94" spans="1:104" s="29" customFormat="1">
      <c r="A94" s="45" t="str">
        <f ca="1">IFERROR(MATCH($B$3,OFFSET(Sheet!$D$2,A93,0):'Sheet'!$D$7657,0)+A93,"")</f>
        <v/>
      </c>
      <c r="B94" s="29" t="str">
        <f ca="1">IF(ROW(A87)&lt;=COUNT($A$6:$A$800),INDEX(Sheet!$A$2:$A$7967,$A94),IF(ROW(A87)=COUNT($A$6:$A$800)+1," ",IF(ROW(A87)=COUNT($A$6:$A$800)+2,"  ","")))</f>
        <v/>
      </c>
      <c r="C94" s="67" t="str">
        <f ca="1">IF($A94="","",INDEX(Sheet!E$2:E$7967,$A94))</f>
        <v/>
      </c>
      <c r="D94" s="31" t="str">
        <f ca="1">IF(B91=" ",$AR$1,IF(B94=" ",$AQ$1,IF(A94="","",INDEX(Sheet!G$2:G$7967,$A94))))</f>
        <v/>
      </c>
      <c r="E94" s="32" t="str">
        <f ca="1">IF($A94="","",TEXT(INDEX(Sheet!J$2:J$7967,$A94),"#,#")&amp;" "&amp;INDEX(Sheet!AT$2:AT$7967,$A94))</f>
        <v/>
      </c>
      <c r="F94" s="53" t="str">
        <f ca="1">IF($A94="","",INDEX(Sheet!F$2:F$7967,$A94))</f>
        <v/>
      </c>
      <c r="G94" s="32" t="str">
        <f ca="1">IF($A94="","",INDEX(Sheet!I$2:I$7967,$A94))</f>
        <v/>
      </c>
      <c r="H94" s="32" t="str">
        <f ca="1">IF($A94="","",INDEX(Sheet!L$2:L$7967,$A94))</f>
        <v/>
      </c>
      <c r="I94" s="32" t="str">
        <f ca="1">IF($A94="","",INDEX(Sheet!N$2:N$7967,$A94))</f>
        <v/>
      </c>
      <c r="J94" s="53" t="str">
        <f ca="1">IF($A94="","",INDEX(Sheet!AS$2:AS$7967,$A94))</f>
        <v/>
      </c>
      <c r="K94" s="33" t="str">
        <f ca="1">IF($A94="","",IF(INDEX(Sheet!S$2:S$7967,$A94)="","",INDEX(Sheet!S$2:S$7967,$A94)))</f>
        <v/>
      </c>
      <c r="L94" s="33" t="str">
        <f ca="1">IF($A94="","",IF(INDEX(Sheet!R$2:R$7967,$A94)="","",INDEX(Sheet!R$2:R$7967,$A94)))</f>
        <v/>
      </c>
      <c r="M94" s="33" t="str">
        <f ca="1">IF($A94="","",IF(INDEX(Sheet!AO$2:AO$7967,$A94)="","",INDEX(Sheet!AO$2:AO$7967,$A94)))</f>
        <v/>
      </c>
      <c r="N94" s="33" t="str">
        <f ca="1">IF($A94="","",IF(INDEX(Sheet!T$2:T$7967,$A94)="","",INDEX(Sheet!T$2:T$7967,$A94)))</f>
        <v/>
      </c>
      <c r="O94" s="33" t="str">
        <f ca="1">IF($A94="","",IF(INDEX(Sheet!U$2:U$7967,$A94)="","",INDEX(Sheet!U$2:U$7967,$A94)))</f>
        <v/>
      </c>
      <c r="P94" s="33" t="str">
        <f ca="1">IF($A94="","",IF(INDEX(Sheet!W$2:W$7967,$A94)="","",INDEX(Sheet!W$2:W$7967,$A94)))</f>
        <v/>
      </c>
      <c r="Q94" s="33" t="str">
        <f ca="1">IF($A94="","",IF(INDEX(Sheet!V$2:V$7967,$A94)="","",INDEX(Sheet!V$2:V$7967,$A94)))</f>
        <v/>
      </c>
      <c r="R94" s="33" t="str">
        <f ca="1">IF($A94="","",IF(INDEX(Sheet!Z$2:Z$7967,$A94)="","",INDEX(Sheet!Z$2:Z$7967,$A94)))</f>
        <v/>
      </c>
      <c r="S94" s="33" t="str">
        <f ca="1">IF($A94="","",IF(INDEX(Sheet!Y$2:Y$7967,$A94)="","",INDEX(Sheet!Y$2:Y$7967,$A94)))</f>
        <v/>
      </c>
      <c r="T94" s="33" t="str">
        <f ca="1">IF($A94="","",IF(INDEX(Sheet!X$2:X$7967,$A94)="","",INDEX(Sheet!X$2:X$7967,$A94)))</f>
        <v/>
      </c>
      <c r="U94" s="33" t="str">
        <f ca="1">IF($A94="","",IF(INDEX(Sheet!AA$2:AA$7967,$A94)="","",INDEX(Sheet!AA$2:AA$7967,$A94)))</f>
        <v/>
      </c>
      <c r="V94" s="33" t="str">
        <f ca="1">IF($A94="","",IF(INDEX(Sheet!AB$2:AB$7967,$A94)="","",INDEX(Sheet!AB$2:AB$7967,$A94)))</f>
        <v/>
      </c>
      <c r="W94" s="33" t="str">
        <f ca="1">IF($A94="","",IF(INDEX(Sheet!AH$2:AH$7967,$A94)="","",INDEX(Sheet!AH$2:AH$7967,$A94)))</f>
        <v/>
      </c>
      <c r="X94" s="33" t="str">
        <f ca="1">IF($A94="","",IF(INDEX(Sheet!AC$2:AC$7967,$A94)="","",INDEX(Sheet!AC$2:AC$7967,$A94)))</f>
        <v/>
      </c>
      <c r="Y94" s="33" t="str">
        <f ca="1">IF($A94="","",IF(INDEX(Sheet!AD$2:AD$7967,$A94)="","",INDEX(Sheet!AD$2:AD$7967,$A94)))</f>
        <v/>
      </c>
      <c r="Z94" s="33" t="str">
        <f ca="1">IF($A94="","",IF(INDEX(Sheet!AL$2:AL$7967,$A94)="","",INDEX(Sheet!AL$2:AL$7967,$A94)))</f>
        <v/>
      </c>
      <c r="AA94" s="33" t="str">
        <f ca="1">IF($A94="","",IF(INDEX(Sheet!AE$2:AE$7967,$A94)="","",INDEX(Sheet!AE$2:AE$7967,$A94)))</f>
        <v/>
      </c>
      <c r="AB94" s="33" t="str">
        <f ca="1">IF($A94="","",IF(INDEX(Sheet!AF$2:AF$7967,$A94)="","",INDEX(Sheet!AF$2:AF$7967,$A94)))</f>
        <v/>
      </c>
      <c r="AC94" s="33" t="str">
        <f ca="1">IF($A94="","",IF(INDEX(Sheet!AG$2:AG$7967,$A94)="","",INDEX(Sheet!AG$2:AG$7967,$A94)))</f>
        <v/>
      </c>
      <c r="AD94" s="33" t="str">
        <f ca="1">IF($A94="","",IF(INDEX(Sheet!AM$2:AM$7967,$A94)="","",INDEX(Sheet!AM$2:AM$7967,$A94)))</f>
        <v/>
      </c>
      <c r="AE94" s="33" t="str">
        <f ca="1">IF($A94="","",IF(INDEX(Sheet!AJ$2:AJ$7967,$A94)="","",INDEX(Sheet!AJ$2:AJ$7967,$A94)))</f>
        <v/>
      </c>
      <c r="AF94" s="33" t="str">
        <f ca="1">IF($A94="","",IF(INDEX(Sheet!AI$2:AI$7967,$A94)="","",INDEX(Sheet!AI$2:AI$7967,$A94)))</f>
        <v/>
      </c>
      <c r="AG94" s="33" t="str">
        <f ca="1">IF(D94="duyệt sản xuất"," Bảo Bảo, Ngày "&amp;DAY($J$4)&amp;" Tháng "&amp;MONTH($J$4)&amp;" Năm "&amp;YEAR($J$4),IF(D94="Phê duyệt","NGƯỜI LẬP",IF(D94="Nguyễn Ngọc Thắng","NGUYỄN THỊ MAI",IF($A94="","",INDEX(Sheet!AK$2:AK$7967,$A94)))))</f>
        <v/>
      </c>
      <c r="AH94" s="58" t="str">
        <f ca="1">IF($A94="","",INDEX(Sheet!AR$2:AR$7967,$A94)&amp;" ; "&amp;INDEX(Sheet!M$2:M$7967,$A94))</f>
        <v/>
      </c>
      <c r="AI94" s="1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G94" s="35" t="str">
        <f ca="1">IFERROR(VALUE(separ(INDEX(Sheet!Q$2:Q$7967,$A94),"-",1)),"")</f>
        <v/>
      </c>
      <c r="BH94" s="35" t="str">
        <f ca="1">IFERROR(VALUE(separ(INDEX(Sheet!R$2:R$7967,$A94),"-",1)),"")</f>
        <v/>
      </c>
      <c r="BI94" s="35" t="str">
        <f ca="1">IFERROR(VALUE(separ(INDEX(Sheet!S$2:S$7967,$A94),"-",1)),"")</f>
        <v/>
      </c>
      <c r="BJ94" s="35" t="str">
        <f ca="1">IFERROR(VALUE(separ(INDEX(Sheet!T$2:T$7967,$A94),"-",1)),"")</f>
        <v/>
      </c>
      <c r="BK94" s="35" t="str">
        <f ca="1">IFERROR(VALUE(separ(INDEX(Sheet!U$2:U$7967,$A94),"-",1)),"")</f>
        <v/>
      </c>
      <c r="BL94" s="35" t="str">
        <f ca="1">IFERROR(VALUE(separ(INDEX(Sheet!V$2:V$7967,$A94),"-",1)),"")</f>
        <v/>
      </c>
      <c r="BM94" s="35" t="str">
        <f ca="1">IFERROR(VALUE(separ(INDEX(Sheet!W$2:W$7967,$A94),"-",1)),"")</f>
        <v/>
      </c>
      <c r="BN94" s="35" t="str">
        <f ca="1">IFERROR(VALUE(separ(INDEX(Sheet!X$2:X$7967,$A94),"-",1)),"")</f>
        <v/>
      </c>
      <c r="BO94" s="35" t="str">
        <f ca="1">IFERROR(VALUE(separ(INDEX(Sheet!Y$2:Y$7967,$A94),"-",1)),"")</f>
        <v/>
      </c>
      <c r="BP94" s="35" t="str">
        <f ca="1">IFERROR(VALUE(separ(INDEX(Sheet!Z$2:Z$7967,$A94),"-",1)),"")</f>
        <v/>
      </c>
      <c r="BQ94" s="35" t="str">
        <f ca="1">IFERROR(VALUE(separ(INDEX(Sheet!AA$2:AA$7967,$A94),"-",1)),"")</f>
        <v/>
      </c>
      <c r="BR94" s="35" t="str">
        <f ca="1">IFERROR(VALUE(separ(INDEX(Sheet!AB$2:AB$7967,$A94),"-",1)),"")</f>
        <v/>
      </c>
      <c r="BS94" s="35" t="str">
        <f ca="1">IFERROR(VALUE(separ(INDEX(Sheet!AC$2:AC$7967,$A94),"-",1)),"")</f>
        <v/>
      </c>
      <c r="BT94" s="35" t="str">
        <f ca="1">IFERROR(VALUE(separ(INDEX(Sheet!AD$2:AD$7967,$A94),"-",1)),"")</f>
        <v/>
      </c>
      <c r="BU94" s="35" t="str">
        <f ca="1">IFERROR(VALUE(separ(INDEX(Sheet!AE$2:AE$7967,$A94),"-",1)),"")</f>
        <v/>
      </c>
      <c r="BV94" s="35"/>
      <c r="BW94" s="35" t="str">
        <f ca="1">IFERROR((separ(INDEX(Sheet!Q$2:Q$7967,$A94),"-",2)),"")</f>
        <v/>
      </c>
      <c r="BX94" s="35" t="str">
        <f ca="1">IFERROR((separ(INDEX(Sheet!R$2:R$7967,$A94),"-",2)),"")</f>
        <v/>
      </c>
      <c r="BY94" s="35" t="str">
        <f ca="1">IFERROR((separ(INDEX(Sheet!S$2:S$7967,$A94),"-",2)),"")</f>
        <v/>
      </c>
      <c r="BZ94" s="35" t="str">
        <f ca="1">IFERROR((separ(INDEX(Sheet!T$2:T$7967,$A94),"-",2)),"")</f>
        <v/>
      </c>
      <c r="CA94" s="35" t="str">
        <f ca="1">IFERROR((separ(INDEX(Sheet!U$2:U$7967,$A94),"-",2)),"")</f>
        <v/>
      </c>
      <c r="CB94" s="35" t="str">
        <f ca="1">IFERROR((separ(INDEX(Sheet!V$2:V$7967,$A94),"-",2)),"")</f>
        <v/>
      </c>
      <c r="CC94" s="35" t="str">
        <f ca="1">IFERROR((separ(INDEX(Sheet!W$2:W$7967,$A94),"-",2)),"")</f>
        <v/>
      </c>
      <c r="CD94" s="35" t="str">
        <f ca="1">IFERROR((separ(INDEX(Sheet!X$2:X$7967,$A94),"-",2)),"")</f>
        <v/>
      </c>
      <c r="CE94" s="35" t="str">
        <f ca="1">IFERROR((separ(INDEX(Sheet!Y$2:Y$7967,$A94),"-",2)),"")</f>
        <v/>
      </c>
      <c r="CF94" s="35" t="str">
        <f ca="1">IFERROR((separ(INDEX(Sheet!Z$2:Z$7967,$A94),"-",2)),"")</f>
        <v/>
      </c>
      <c r="CG94" s="35" t="str">
        <f ca="1">IFERROR((separ(INDEX(Sheet!AA$2:AA$7967,$A94),"-",2)),"")</f>
        <v/>
      </c>
      <c r="CH94" s="35" t="str">
        <f ca="1">IFERROR((separ(INDEX(Sheet!AB$2:AB$7967,$A94),"-",2)),"")</f>
        <v/>
      </c>
      <c r="CI94" s="35" t="str">
        <f ca="1">IFERROR((separ(INDEX(Sheet!AC$2:AC$7967,$A94),"-",2)),"")</f>
        <v/>
      </c>
      <c r="CJ94" s="35" t="str">
        <f ca="1">IFERROR((separ(INDEX(Sheet!AD$2:AD$7967,$A94),"-",2)),"")</f>
        <v/>
      </c>
      <c r="CK94" s="35" t="str">
        <f ca="1">IFERROR((separ(INDEX(Sheet!AE$2:AE$7967,$A94),"-",2)),"")</f>
        <v/>
      </c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</row>
    <row r="95" spans="1:104" s="29" customFormat="1">
      <c r="A95" s="45" t="str">
        <f ca="1">IFERROR(MATCH($B$3,OFFSET(Sheet!$D$2,A94,0):'Sheet'!$D$7657,0)+A94,"")</f>
        <v/>
      </c>
      <c r="B95" s="29" t="str">
        <f ca="1">IF(ROW(A88)&lt;=COUNT($A$6:$A$800),INDEX(Sheet!$A$2:$A$7967,$A95),IF(ROW(A88)=COUNT($A$6:$A$800)+1," ",IF(ROW(A88)=COUNT($A$6:$A$800)+2,"  ","")))</f>
        <v/>
      </c>
      <c r="C95" s="67" t="str">
        <f ca="1">IF($A95="","",INDEX(Sheet!E$2:E$7967,$A95))</f>
        <v/>
      </c>
      <c r="D95" s="31" t="str">
        <f ca="1">IF(B92=" ",$AR$1,IF(B95=" ",$AQ$1,IF(A95="","",INDEX(Sheet!G$2:G$7967,$A95))))</f>
        <v/>
      </c>
      <c r="E95" s="32" t="str">
        <f ca="1">IF($A95="","",TEXT(INDEX(Sheet!J$2:J$7967,$A95),"#,#")&amp;" "&amp;INDEX(Sheet!AT$2:AT$7967,$A95))</f>
        <v/>
      </c>
      <c r="F95" s="53" t="str">
        <f ca="1">IF($A95="","",INDEX(Sheet!F$2:F$7967,$A95))</f>
        <v/>
      </c>
      <c r="G95" s="32" t="str">
        <f ca="1">IF($A95="","",INDEX(Sheet!I$2:I$7967,$A95))</f>
        <v/>
      </c>
      <c r="H95" s="32" t="str">
        <f ca="1">IF($A95="","",INDEX(Sheet!L$2:L$7967,$A95))</f>
        <v/>
      </c>
      <c r="I95" s="32" t="str">
        <f ca="1">IF($A95="","",INDEX(Sheet!N$2:N$7967,$A95))</f>
        <v/>
      </c>
      <c r="J95" s="53" t="str">
        <f ca="1">IF($A95="","",INDEX(Sheet!AS$2:AS$7967,$A95))</f>
        <v/>
      </c>
      <c r="K95" s="33" t="str">
        <f ca="1">IF($A95="","",IF(INDEX(Sheet!S$2:S$7967,$A95)="","",INDEX(Sheet!S$2:S$7967,$A95)))</f>
        <v/>
      </c>
      <c r="L95" s="33" t="str">
        <f ca="1">IF($A95="","",IF(INDEX(Sheet!R$2:R$7967,$A95)="","",INDEX(Sheet!R$2:R$7967,$A95)))</f>
        <v/>
      </c>
      <c r="M95" s="33" t="str">
        <f ca="1">IF($A95="","",IF(INDEX(Sheet!AO$2:AO$7967,$A95)="","",INDEX(Sheet!AO$2:AO$7967,$A95)))</f>
        <v/>
      </c>
      <c r="N95" s="33" t="str">
        <f ca="1">IF($A95="","",IF(INDEX(Sheet!T$2:T$7967,$A95)="","",INDEX(Sheet!T$2:T$7967,$A95)))</f>
        <v/>
      </c>
      <c r="O95" s="33" t="str">
        <f ca="1">IF($A95="","",IF(INDEX(Sheet!U$2:U$7967,$A95)="","",INDEX(Sheet!U$2:U$7967,$A95)))</f>
        <v/>
      </c>
      <c r="P95" s="33" t="str">
        <f ca="1">IF($A95="","",IF(INDEX(Sheet!W$2:W$7967,$A95)="","",INDEX(Sheet!W$2:W$7967,$A95)))</f>
        <v/>
      </c>
      <c r="Q95" s="33" t="str">
        <f ca="1">IF($A95="","",IF(INDEX(Sheet!V$2:V$7967,$A95)="","",INDEX(Sheet!V$2:V$7967,$A95)))</f>
        <v/>
      </c>
      <c r="R95" s="33" t="str">
        <f ca="1">IF($A95="","",IF(INDEX(Sheet!Z$2:Z$7967,$A95)="","",INDEX(Sheet!Z$2:Z$7967,$A95)))</f>
        <v/>
      </c>
      <c r="S95" s="33" t="str">
        <f ca="1">IF($A95="","",IF(INDEX(Sheet!Y$2:Y$7967,$A95)="","",INDEX(Sheet!Y$2:Y$7967,$A95)))</f>
        <v/>
      </c>
      <c r="T95" s="33" t="str">
        <f ca="1">IF($A95="","",IF(INDEX(Sheet!X$2:X$7967,$A95)="","",INDEX(Sheet!X$2:X$7967,$A95)))</f>
        <v/>
      </c>
      <c r="U95" s="33" t="str">
        <f ca="1">IF($A95="","",IF(INDEX(Sheet!AA$2:AA$7967,$A95)="","",INDEX(Sheet!AA$2:AA$7967,$A95)))</f>
        <v/>
      </c>
      <c r="V95" s="33" t="str">
        <f ca="1">IF($A95="","",IF(INDEX(Sheet!AB$2:AB$7967,$A95)="","",INDEX(Sheet!AB$2:AB$7967,$A95)))</f>
        <v/>
      </c>
      <c r="W95" s="33" t="str">
        <f ca="1">IF($A95="","",IF(INDEX(Sheet!AH$2:AH$7967,$A95)="","",INDEX(Sheet!AH$2:AH$7967,$A95)))</f>
        <v/>
      </c>
      <c r="X95" s="33" t="str">
        <f ca="1">IF($A95="","",IF(INDEX(Sheet!AC$2:AC$7967,$A95)="","",INDEX(Sheet!AC$2:AC$7967,$A95)))</f>
        <v/>
      </c>
      <c r="Y95" s="33" t="str">
        <f ca="1">IF($A95="","",IF(INDEX(Sheet!AD$2:AD$7967,$A95)="","",INDEX(Sheet!AD$2:AD$7967,$A95)))</f>
        <v/>
      </c>
      <c r="Z95" s="33" t="str">
        <f ca="1">IF($A95="","",IF(INDEX(Sheet!AL$2:AL$7967,$A95)="","",INDEX(Sheet!AL$2:AL$7967,$A95)))</f>
        <v/>
      </c>
      <c r="AA95" s="33" t="str">
        <f ca="1">IF($A95="","",IF(INDEX(Sheet!AE$2:AE$7967,$A95)="","",INDEX(Sheet!AE$2:AE$7967,$A95)))</f>
        <v/>
      </c>
      <c r="AB95" s="33" t="str">
        <f ca="1">IF($A95="","",IF(INDEX(Sheet!AF$2:AF$7967,$A95)="","",INDEX(Sheet!AF$2:AF$7967,$A95)))</f>
        <v/>
      </c>
      <c r="AC95" s="33" t="str">
        <f ca="1">IF($A95="","",IF(INDEX(Sheet!AG$2:AG$7967,$A95)="","",INDEX(Sheet!AG$2:AG$7967,$A95)))</f>
        <v/>
      </c>
      <c r="AD95" s="33" t="str">
        <f ca="1">IF($A95="","",IF(INDEX(Sheet!AM$2:AM$7967,$A95)="","",INDEX(Sheet!AM$2:AM$7967,$A95)))</f>
        <v/>
      </c>
      <c r="AE95" s="33" t="str">
        <f ca="1">IF($A95="","",IF(INDEX(Sheet!AJ$2:AJ$7967,$A95)="","",INDEX(Sheet!AJ$2:AJ$7967,$A95)))</f>
        <v/>
      </c>
      <c r="AF95" s="33" t="str">
        <f ca="1">IF($A95="","",IF(INDEX(Sheet!AI$2:AI$7967,$A95)="","",INDEX(Sheet!AI$2:AI$7967,$A95)))</f>
        <v/>
      </c>
      <c r="AG95" s="33" t="str">
        <f ca="1">IF(D95="duyệt sản xuất"," Bảo Bảo, Ngày "&amp;DAY($J$4)&amp;" Tháng "&amp;MONTH($J$4)&amp;" Năm "&amp;YEAR($J$4),IF(D95="Phê duyệt","NGƯỜI LẬP",IF(D95="Nguyễn Ngọc Thắng","NGUYỄN THỊ MAI",IF($A95="","",INDEX(Sheet!AK$2:AK$7967,$A95)))))</f>
        <v/>
      </c>
      <c r="AH95" s="58" t="str">
        <f ca="1">IF($A95="","",INDEX(Sheet!AR$2:AR$7967,$A95)&amp;" ; "&amp;INDEX(Sheet!M$2:M$7967,$A95))</f>
        <v/>
      </c>
      <c r="AI95" s="1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G95" s="35" t="str">
        <f ca="1">IFERROR(VALUE(separ(INDEX(Sheet!Q$2:Q$7967,$A95),"-",1)),"")</f>
        <v/>
      </c>
      <c r="BH95" s="35" t="str">
        <f ca="1">IFERROR(VALUE(separ(INDEX(Sheet!R$2:R$7967,$A95),"-",1)),"")</f>
        <v/>
      </c>
      <c r="BI95" s="35" t="str">
        <f ca="1">IFERROR(VALUE(separ(INDEX(Sheet!S$2:S$7967,$A95),"-",1)),"")</f>
        <v/>
      </c>
      <c r="BJ95" s="35" t="str">
        <f ca="1">IFERROR(VALUE(separ(INDEX(Sheet!T$2:T$7967,$A95),"-",1)),"")</f>
        <v/>
      </c>
      <c r="BK95" s="35" t="str">
        <f ca="1">IFERROR(VALUE(separ(INDEX(Sheet!U$2:U$7967,$A95),"-",1)),"")</f>
        <v/>
      </c>
      <c r="BL95" s="35" t="str">
        <f ca="1">IFERROR(VALUE(separ(INDEX(Sheet!V$2:V$7967,$A95),"-",1)),"")</f>
        <v/>
      </c>
      <c r="BM95" s="35" t="str">
        <f ca="1">IFERROR(VALUE(separ(INDEX(Sheet!W$2:W$7967,$A95),"-",1)),"")</f>
        <v/>
      </c>
      <c r="BN95" s="35" t="str">
        <f ca="1">IFERROR(VALUE(separ(INDEX(Sheet!X$2:X$7967,$A95),"-",1)),"")</f>
        <v/>
      </c>
      <c r="BO95" s="35" t="str">
        <f ca="1">IFERROR(VALUE(separ(INDEX(Sheet!Y$2:Y$7967,$A95),"-",1)),"")</f>
        <v/>
      </c>
      <c r="BP95" s="35" t="str">
        <f ca="1">IFERROR(VALUE(separ(INDEX(Sheet!Z$2:Z$7967,$A95),"-",1)),"")</f>
        <v/>
      </c>
      <c r="BQ95" s="35" t="str">
        <f ca="1">IFERROR(VALUE(separ(INDEX(Sheet!AA$2:AA$7967,$A95),"-",1)),"")</f>
        <v/>
      </c>
      <c r="BR95" s="35" t="str">
        <f ca="1">IFERROR(VALUE(separ(INDEX(Sheet!AB$2:AB$7967,$A95),"-",1)),"")</f>
        <v/>
      </c>
      <c r="BS95" s="35" t="str">
        <f ca="1">IFERROR(VALUE(separ(INDEX(Sheet!AC$2:AC$7967,$A95),"-",1)),"")</f>
        <v/>
      </c>
      <c r="BT95" s="35" t="str">
        <f ca="1">IFERROR(VALUE(separ(INDEX(Sheet!AD$2:AD$7967,$A95),"-",1)),"")</f>
        <v/>
      </c>
      <c r="BU95" s="35" t="str">
        <f ca="1">IFERROR(VALUE(separ(INDEX(Sheet!AE$2:AE$7967,$A95),"-",1)),"")</f>
        <v/>
      </c>
      <c r="BV95" s="35"/>
      <c r="BW95" s="35" t="str">
        <f ca="1">IFERROR((separ(INDEX(Sheet!Q$2:Q$7967,$A95),"-",2)),"")</f>
        <v/>
      </c>
      <c r="BX95" s="35" t="str">
        <f ca="1">IFERROR((separ(INDEX(Sheet!R$2:R$7967,$A95),"-",2)),"")</f>
        <v/>
      </c>
      <c r="BY95" s="35" t="str">
        <f ca="1">IFERROR((separ(INDEX(Sheet!S$2:S$7967,$A95),"-",2)),"")</f>
        <v/>
      </c>
      <c r="BZ95" s="35" t="str">
        <f ca="1">IFERROR((separ(INDEX(Sheet!T$2:T$7967,$A95),"-",2)),"")</f>
        <v/>
      </c>
      <c r="CA95" s="35" t="str">
        <f ca="1">IFERROR((separ(INDEX(Sheet!U$2:U$7967,$A95),"-",2)),"")</f>
        <v/>
      </c>
      <c r="CB95" s="35" t="str">
        <f ca="1">IFERROR((separ(INDEX(Sheet!V$2:V$7967,$A95),"-",2)),"")</f>
        <v/>
      </c>
      <c r="CC95" s="35" t="str">
        <f ca="1">IFERROR((separ(INDEX(Sheet!W$2:W$7967,$A95),"-",2)),"")</f>
        <v/>
      </c>
      <c r="CD95" s="35" t="str">
        <f ca="1">IFERROR((separ(INDEX(Sheet!X$2:X$7967,$A95),"-",2)),"")</f>
        <v/>
      </c>
      <c r="CE95" s="35" t="str">
        <f ca="1">IFERROR((separ(INDEX(Sheet!Y$2:Y$7967,$A95),"-",2)),"")</f>
        <v/>
      </c>
      <c r="CF95" s="35" t="str">
        <f ca="1">IFERROR((separ(INDEX(Sheet!Z$2:Z$7967,$A95),"-",2)),"")</f>
        <v/>
      </c>
      <c r="CG95" s="35" t="str">
        <f ca="1">IFERROR((separ(INDEX(Sheet!AA$2:AA$7967,$A95),"-",2)),"")</f>
        <v/>
      </c>
      <c r="CH95" s="35" t="str">
        <f ca="1">IFERROR((separ(INDEX(Sheet!AB$2:AB$7967,$A95),"-",2)),"")</f>
        <v/>
      </c>
      <c r="CI95" s="35" t="str">
        <f ca="1">IFERROR((separ(INDEX(Sheet!AC$2:AC$7967,$A95),"-",2)),"")</f>
        <v/>
      </c>
      <c r="CJ95" s="35" t="str">
        <f ca="1">IFERROR((separ(INDEX(Sheet!AD$2:AD$7967,$A95),"-",2)),"")</f>
        <v/>
      </c>
      <c r="CK95" s="35" t="str">
        <f ca="1">IFERROR((separ(INDEX(Sheet!AE$2:AE$7967,$A95),"-",2)),"")</f>
        <v/>
      </c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</row>
    <row r="96" spans="1:104" s="29" customFormat="1">
      <c r="A96" s="45" t="str">
        <f ca="1">IFERROR(MATCH($B$3,OFFSET(Sheet!$D$2,A95,0):'Sheet'!$D$7657,0)+A95,"")</f>
        <v/>
      </c>
      <c r="B96" s="29" t="str">
        <f ca="1">IF(ROW(A89)&lt;=COUNT($A$6:$A$800),INDEX(Sheet!$A$2:$A$7967,$A96),IF(ROW(A89)=COUNT($A$6:$A$800)+1," ",IF(ROW(A89)=COUNT($A$6:$A$800)+2,"  ","")))</f>
        <v/>
      </c>
      <c r="C96" s="67" t="str">
        <f ca="1">IF($A96="","",INDEX(Sheet!E$2:E$7967,$A96))</f>
        <v/>
      </c>
      <c r="D96" s="31" t="str">
        <f ca="1">IF(B93=" ",$AR$1,IF(B96=" ",$AQ$1,IF(A96="","",INDEX(Sheet!G$2:G$7967,$A96))))</f>
        <v/>
      </c>
      <c r="E96" s="32" t="str">
        <f ca="1">IF($A96="","",TEXT(INDEX(Sheet!J$2:J$7967,$A96),"#,#")&amp;" "&amp;INDEX(Sheet!AT$2:AT$7967,$A96))</f>
        <v/>
      </c>
      <c r="F96" s="53" t="str">
        <f ca="1">IF($A96="","",INDEX(Sheet!F$2:F$7967,$A96))</f>
        <v/>
      </c>
      <c r="G96" s="32" t="str">
        <f ca="1">IF($A96="","",INDEX(Sheet!I$2:I$7967,$A96))</f>
        <v/>
      </c>
      <c r="H96" s="32" t="str">
        <f ca="1">IF($A96="","",INDEX(Sheet!L$2:L$7967,$A96))</f>
        <v/>
      </c>
      <c r="I96" s="32" t="str">
        <f ca="1">IF($A96="","",INDEX(Sheet!N$2:N$7967,$A96))</f>
        <v/>
      </c>
      <c r="J96" s="53" t="str">
        <f ca="1">IF($A96="","",INDEX(Sheet!AS$2:AS$7967,$A96))</f>
        <v/>
      </c>
      <c r="K96" s="33" t="str">
        <f ca="1">IF($A96="","",IF(INDEX(Sheet!S$2:S$7967,$A96)="","",INDEX(Sheet!S$2:S$7967,$A96)))</f>
        <v/>
      </c>
      <c r="L96" s="33" t="str">
        <f ca="1">IF($A96="","",IF(INDEX(Sheet!R$2:R$7967,$A96)="","",INDEX(Sheet!R$2:R$7967,$A96)))</f>
        <v/>
      </c>
      <c r="M96" s="33" t="str">
        <f ca="1">IF($A96="","",IF(INDEX(Sheet!AO$2:AO$7967,$A96)="","",INDEX(Sheet!AO$2:AO$7967,$A96)))</f>
        <v/>
      </c>
      <c r="N96" s="33" t="str">
        <f ca="1">IF($A96="","",IF(INDEX(Sheet!T$2:T$7967,$A96)="","",INDEX(Sheet!T$2:T$7967,$A96)))</f>
        <v/>
      </c>
      <c r="O96" s="33" t="str">
        <f ca="1">IF($A96="","",IF(INDEX(Sheet!U$2:U$7967,$A96)="","",INDEX(Sheet!U$2:U$7967,$A96)))</f>
        <v/>
      </c>
      <c r="P96" s="33" t="str">
        <f ca="1">IF($A96="","",IF(INDEX(Sheet!W$2:W$7967,$A96)="","",INDEX(Sheet!W$2:W$7967,$A96)))</f>
        <v/>
      </c>
      <c r="Q96" s="33" t="str">
        <f ca="1">IF($A96="","",IF(INDEX(Sheet!V$2:V$7967,$A96)="","",INDEX(Sheet!V$2:V$7967,$A96)))</f>
        <v/>
      </c>
      <c r="R96" s="33" t="str">
        <f ca="1">IF($A96="","",IF(INDEX(Sheet!Z$2:Z$7967,$A96)="","",INDEX(Sheet!Z$2:Z$7967,$A96)))</f>
        <v/>
      </c>
      <c r="S96" s="33" t="str">
        <f ca="1">IF($A96="","",IF(INDEX(Sheet!Y$2:Y$7967,$A96)="","",INDEX(Sheet!Y$2:Y$7967,$A96)))</f>
        <v/>
      </c>
      <c r="T96" s="33" t="str">
        <f ca="1">IF($A96="","",IF(INDEX(Sheet!X$2:X$7967,$A96)="","",INDEX(Sheet!X$2:X$7967,$A96)))</f>
        <v/>
      </c>
      <c r="U96" s="33" t="str">
        <f ca="1">IF($A96="","",IF(INDEX(Sheet!AA$2:AA$7967,$A96)="","",INDEX(Sheet!AA$2:AA$7967,$A96)))</f>
        <v/>
      </c>
      <c r="V96" s="33" t="str">
        <f ca="1">IF($A96="","",IF(INDEX(Sheet!AB$2:AB$7967,$A96)="","",INDEX(Sheet!AB$2:AB$7967,$A96)))</f>
        <v/>
      </c>
      <c r="W96" s="33" t="str">
        <f ca="1">IF($A96="","",IF(INDEX(Sheet!AH$2:AH$7967,$A96)="","",INDEX(Sheet!AH$2:AH$7967,$A96)))</f>
        <v/>
      </c>
      <c r="X96" s="33" t="str">
        <f ca="1">IF($A96="","",IF(INDEX(Sheet!AC$2:AC$7967,$A96)="","",INDEX(Sheet!AC$2:AC$7967,$A96)))</f>
        <v/>
      </c>
      <c r="Y96" s="33" t="str">
        <f ca="1">IF($A96="","",IF(INDEX(Sheet!AD$2:AD$7967,$A96)="","",INDEX(Sheet!AD$2:AD$7967,$A96)))</f>
        <v/>
      </c>
      <c r="Z96" s="33" t="str">
        <f ca="1">IF($A96="","",IF(INDEX(Sheet!AL$2:AL$7967,$A96)="","",INDEX(Sheet!AL$2:AL$7967,$A96)))</f>
        <v/>
      </c>
      <c r="AA96" s="33" t="str">
        <f ca="1">IF($A96="","",IF(INDEX(Sheet!AE$2:AE$7967,$A96)="","",INDEX(Sheet!AE$2:AE$7967,$A96)))</f>
        <v/>
      </c>
      <c r="AB96" s="33" t="str">
        <f ca="1">IF($A96="","",IF(INDEX(Sheet!AF$2:AF$7967,$A96)="","",INDEX(Sheet!AF$2:AF$7967,$A96)))</f>
        <v/>
      </c>
      <c r="AC96" s="33" t="str">
        <f ca="1">IF($A96="","",IF(INDEX(Sheet!AG$2:AG$7967,$A96)="","",INDEX(Sheet!AG$2:AG$7967,$A96)))</f>
        <v/>
      </c>
      <c r="AD96" s="33" t="str">
        <f ca="1">IF($A96="","",IF(INDEX(Sheet!AM$2:AM$7967,$A96)="","",INDEX(Sheet!AM$2:AM$7967,$A96)))</f>
        <v/>
      </c>
      <c r="AE96" s="33" t="str">
        <f ca="1">IF($A96="","",IF(INDEX(Sheet!AJ$2:AJ$7967,$A96)="","",INDEX(Sheet!AJ$2:AJ$7967,$A96)))</f>
        <v/>
      </c>
      <c r="AF96" s="33" t="str">
        <f ca="1">IF($A96="","",IF(INDEX(Sheet!AI$2:AI$7967,$A96)="","",INDEX(Sheet!AI$2:AI$7967,$A96)))</f>
        <v/>
      </c>
      <c r="AG96" s="33" t="str">
        <f ca="1">IF(D96="duyệt sản xuất"," Bảo Bảo, Ngày "&amp;DAY($J$4)&amp;" Tháng "&amp;MONTH($J$4)&amp;" Năm "&amp;YEAR($J$4),IF(D96="Phê duyệt","NGƯỜI LẬP",IF(D96="Nguyễn Ngọc Thắng","NGUYỄN THỊ MAI",IF($A96="","",INDEX(Sheet!AK$2:AK$7967,$A96)))))</f>
        <v/>
      </c>
      <c r="AH96" s="58" t="str">
        <f ca="1">IF($A96="","",INDEX(Sheet!AR$2:AR$7967,$A96)&amp;" ; "&amp;INDEX(Sheet!M$2:M$7967,$A96))</f>
        <v/>
      </c>
      <c r="AI96" s="1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G96" s="35" t="str">
        <f ca="1">IFERROR(VALUE(separ(INDEX(Sheet!Q$2:Q$7967,$A96),"-",1)),"")</f>
        <v/>
      </c>
      <c r="BH96" s="35" t="str">
        <f ca="1">IFERROR(VALUE(separ(INDEX(Sheet!R$2:R$7967,$A96),"-",1)),"")</f>
        <v/>
      </c>
      <c r="BI96" s="35" t="str">
        <f ca="1">IFERROR(VALUE(separ(INDEX(Sheet!S$2:S$7967,$A96),"-",1)),"")</f>
        <v/>
      </c>
      <c r="BJ96" s="35" t="str">
        <f ca="1">IFERROR(VALUE(separ(INDEX(Sheet!T$2:T$7967,$A96),"-",1)),"")</f>
        <v/>
      </c>
      <c r="BK96" s="35" t="str">
        <f ca="1">IFERROR(VALUE(separ(INDEX(Sheet!U$2:U$7967,$A96),"-",1)),"")</f>
        <v/>
      </c>
      <c r="BL96" s="35" t="str">
        <f ca="1">IFERROR(VALUE(separ(INDEX(Sheet!V$2:V$7967,$A96),"-",1)),"")</f>
        <v/>
      </c>
      <c r="BM96" s="35" t="str">
        <f ca="1">IFERROR(VALUE(separ(INDEX(Sheet!W$2:W$7967,$A96),"-",1)),"")</f>
        <v/>
      </c>
      <c r="BN96" s="35" t="str">
        <f ca="1">IFERROR(VALUE(separ(INDEX(Sheet!X$2:X$7967,$A96),"-",1)),"")</f>
        <v/>
      </c>
      <c r="BO96" s="35" t="str">
        <f ca="1">IFERROR(VALUE(separ(INDEX(Sheet!Y$2:Y$7967,$A96),"-",1)),"")</f>
        <v/>
      </c>
      <c r="BP96" s="35" t="str">
        <f ca="1">IFERROR(VALUE(separ(INDEX(Sheet!Z$2:Z$7967,$A96),"-",1)),"")</f>
        <v/>
      </c>
      <c r="BQ96" s="35" t="str">
        <f ca="1">IFERROR(VALUE(separ(INDEX(Sheet!AA$2:AA$7967,$A96),"-",1)),"")</f>
        <v/>
      </c>
      <c r="BR96" s="35" t="str">
        <f ca="1">IFERROR(VALUE(separ(INDEX(Sheet!AB$2:AB$7967,$A96),"-",1)),"")</f>
        <v/>
      </c>
      <c r="BS96" s="35" t="str">
        <f ca="1">IFERROR(VALUE(separ(INDEX(Sheet!AC$2:AC$7967,$A96),"-",1)),"")</f>
        <v/>
      </c>
      <c r="BT96" s="35" t="str">
        <f ca="1">IFERROR(VALUE(separ(INDEX(Sheet!AD$2:AD$7967,$A96),"-",1)),"")</f>
        <v/>
      </c>
      <c r="BU96" s="35" t="str">
        <f ca="1">IFERROR(VALUE(separ(INDEX(Sheet!AE$2:AE$7967,$A96),"-",1)),"")</f>
        <v/>
      </c>
      <c r="BV96" s="35"/>
      <c r="BW96" s="35" t="str">
        <f ca="1">IFERROR((separ(INDEX(Sheet!Q$2:Q$7967,$A96),"-",2)),"")</f>
        <v/>
      </c>
      <c r="BX96" s="35" t="str">
        <f ca="1">IFERROR((separ(INDEX(Sheet!R$2:R$7967,$A96),"-",2)),"")</f>
        <v/>
      </c>
      <c r="BY96" s="35" t="str">
        <f ca="1">IFERROR((separ(INDEX(Sheet!S$2:S$7967,$A96),"-",2)),"")</f>
        <v/>
      </c>
      <c r="BZ96" s="35" t="str">
        <f ca="1">IFERROR((separ(INDEX(Sheet!T$2:T$7967,$A96),"-",2)),"")</f>
        <v/>
      </c>
      <c r="CA96" s="35" t="str">
        <f ca="1">IFERROR((separ(INDEX(Sheet!U$2:U$7967,$A96),"-",2)),"")</f>
        <v/>
      </c>
      <c r="CB96" s="35" t="str">
        <f ca="1">IFERROR((separ(INDEX(Sheet!V$2:V$7967,$A96),"-",2)),"")</f>
        <v/>
      </c>
      <c r="CC96" s="35" t="str">
        <f ca="1">IFERROR((separ(INDEX(Sheet!W$2:W$7967,$A96),"-",2)),"")</f>
        <v/>
      </c>
      <c r="CD96" s="35" t="str">
        <f ca="1">IFERROR((separ(INDEX(Sheet!X$2:X$7967,$A96),"-",2)),"")</f>
        <v/>
      </c>
      <c r="CE96" s="35" t="str">
        <f ca="1">IFERROR((separ(INDEX(Sheet!Y$2:Y$7967,$A96),"-",2)),"")</f>
        <v/>
      </c>
      <c r="CF96" s="35" t="str">
        <f ca="1">IFERROR((separ(INDEX(Sheet!Z$2:Z$7967,$A96),"-",2)),"")</f>
        <v/>
      </c>
      <c r="CG96" s="35" t="str">
        <f ca="1">IFERROR((separ(INDEX(Sheet!AA$2:AA$7967,$A96),"-",2)),"")</f>
        <v/>
      </c>
      <c r="CH96" s="35" t="str">
        <f ca="1">IFERROR((separ(INDEX(Sheet!AB$2:AB$7967,$A96),"-",2)),"")</f>
        <v/>
      </c>
      <c r="CI96" s="35" t="str">
        <f ca="1">IFERROR((separ(INDEX(Sheet!AC$2:AC$7967,$A96),"-",2)),"")</f>
        <v/>
      </c>
      <c r="CJ96" s="35" t="str">
        <f ca="1">IFERROR((separ(INDEX(Sheet!AD$2:AD$7967,$A96),"-",2)),"")</f>
        <v/>
      </c>
      <c r="CK96" s="35" t="str">
        <f ca="1">IFERROR((separ(INDEX(Sheet!AE$2:AE$7967,$A96),"-",2)),"")</f>
        <v/>
      </c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</row>
    <row r="97" spans="1:104" s="29" customFormat="1">
      <c r="A97" s="45" t="str">
        <f ca="1">IFERROR(MATCH($B$3,OFFSET(Sheet!$D$2,A96,0):'Sheet'!$D$7657,0)+A96,"")</f>
        <v/>
      </c>
      <c r="B97" s="29" t="str">
        <f ca="1">IF(ROW(A90)&lt;=COUNT($A$6:$A$800),INDEX(Sheet!$A$2:$A$7967,$A97),IF(ROW(A90)=COUNT($A$6:$A$800)+1," ",IF(ROW(A90)=COUNT($A$6:$A$800)+2,"  ","")))</f>
        <v/>
      </c>
      <c r="C97" s="67" t="str">
        <f ca="1">IF($A97="","",INDEX(Sheet!E$2:E$7967,$A97))</f>
        <v/>
      </c>
      <c r="D97" s="31" t="str">
        <f ca="1">IF(B94=" ",$AR$1,IF(B97=" ",$AQ$1,IF(A97="","",INDEX(Sheet!G$2:G$7967,$A97))))</f>
        <v/>
      </c>
      <c r="E97" s="32" t="str">
        <f ca="1">IF($A97="","",TEXT(INDEX(Sheet!J$2:J$7967,$A97),"#,#")&amp;" "&amp;INDEX(Sheet!AT$2:AT$7967,$A97))</f>
        <v/>
      </c>
      <c r="F97" s="53" t="str">
        <f ca="1">IF($A97="","",INDEX(Sheet!F$2:F$7967,$A97))</f>
        <v/>
      </c>
      <c r="G97" s="32" t="str">
        <f ca="1">IF($A97="","",INDEX(Sheet!I$2:I$7967,$A97))</f>
        <v/>
      </c>
      <c r="H97" s="32" t="str">
        <f ca="1">IF($A97="","",INDEX(Sheet!L$2:L$7967,$A97))</f>
        <v/>
      </c>
      <c r="I97" s="32" t="str">
        <f ca="1">IF($A97="","",INDEX(Sheet!N$2:N$7967,$A97))</f>
        <v/>
      </c>
      <c r="J97" s="53" t="str">
        <f ca="1">IF($A97="","",INDEX(Sheet!AS$2:AS$7967,$A97))</f>
        <v/>
      </c>
      <c r="K97" s="33" t="str">
        <f ca="1">IF($A97="","",IF(INDEX(Sheet!S$2:S$7967,$A97)="","",INDEX(Sheet!S$2:S$7967,$A97)))</f>
        <v/>
      </c>
      <c r="L97" s="33" t="str">
        <f ca="1">IF($A97="","",IF(INDEX(Sheet!R$2:R$7967,$A97)="","",INDEX(Sheet!R$2:R$7967,$A97)))</f>
        <v/>
      </c>
      <c r="M97" s="33" t="str">
        <f ca="1">IF($A97="","",IF(INDEX(Sheet!AO$2:AO$7967,$A97)="","",INDEX(Sheet!AO$2:AO$7967,$A97)))</f>
        <v/>
      </c>
      <c r="N97" s="33" t="str">
        <f ca="1">IF($A97="","",IF(INDEX(Sheet!T$2:T$7967,$A97)="","",INDEX(Sheet!T$2:T$7967,$A97)))</f>
        <v/>
      </c>
      <c r="O97" s="33" t="str">
        <f ca="1">IF($A97="","",IF(INDEX(Sheet!U$2:U$7967,$A97)="","",INDEX(Sheet!U$2:U$7967,$A97)))</f>
        <v/>
      </c>
      <c r="P97" s="33" t="str">
        <f ca="1">IF($A97="","",IF(INDEX(Sheet!W$2:W$7967,$A97)="","",INDEX(Sheet!W$2:W$7967,$A97)))</f>
        <v/>
      </c>
      <c r="Q97" s="33" t="str">
        <f ca="1">IF($A97="","",IF(INDEX(Sheet!V$2:V$7967,$A97)="","",INDEX(Sheet!V$2:V$7967,$A97)))</f>
        <v/>
      </c>
      <c r="R97" s="33" t="str">
        <f ca="1">IF($A97="","",IF(INDEX(Sheet!Z$2:Z$7967,$A97)="","",INDEX(Sheet!Z$2:Z$7967,$A97)))</f>
        <v/>
      </c>
      <c r="S97" s="33" t="str">
        <f ca="1">IF($A97="","",IF(INDEX(Sheet!Y$2:Y$7967,$A97)="","",INDEX(Sheet!Y$2:Y$7967,$A97)))</f>
        <v/>
      </c>
      <c r="T97" s="33" t="str">
        <f ca="1">IF($A97="","",IF(INDEX(Sheet!X$2:X$7967,$A97)="","",INDEX(Sheet!X$2:X$7967,$A97)))</f>
        <v/>
      </c>
      <c r="U97" s="33" t="str">
        <f ca="1">IF($A97="","",IF(INDEX(Sheet!AA$2:AA$7967,$A97)="","",INDEX(Sheet!AA$2:AA$7967,$A97)))</f>
        <v/>
      </c>
      <c r="V97" s="33" t="str">
        <f ca="1">IF($A97="","",IF(INDEX(Sheet!AB$2:AB$7967,$A97)="","",INDEX(Sheet!AB$2:AB$7967,$A97)))</f>
        <v/>
      </c>
      <c r="W97" s="33" t="str">
        <f ca="1">IF($A97="","",IF(INDEX(Sheet!AH$2:AH$7967,$A97)="","",INDEX(Sheet!AH$2:AH$7967,$A97)))</f>
        <v/>
      </c>
      <c r="X97" s="33" t="str">
        <f ca="1">IF($A97="","",IF(INDEX(Sheet!AC$2:AC$7967,$A97)="","",INDEX(Sheet!AC$2:AC$7967,$A97)))</f>
        <v/>
      </c>
      <c r="Y97" s="33" t="str">
        <f ca="1">IF($A97="","",IF(INDEX(Sheet!AD$2:AD$7967,$A97)="","",INDEX(Sheet!AD$2:AD$7967,$A97)))</f>
        <v/>
      </c>
      <c r="Z97" s="33" t="str">
        <f ca="1">IF($A97="","",IF(INDEX(Sheet!AL$2:AL$7967,$A97)="","",INDEX(Sheet!AL$2:AL$7967,$A97)))</f>
        <v/>
      </c>
      <c r="AA97" s="33" t="str">
        <f ca="1">IF($A97="","",IF(INDEX(Sheet!AE$2:AE$7967,$A97)="","",INDEX(Sheet!AE$2:AE$7967,$A97)))</f>
        <v/>
      </c>
      <c r="AB97" s="33" t="str">
        <f ca="1">IF($A97="","",IF(INDEX(Sheet!AF$2:AF$7967,$A97)="","",INDEX(Sheet!AF$2:AF$7967,$A97)))</f>
        <v/>
      </c>
      <c r="AC97" s="33" t="str">
        <f ca="1">IF($A97="","",IF(INDEX(Sheet!AG$2:AG$7967,$A97)="","",INDEX(Sheet!AG$2:AG$7967,$A97)))</f>
        <v/>
      </c>
      <c r="AD97" s="33" t="str">
        <f ca="1">IF($A97="","",IF(INDEX(Sheet!AM$2:AM$7967,$A97)="","",INDEX(Sheet!AM$2:AM$7967,$A97)))</f>
        <v/>
      </c>
      <c r="AE97" s="33" t="str">
        <f ca="1">IF($A97="","",IF(INDEX(Sheet!AJ$2:AJ$7967,$A97)="","",INDEX(Sheet!AJ$2:AJ$7967,$A97)))</f>
        <v/>
      </c>
      <c r="AF97" s="33" t="str">
        <f ca="1">IF($A97="","",IF(INDEX(Sheet!AI$2:AI$7967,$A97)="","",INDEX(Sheet!AI$2:AI$7967,$A97)))</f>
        <v/>
      </c>
      <c r="AG97" s="33" t="str">
        <f ca="1">IF(D97="duyệt sản xuất"," Bảo Bảo, Ngày "&amp;DAY($J$4)&amp;" Tháng "&amp;MONTH($J$4)&amp;" Năm "&amp;YEAR($J$4),IF(D97="Phê duyệt","NGƯỜI LẬP",IF(D97="Nguyễn Ngọc Thắng","NGUYỄN THỊ MAI",IF($A97="","",INDEX(Sheet!AK$2:AK$7967,$A97)))))</f>
        <v/>
      </c>
      <c r="AH97" s="58" t="str">
        <f ca="1">IF($A97="","",INDEX(Sheet!AR$2:AR$7967,$A97)&amp;" ; "&amp;INDEX(Sheet!M$2:M$7967,$A97))</f>
        <v/>
      </c>
      <c r="AI97" s="1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G97" s="35" t="str">
        <f ca="1">IFERROR(VALUE(separ(INDEX(Sheet!Q$2:Q$7967,$A97),"-",1)),"")</f>
        <v/>
      </c>
      <c r="BH97" s="35" t="str">
        <f ca="1">IFERROR(VALUE(separ(INDEX(Sheet!R$2:R$7967,$A97),"-",1)),"")</f>
        <v/>
      </c>
      <c r="BI97" s="35" t="str">
        <f ca="1">IFERROR(VALUE(separ(INDEX(Sheet!S$2:S$7967,$A97),"-",1)),"")</f>
        <v/>
      </c>
      <c r="BJ97" s="35" t="str">
        <f ca="1">IFERROR(VALUE(separ(INDEX(Sheet!T$2:T$7967,$A97),"-",1)),"")</f>
        <v/>
      </c>
      <c r="BK97" s="35" t="str">
        <f ca="1">IFERROR(VALUE(separ(INDEX(Sheet!U$2:U$7967,$A97),"-",1)),"")</f>
        <v/>
      </c>
      <c r="BL97" s="35" t="str">
        <f ca="1">IFERROR(VALUE(separ(INDEX(Sheet!V$2:V$7967,$A97),"-",1)),"")</f>
        <v/>
      </c>
      <c r="BM97" s="35" t="str">
        <f ca="1">IFERROR(VALUE(separ(INDEX(Sheet!W$2:W$7967,$A97),"-",1)),"")</f>
        <v/>
      </c>
      <c r="BN97" s="35" t="str">
        <f ca="1">IFERROR(VALUE(separ(INDEX(Sheet!X$2:X$7967,$A97),"-",1)),"")</f>
        <v/>
      </c>
      <c r="BO97" s="35" t="str">
        <f ca="1">IFERROR(VALUE(separ(INDEX(Sheet!Y$2:Y$7967,$A97),"-",1)),"")</f>
        <v/>
      </c>
      <c r="BP97" s="35" t="str">
        <f ca="1">IFERROR(VALUE(separ(INDEX(Sheet!Z$2:Z$7967,$A97),"-",1)),"")</f>
        <v/>
      </c>
      <c r="BQ97" s="35" t="str">
        <f ca="1">IFERROR(VALUE(separ(INDEX(Sheet!AA$2:AA$7967,$A97),"-",1)),"")</f>
        <v/>
      </c>
      <c r="BR97" s="35" t="str">
        <f ca="1">IFERROR(VALUE(separ(INDEX(Sheet!AB$2:AB$7967,$A97),"-",1)),"")</f>
        <v/>
      </c>
      <c r="BS97" s="35" t="str">
        <f ca="1">IFERROR(VALUE(separ(INDEX(Sheet!AC$2:AC$7967,$A97),"-",1)),"")</f>
        <v/>
      </c>
      <c r="BT97" s="35" t="str">
        <f ca="1">IFERROR(VALUE(separ(INDEX(Sheet!AD$2:AD$7967,$A97),"-",1)),"")</f>
        <v/>
      </c>
      <c r="BU97" s="35" t="str">
        <f ca="1">IFERROR(VALUE(separ(INDEX(Sheet!AE$2:AE$7967,$A97),"-",1)),"")</f>
        <v/>
      </c>
      <c r="BV97" s="35"/>
      <c r="BW97" s="35" t="str">
        <f ca="1">IFERROR((separ(INDEX(Sheet!Q$2:Q$7967,$A97),"-",2)),"")</f>
        <v/>
      </c>
      <c r="BX97" s="35" t="str">
        <f ca="1">IFERROR((separ(INDEX(Sheet!R$2:R$7967,$A97),"-",2)),"")</f>
        <v/>
      </c>
      <c r="BY97" s="35" t="str">
        <f ca="1">IFERROR((separ(INDEX(Sheet!S$2:S$7967,$A97),"-",2)),"")</f>
        <v/>
      </c>
      <c r="BZ97" s="35" t="str">
        <f ca="1">IFERROR((separ(INDEX(Sheet!T$2:T$7967,$A97),"-",2)),"")</f>
        <v/>
      </c>
      <c r="CA97" s="35" t="str">
        <f ca="1">IFERROR((separ(INDEX(Sheet!U$2:U$7967,$A97),"-",2)),"")</f>
        <v/>
      </c>
      <c r="CB97" s="35" t="str">
        <f ca="1">IFERROR((separ(INDEX(Sheet!V$2:V$7967,$A97),"-",2)),"")</f>
        <v/>
      </c>
      <c r="CC97" s="35" t="str">
        <f ca="1">IFERROR((separ(INDEX(Sheet!W$2:W$7967,$A97),"-",2)),"")</f>
        <v/>
      </c>
      <c r="CD97" s="35" t="str">
        <f ca="1">IFERROR((separ(INDEX(Sheet!X$2:X$7967,$A97),"-",2)),"")</f>
        <v/>
      </c>
      <c r="CE97" s="35" t="str">
        <f ca="1">IFERROR((separ(INDEX(Sheet!Y$2:Y$7967,$A97),"-",2)),"")</f>
        <v/>
      </c>
      <c r="CF97" s="35" t="str">
        <f ca="1">IFERROR((separ(INDEX(Sheet!Z$2:Z$7967,$A97),"-",2)),"")</f>
        <v/>
      </c>
      <c r="CG97" s="35" t="str">
        <f ca="1">IFERROR((separ(INDEX(Sheet!AA$2:AA$7967,$A97),"-",2)),"")</f>
        <v/>
      </c>
      <c r="CH97" s="35" t="str">
        <f ca="1">IFERROR((separ(INDEX(Sheet!AB$2:AB$7967,$A97),"-",2)),"")</f>
        <v/>
      </c>
      <c r="CI97" s="35" t="str">
        <f ca="1">IFERROR((separ(INDEX(Sheet!AC$2:AC$7967,$A97),"-",2)),"")</f>
        <v/>
      </c>
      <c r="CJ97" s="35" t="str">
        <f ca="1">IFERROR((separ(INDEX(Sheet!AD$2:AD$7967,$A97),"-",2)),"")</f>
        <v/>
      </c>
      <c r="CK97" s="35" t="str">
        <f ca="1">IFERROR((separ(INDEX(Sheet!AE$2:AE$7967,$A97),"-",2)),"")</f>
        <v/>
      </c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</row>
    <row r="98" spans="1:104" s="29" customFormat="1">
      <c r="A98" s="45" t="str">
        <f ca="1">IFERROR(MATCH($B$3,OFFSET(Sheet!$D$2,A97,0):'Sheet'!$D$7657,0)+A97,"")</f>
        <v/>
      </c>
      <c r="B98" s="29" t="str">
        <f ca="1">IF(ROW(A91)&lt;=COUNT($A$6:$A$800),INDEX(Sheet!$A$2:$A$7967,$A98),IF(ROW(A91)=COUNT($A$6:$A$800)+1," ",IF(ROW(A91)=COUNT($A$6:$A$800)+2,"  ","")))</f>
        <v/>
      </c>
      <c r="C98" s="67" t="str">
        <f ca="1">IF($A98="","",INDEX(Sheet!E$2:E$7967,$A98))</f>
        <v/>
      </c>
      <c r="D98" s="31" t="str">
        <f ca="1">IF(B95=" ",$AR$1,IF(B98=" ",$AQ$1,IF(A98="","",INDEX(Sheet!G$2:G$7967,$A98))))</f>
        <v/>
      </c>
      <c r="E98" s="32" t="str">
        <f ca="1">IF($A98="","",TEXT(INDEX(Sheet!J$2:J$7967,$A98),"#,#")&amp;" "&amp;INDEX(Sheet!AT$2:AT$7967,$A98))</f>
        <v/>
      </c>
      <c r="F98" s="53" t="str">
        <f ca="1">IF($A98="","",INDEX(Sheet!F$2:F$7967,$A98))</f>
        <v/>
      </c>
      <c r="G98" s="32" t="str">
        <f ca="1">IF($A98="","",INDEX(Sheet!I$2:I$7967,$A98))</f>
        <v/>
      </c>
      <c r="H98" s="32" t="str">
        <f ca="1">IF($A98="","",INDEX(Sheet!L$2:L$7967,$A98))</f>
        <v/>
      </c>
      <c r="I98" s="32" t="str">
        <f ca="1">IF($A98="","",INDEX(Sheet!N$2:N$7967,$A98))</f>
        <v/>
      </c>
      <c r="J98" s="53" t="str">
        <f ca="1">IF($A98="","",INDEX(Sheet!AS$2:AS$7967,$A98))</f>
        <v/>
      </c>
      <c r="K98" s="33" t="str">
        <f ca="1">IF($A98="","",IF(INDEX(Sheet!S$2:S$7967,$A98)="","",INDEX(Sheet!S$2:S$7967,$A98)))</f>
        <v/>
      </c>
      <c r="L98" s="33" t="str">
        <f ca="1">IF($A98="","",IF(INDEX(Sheet!R$2:R$7967,$A98)="","",INDEX(Sheet!R$2:R$7967,$A98)))</f>
        <v/>
      </c>
      <c r="M98" s="33" t="str">
        <f ca="1">IF($A98="","",IF(INDEX(Sheet!AO$2:AO$7967,$A98)="","",INDEX(Sheet!AO$2:AO$7967,$A98)))</f>
        <v/>
      </c>
      <c r="N98" s="33" t="str">
        <f ca="1">IF($A98="","",IF(INDEX(Sheet!T$2:T$7967,$A98)="","",INDEX(Sheet!T$2:T$7967,$A98)))</f>
        <v/>
      </c>
      <c r="O98" s="33" t="str">
        <f ca="1">IF($A98="","",IF(INDEX(Sheet!U$2:U$7967,$A98)="","",INDEX(Sheet!U$2:U$7967,$A98)))</f>
        <v/>
      </c>
      <c r="P98" s="33" t="str">
        <f ca="1">IF($A98="","",IF(INDEX(Sheet!W$2:W$7967,$A98)="","",INDEX(Sheet!W$2:W$7967,$A98)))</f>
        <v/>
      </c>
      <c r="Q98" s="33" t="str">
        <f ca="1">IF($A98="","",IF(INDEX(Sheet!V$2:V$7967,$A98)="","",INDEX(Sheet!V$2:V$7967,$A98)))</f>
        <v/>
      </c>
      <c r="R98" s="33" t="str">
        <f ca="1">IF($A98="","",IF(INDEX(Sheet!Z$2:Z$7967,$A98)="","",INDEX(Sheet!Z$2:Z$7967,$A98)))</f>
        <v/>
      </c>
      <c r="S98" s="33" t="str">
        <f ca="1">IF($A98="","",IF(INDEX(Sheet!Y$2:Y$7967,$A98)="","",INDEX(Sheet!Y$2:Y$7967,$A98)))</f>
        <v/>
      </c>
      <c r="T98" s="33" t="str">
        <f ca="1">IF($A98="","",IF(INDEX(Sheet!X$2:X$7967,$A98)="","",INDEX(Sheet!X$2:X$7967,$A98)))</f>
        <v/>
      </c>
      <c r="U98" s="33" t="str">
        <f ca="1">IF($A98="","",IF(INDEX(Sheet!AA$2:AA$7967,$A98)="","",INDEX(Sheet!AA$2:AA$7967,$A98)))</f>
        <v/>
      </c>
      <c r="V98" s="33" t="str">
        <f ca="1">IF($A98="","",IF(INDEX(Sheet!AB$2:AB$7967,$A98)="","",INDEX(Sheet!AB$2:AB$7967,$A98)))</f>
        <v/>
      </c>
      <c r="W98" s="33" t="str">
        <f ca="1">IF($A98="","",IF(INDEX(Sheet!AH$2:AH$7967,$A98)="","",INDEX(Sheet!AH$2:AH$7967,$A98)))</f>
        <v/>
      </c>
      <c r="X98" s="33" t="str">
        <f ca="1">IF($A98="","",IF(INDEX(Sheet!AC$2:AC$7967,$A98)="","",INDEX(Sheet!AC$2:AC$7967,$A98)))</f>
        <v/>
      </c>
      <c r="Y98" s="33" t="str">
        <f ca="1">IF($A98="","",IF(INDEX(Sheet!AD$2:AD$7967,$A98)="","",INDEX(Sheet!AD$2:AD$7967,$A98)))</f>
        <v/>
      </c>
      <c r="Z98" s="33" t="str">
        <f ca="1">IF($A98="","",IF(INDEX(Sheet!AL$2:AL$7967,$A98)="","",INDEX(Sheet!AL$2:AL$7967,$A98)))</f>
        <v/>
      </c>
      <c r="AA98" s="33" t="str">
        <f ca="1">IF($A98="","",IF(INDEX(Sheet!AE$2:AE$7967,$A98)="","",INDEX(Sheet!AE$2:AE$7967,$A98)))</f>
        <v/>
      </c>
      <c r="AB98" s="33" t="str">
        <f ca="1">IF($A98="","",IF(INDEX(Sheet!AF$2:AF$7967,$A98)="","",INDEX(Sheet!AF$2:AF$7967,$A98)))</f>
        <v/>
      </c>
      <c r="AC98" s="33" t="str">
        <f ca="1">IF($A98="","",IF(INDEX(Sheet!AG$2:AG$7967,$A98)="","",INDEX(Sheet!AG$2:AG$7967,$A98)))</f>
        <v/>
      </c>
      <c r="AD98" s="33" t="str">
        <f ca="1">IF($A98="","",IF(INDEX(Sheet!AM$2:AM$7967,$A98)="","",INDEX(Sheet!AM$2:AM$7967,$A98)))</f>
        <v/>
      </c>
      <c r="AE98" s="33" t="str">
        <f ca="1">IF($A98="","",IF(INDEX(Sheet!AJ$2:AJ$7967,$A98)="","",INDEX(Sheet!AJ$2:AJ$7967,$A98)))</f>
        <v/>
      </c>
      <c r="AF98" s="33" t="str">
        <f ca="1">IF($A98="","",IF(INDEX(Sheet!AI$2:AI$7967,$A98)="","",INDEX(Sheet!AI$2:AI$7967,$A98)))</f>
        <v/>
      </c>
      <c r="AG98" s="33" t="str">
        <f ca="1">IF(D98="duyệt sản xuất"," Bảo Bảo, Ngày "&amp;DAY($J$4)&amp;" Tháng "&amp;MONTH($J$4)&amp;" Năm "&amp;YEAR($J$4),IF(D98="Phê duyệt","NGƯỜI LẬP",IF(D98="Nguyễn Ngọc Thắng","NGUYỄN THỊ MAI",IF($A98="","",INDEX(Sheet!AK$2:AK$7967,$A98)))))</f>
        <v/>
      </c>
      <c r="AH98" s="58" t="str">
        <f ca="1">IF($A98="","",INDEX(Sheet!AR$2:AR$7967,$A98)&amp;" ; "&amp;INDEX(Sheet!M$2:M$7967,$A98))</f>
        <v/>
      </c>
      <c r="AI98" s="1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G98" s="35" t="str">
        <f ca="1">IFERROR(VALUE(separ(INDEX(Sheet!Q$2:Q$7967,$A98),"-",1)),"")</f>
        <v/>
      </c>
      <c r="BH98" s="35" t="str">
        <f ca="1">IFERROR(VALUE(separ(INDEX(Sheet!R$2:R$7967,$A98),"-",1)),"")</f>
        <v/>
      </c>
      <c r="BI98" s="35" t="str">
        <f ca="1">IFERROR(VALUE(separ(INDEX(Sheet!S$2:S$7967,$A98),"-",1)),"")</f>
        <v/>
      </c>
      <c r="BJ98" s="35" t="str">
        <f ca="1">IFERROR(VALUE(separ(INDEX(Sheet!T$2:T$7967,$A98),"-",1)),"")</f>
        <v/>
      </c>
      <c r="BK98" s="35" t="str">
        <f ca="1">IFERROR(VALUE(separ(INDEX(Sheet!U$2:U$7967,$A98),"-",1)),"")</f>
        <v/>
      </c>
      <c r="BL98" s="35" t="str">
        <f ca="1">IFERROR(VALUE(separ(INDEX(Sheet!V$2:V$7967,$A98),"-",1)),"")</f>
        <v/>
      </c>
      <c r="BM98" s="35" t="str">
        <f ca="1">IFERROR(VALUE(separ(INDEX(Sheet!W$2:W$7967,$A98),"-",1)),"")</f>
        <v/>
      </c>
      <c r="BN98" s="35" t="str">
        <f ca="1">IFERROR(VALUE(separ(INDEX(Sheet!X$2:X$7967,$A98),"-",1)),"")</f>
        <v/>
      </c>
      <c r="BO98" s="35" t="str">
        <f ca="1">IFERROR(VALUE(separ(INDEX(Sheet!Y$2:Y$7967,$A98),"-",1)),"")</f>
        <v/>
      </c>
      <c r="BP98" s="35" t="str">
        <f ca="1">IFERROR(VALUE(separ(INDEX(Sheet!Z$2:Z$7967,$A98),"-",1)),"")</f>
        <v/>
      </c>
      <c r="BQ98" s="35" t="str">
        <f ca="1">IFERROR(VALUE(separ(INDEX(Sheet!AA$2:AA$7967,$A98),"-",1)),"")</f>
        <v/>
      </c>
      <c r="BR98" s="35" t="str">
        <f ca="1">IFERROR(VALUE(separ(INDEX(Sheet!AB$2:AB$7967,$A98),"-",1)),"")</f>
        <v/>
      </c>
      <c r="BS98" s="35" t="str">
        <f ca="1">IFERROR(VALUE(separ(INDEX(Sheet!AC$2:AC$7967,$A98),"-",1)),"")</f>
        <v/>
      </c>
      <c r="BT98" s="35" t="str">
        <f ca="1">IFERROR(VALUE(separ(INDEX(Sheet!AD$2:AD$7967,$A98),"-",1)),"")</f>
        <v/>
      </c>
      <c r="BU98" s="35" t="str">
        <f ca="1">IFERROR(VALUE(separ(INDEX(Sheet!AE$2:AE$7967,$A98),"-",1)),"")</f>
        <v/>
      </c>
      <c r="BV98" s="35"/>
      <c r="BW98" s="35" t="str">
        <f ca="1">IFERROR((separ(INDEX(Sheet!Q$2:Q$7967,$A98),"-",2)),"")</f>
        <v/>
      </c>
      <c r="BX98" s="35" t="str">
        <f ca="1">IFERROR((separ(INDEX(Sheet!R$2:R$7967,$A98),"-",2)),"")</f>
        <v/>
      </c>
      <c r="BY98" s="35" t="str">
        <f ca="1">IFERROR((separ(INDEX(Sheet!S$2:S$7967,$A98),"-",2)),"")</f>
        <v/>
      </c>
      <c r="BZ98" s="35" t="str">
        <f ca="1">IFERROR((separ(INDEX(Sheet!T$2:T$7967,$A98),"-",2)),"")</f>
        <v/>
      </c>
      <c r="CA98" s="35" t="str">
        <f ca="1">IFERROR((separ(INDEX(Sheet!U$2:U$7967,$A98),"-",2)),"")</f>
        <v/>
      </c>
      <c r="CB98" s="35" t="str">
        <f ca="1">IFERROR((separ(INDEX(Sheet!V$2:V$7967,$A98),"-",2)),"")</f>
        <v/>
      </c>
      <c r="CC98" s="35" t="str">
        <f ca="1">IFERROR((separ(INDEX(Sheet!W$2:W$7967,$A98),"-",2)),"")</f>
        <v/>
      </c>
      <c r="CD98" s="35" t="str">
        <f ca="1">IFERROR((separ(INDEX(Sheet!X$2:X$7967,$A98),"-",2)),"")</f>
        <v/>
      </c>
      <c r="CE98" s="35" t="str">
        <f ca="1">IFERROR((separ(INDEX(Sheet!Y$2:Y$7967,$A98),"-",2)),"")</f>
        <v/>
      </c>
      <c r="CF98" s="35" t="str">
        <f ca="1">IFERROR((separ(INDEX(Sheet!Z$2:Z$7967,$A98),"-",2)),"")</f>
        <v/>
      </c>
      <c r="CG98" s="35" t="str">
        <f ca="1">IFERROR((separ(INDEX(Sheet!AA$2:AA$7967,$A98),"-",2)),"")</f>
        <v/>
      </c>
      <c r="CH98" s="35" t="str">
        <f ca="1">IFERROR((separ(INDEX(Sheet!AB$2:AB$7967,$A98),"-",2)),"")</f>
        <v/>
      </c>
      <c r="CI98" s="35" t="str">
        <f ca="1">IFERROR((separ(INDEX(Sheet!AC$2:AC$7967,$A98),"-",2)),"")</f>
        <v/>
      </c>
      <c r="CJ98" s="35" t="str">
        <f ca="1">IFERROR((separ(INDEX(Sheet!AD$2:AD$7967,$A98),"-",2)),"")</f>
        <v/>
      </c>
      <c r="CK98" s="35" t="str">
        <f ca="1">IFERROR((separ(INDEX(Sheet!AE$2:AE$7967,$A98),"-",2)),"")</f>
        <v/>
      </c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</row>
    <row r="99" spans="1:104" s="29" customFormat="1">
      <c r="A99" s="45" t="str">
        <f ca="1">IFERROR(MATCH($B$3,OFFSET(Sheet!$D$2,A98,0):'Sheet'!$D$7657,0)+A98,"")</f>
        <v/>
      </c>
      <c r="B99" s="29" t="str">
        <f ca="1">IF(ROW(A92)&lt;=COUNT($A$6:$A$800),INDEX(Sheet!$A$2:$A$7967,$A99),IF(ROW(A92)=COUNT($A$6:$A$800)+1," ",IF(ROW(A92)=COUNT($A$6:$A$800)+2,"  ","")))</f>
        <v/>
      </c>
      <c r="C99" s="67" t="str">
        <f ca="1">IF($A99="","",INDEX(Sheet!E$2:E$7967,$A99))</f>
        <v/>
      </c>
      <c r="D99" s="31" t="str">
        <f ca="1">IF(B96=" ",$AR$1,IF(B99=" ",$AQ$1,IF(A99="","",INDEX(Sheet!G$2:G$7967,$A99))))</f>
        <v/>
      </c>
      <c r="E99" s="32" t="str">
        <f ca="1">IF($A99="","",TEXT(INDEX(Sheet!J$2:J$7967,$A99),"#,#")&amp;" "&amp;INDEX(Sheet!AT$2:AT$7967,$A99))</f>
        <v/>
      </c>
      <c r="F99" s="53" t="str">
        <f ca="1">IF($A99="","",INDEX(Sheet!F$2:F$7967,$A99))</f>
        <v/>
      </c>
      <c r="G99" s="32" t="str">
        <f ca="1">IF($A99="","",INDEX(Sheet!I$2:I$7967,$A99))</f>
        <v/>
      </c>
      <c r="H99" s="32" t="str">
        <f ca="1">IF($A99="","",INDEX(Sheet!L$2:L$7967,$A99))</f>
        <v/>
      </c>
      <c r="I99" s="32" t="str">
        <f ca="1">IF($A99="","",INDEX(Sheet!N$2:N$7967,$A99))</f>
        <v/>
      </c>
      <c r="J99" s="53" t="str">
        <f ca="1">IF($A99="","",INDEX(Sheet!AS$2:AS$7967,$A99))</f>
        <v/>
      </c>
      <c r="K99" s="33" t="str">
        <f ca="1">IF($A99="","",IF(INDEX(Sheet!S$2:S$7967,$A99)="","",INDEX(Sheet!S$2:S$7967,$A99)))</f>
        <v/>
      </c>
      <c r="L99" s="33" t="str">
        <f ca="1">IF($A99="","",IF(INDEX(Sheet!R$2:R$7967,$A99)="","",INDEX(Sheet!R$2:R$7967,$A99)))</f>
        <v/>
      </c>
      <c r="M99" s="33" t="str">
        <f ca="1">IF($A99="","",IF(INDEX(Sheet!AO$2:AO$7967,$A99)="","",INDEX(Sheet!AO$2:AO$7967,$A99)))</f>
        <v/>
      </c>
      <c r="N99" s="33" t="str">
        <f ca="1">IF($A99="","",IF(INDEX(Sheet!T$2:T$7967,$A99)="","",INDEX(Sheet!T$2:T$7967,$A99)))</f>
        <v/>
      </c>
      <c r="O99" s="33" t="str">
        <f ca="1">IF($A99="","",IF(INDEX(Sheet!U$2:U$7967,$A99)="","",INDEX(Sheet!U$2:U$7967,$A99)))</f>
        <v/>
      </c>
      <c r="P99" s="33" t="str">
        <f ca="1">IF($A99="","",IF(INDEX(Sheet!W$2:W$7967,$A99)="","",INDEX(Sheet!W$2:W$7967,$A99)))</f>
        <v/>
      </c>
      <c r="Q99" s="33" t="str">
        <f ca="1">IF($A99="","",IF(INDEX(Sheet!V$2:V$7967,$A99)="","",INDEX(Sheet!V$2:V$7967,$A99)))</f>
        <v/>
      </c>
      <c r="R99" s="33" t="str">
        <f ca="1">IF($A99="","",IF(INDEX(Sheet!Z$2:Z$7967,$A99)="","",INDEX(Sheet!Z$2:Z$7967,$A99)))</f>
        <v/>
      </c>
      <c r="S99" s="33" t="str">
        <f ca="1">IF($A99="","",IF(INDEX(Sheet!Y$2:Y$7967,$A99)="","",INDEX(Sheet!Y$2:Y$7967,$A99)))</f>
        <v/>
      </c>
      <c r="T99" s="33" t="str">
        <f ca="1">IF($A99="","",IF(INDEX(Sheet!X$2:X$7967,$A99)="","",INDEX(Sheet!X$2:X$7967,$A99)))</f>
        <v/>
      </c>
      <c r="U99" s="33" t="str">
        <f ca="1">IF($A99="","",IF(INDEX(Sheet!AA$2:AA$7967,$A99)="","",INDEX(Sheet!AA$2:AA$7967,$A99)))</f>
        <v/>
      </c>
      <c r="V99" s="33" t="str">
        <f ca="1">IF($A99="","",IF(INDEX(Sheet!AB$2:AB$7967,$A99)="","",INDEX(Sheet!AB$2:AB$7967,$A99)))</f>
        <v/>
      </c>
      <c r="W99" s="33" t="str">
        <f ca="1">IF($A99="","",IF(INDEX(Sheet!AH$2:AH$7967,$A99)="","",INDEX(Sheet!AH$2:AH$7967,$A99)))</f>
        <v/>
      </c>
      <c r="X99" s="33" t="str">
        <f ca="1">IF($A99="","",IF(INDEX(Sheet!AC$2:AC$7967,$A99)="","",INDEX(Sheet!AC$2:AC$7967,$A99)))</f>
        <v/>
      </c>
      <c r="Y99" s="33" t="str">
        <f ca="1">IF($A99="","",IF(INDEX(Sheet!AD$2:AD$7967,$A99)="","",INDEX(Sheet!AD$2:AD$7967,$A99)))</f>
        <v/>
      </c>
      <c r="Z99" s="33" t="str">
        <f ca="1">IF($A99="","",IF(INDEX(Sheet!AL$2:AL$7967,$A99)="","",INDEX(Sheet!AL$2:AL$7967,$A99)))</f>
        <v/>
      </c>
      <c r="AA99" s="33" t="str">
        <f ca="1">IF($A99="","",IF(INDEX(Sheet!AE$2:AE$7967,$A99)="","",INDEX(Sheet!AE$2:AE$7967,$A99)))</f>
        <v/>
      </c>
      <c r="AB99" s="33" t="str">
        <f ca="1">IF($A99="","",IF(INDEX(Sheet!AF$2:AF$7967,$A99)="","",INDEX(Sheet!AF$2:AF$7967,$A99)))</f>
        <v/>
      </c>
      <c r="AC99" s="33" t="str">
        <f ca="1">IF($A99="","",IF(INDEX(Sheet!AG$2:AG$7967,$A99)="","",INDEX(Sheet!AG$2:AG$7967,$A99)))</f>
        <v/>
      </c>
      <c r="AD99" s="33" t="str">
        <f ca="1">IF($A99="","",IF(INDEX(Sheet!AM$2:AM$7967,$A99)="","",INDEX(Sheet!AM$2:AM$7967,$A99)))</f>
        <v/>
      </c>
      <c r="AE99" s="33" t="str">
        <f ca="1">IF($A99="","",IF(INDEX(Sheet!AJ$2:AJ$7967,$A99)="","",INDEX(Sheet!AJ$2:AJ$7967,$A99)))</f>
        <v/>
      </c>
      <c r="AF99" s="33" t="str">
        <f ca="1">IF($A99="","",IF(INDEX(Sheet!AI$2:AI$7967,$A99)="","",INDEX(Sheet!AI$2:AI$7967,$A99)))</f>
        <v/>
      </c>
      <c r="AG99" s="33" t="str">
        <f ca="1">IF(D99="duyệt sản xuất"," Bảo Bảo, Ngày "&amp;DAY($J$4)&amp;" Tháng "&amp;MONTH($J$4)&amp;" Năm "&amp;YEAR($J$4),IF(D99="Phê duyệt","NGƯỜI LẬP",IF(D99="Nguyễn Ngọc Thắng","NGUYỄN THỊ MAI",IF($A99="","",INDEX(Sheet!AK$2:AK$7967,$A99)))))</f>
        <v/>
      </c>
      <c r="AH99" s="58" t="str">
        <f ca="1">IF($A99="","",INDEX(Sheet!AR$2:AR$7967,$A99)&amp;" ; "&amp;INDEX(Sheet!M$2:M$7967,$A99))</f>
        <v/>
      </c>
      <c r="AI99" s="1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G99" s="35" t="str">
        <f ca="1">IFERROR(VALUE(separ(INDEX(Sheet!Q$2:Q$7967,$A99),"-",1)),"")</f>
        <v/>
      </c>
      <c r="BH99" s="35" t="str">
        <f ca="1">IFERROR(VALUE(separ(INDEX(Sheet!R$2:R$7967,$A99),"-",1)),"")</f>
        <v/>
      </c>
      <c r="BI99" s="35" t="str">
        <f ca="1">IFERROR(VALUE(separ(INDEX(Sheet!S$2:S$7967,$A99),"-",1)),"")</f>
        <v/>
      </c>
      <c r="BJ99" s="35" t="str">
        <f ca="1">IFERROR(VALUE(separ(INDEX(Sheet!T$2:T$7967,$A99),"-",1)),"")</f>
        <v/>
      </c>
      <c r="BK99" s="35" t="str">
        <f ca="1">IFERROR(VALUE(separ(INDEX(Sheet!U$2:U$7967,$A99),"-",1)),"")</f>
        <v/>
      </c>
      <c r="BL99" s="35" t="str">
        <f ca="1">IFERROR(VALUE(separ(INDEX(Sheet!V$2:V$7967,$A99),"-",1)),"")</f>
        <v/>
      </c>
      <c r="BM99" s="35" t="str">
        <f ca="1">IFERROR(VALUE(separ(INDEX(Sheet!W$2:W$7967,$A99),"-",1)),"")</f>
        <v/>
      </c>
      <c r="BN99" s="35" t="str">
        <f ca="1">IFERROR(VALUE(separ(INDEX(Sheet!X$2:X$7967,$A99),"-",1)),"")</f>
        <v/>
      </c>
      <c r="BO99" s="35" t="str">
        <f ca="1">IFERROR(VALUE(separ(INDEX(Sheet!Y$2:Y$7967,$A99),"-",1)),"")</f>
        <v/>
      </c>
      <c r="BP99" s="35" t="str">
        <f ca="1">IFERROR(VALUE(separ(INDEX(Sheet!Z$2:Z$7967,$A99),"-",1)),"")</f>
        <v/>
      </c>
      <c r="BQ99" s="35" t="str">
        <f ca="1">IFERROR(VALUE(separ(INDEX(Sheet!AA$2:AA$7967,$A99),"-",1)),"")</f>
        <v/>
      </c>
      <c r="BR99" s="35" t="str">
        <f ca="1">IFERROR(VALUE(separ(INDEX(Sheet!AB$2:AB$7967,$A99),"-",1)),"")</f>
        <v/>
      </c>
      <c r="BS99" s="35" t="str">
        <f ca="1">IFERROR(VALUE(separ(INDEX(Sheet!AC$2:AC$7967,$A99),"-",1)),"")</f>
        <v/>
      </c>
      <c r="BT99" s="35" t="str">
        <f ca="1">IFERROR(VALUE(separ(INDEX(Sheet!AD$2:AD$7967,$A99),"-",1)),"")</f>
        <v/>
      </c>
      <c r="BU99" s="35" t="str">
        <f ca="1">IFERROR(VALUE(separ(INDEX(Sheet!AE$2:AE$7967,$A99),"-",1)),"")</f>
        <v/>
      </c>
      <c r="BV99" s="35"/>
      <c r="BW99" s="35" t="str">
        <f ca="1">IFERROR((separ(INDEX(Sheet!Q$2:Q$7967,$A99),"-",2)),"")</f>
        <v/>
      </c>
      <c r="BX99" s="35" t="str">
        <f ca="1">IFERROR((separ(INDEX(Sheet!R$2:R$7967,$A99),"-",2)),"")</f>
        <v/>
      </c>
      <c r="BY99" s="35" t="str">
        <f ca="1">IFERROR((separ(INDEX(Sheet!S$2:S$7967,$A99),"-",2)),"")</f>
        <v/>
      </c>
      <c r="BZ99" s="35" t="str">
        <f ca="1">IFERROR((separ(INDEX(Sheet!T$2:T$7967,$A99),"-",2)),"")</f>
        <v/>
      </c>
      <c r="CA99" s="35" t="str">
        <f ca="1">IFERROR((separ(INDEX(Sheet!U$2:U$7967,$A99),"-",2)),"")</f>
        <v/>
      </c>
      <c r="CB99" s="35" t="str">
        <f ca="1">IFERROR((separ(INDEX(Sheet!V$2:V$7967,$A99),"-",2)),"")</f>
        <v/>
      </c>
      <c r="CC99" s="35" t="str">
        <f ca="1">IFERROR((separ(INDEX(Sheet!W$2:W$7967,$A99),"-",2)),"")</f>
        <v/>
      </c>
      <c r="CD99" s="35" t="str">
        <f ca="1">IFERROR((separ(INDEX(Sheet!X$2:X$7967,$A99),"-",2)),"")</f>
        <v/>
      </c>
      <c r="CE99" s="35" t="str">
        <f ca="1">IFERROR((separ(INDEX(Sheet!Y$2:Y$7967,$A99),"-",2)),"")</f>
        <v/>
      </c>
      <c r="CF99" s="35" t="str">
        <f ca="1">IFERROR((separ(INDEX(Sheet!Z$2:Z$7967,$A99),"-",2)),"")</f>
        <v/>
      </c>
      <c r="CG99" s="35" t="str">
        <f ca="1">IFERROR((separ(INDEX(Sheet!AA$2:AA$7967,$A99),"-",2)),"")</f>
        <v/>
      </c>
      <c r="CH99" s="35" t="str">
        <f ca="1">IFERROR((separ(INDEX(Sheet!AB$2:AB$7967,$A99),"-",2)),"")</f>
        <v/>
      </c>
      <c r="CI99" s="35" t="str">
        <f ca="1">IFERROR((separ(INDEX(Sheet!AC$2:AC$7967,$A99),"-",2)),"")</f>
        <v/>
      </c>
      <c r="CJ99" s="35" t="str">
        <f ca="1">IFERROR((separ(INDEX(Sheet!AD$2:AD$7967,$A99),"-",2)),"")</f>
        <v/>
      </c>
      <c r="CK99" s="35" t="str">
        <f ca="1">IFERROR((separ(INDEX(Sheet!AE$2:AE$7967,$A99),"-",2)),"")</f>
        <v/>
      </c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</row>
    <row r="100" spans="1:104" s="29" customFormat="1">
      <c r="A100" s="45" t="str">
        <f ca="1">IFERROR(MATCH($B$3,OFFSET(Sheet!$D$2,A99,0):'Sheet'!$D$7657,0)+A99,"")</f>
        <v/>
      </c>
      <c r="B100" s="29" t="str">
        <f ca="1">IF(ROW(A93)&lt;=COUNT($A$6:$A$800),INDEX(Sheet!$A$2:$A$7967,$A100),IF(ROW(A93)=COUNT($A$6:$A$800)+1," ",IF(ROW(A93)=COUNT($A$6:$A$800)+2,"  ","")))</f>
        <v/>
      </c>
      <c r="C100" s="67" t="str">
        <f ca="1">IF($A100="","",INDEX(Sheet!E$2:E$7967,$A100))</f>
        <v/>
      </c>
      <c r="D100" s="31" t="str">
        <f ca="1">IF(B97=" ",$AR$1,IF(B100=" ",$AQ$1,IF(A100="","",INDEX(Sheet!G$2:G$7967,$A100))))</f>
        <v/>
      </c>
      <c r="E100" s="32" t="str">
        <f ca="1">IF($A100="","",TEXT(INDEX(Sheet!J$2:J$7967,$A100),"#,#")&amp;" "&amp;INDEX(Sheet!AT$2:AT$7967,$A100))</f>
        <v/>
      </c>
      <c r="F100" s="53" t="str">
        <f ca="1">IF($A100="","",INDEX(Sheet!F$2:F$7967,$A100))</f>
        <v/>
      </c>
      <c r="G100" s="32" t="str">
        <f ca="1">IF($A100="","",INDEX(Sheet!I$2:I$7967,$A100))</f>
        <v/>
      </c>
      <c r="H100" s="32" t="str">
        <f ca="1">IF($A100="","",INDEX(Sheet!L$2:L$7967,$A100))</f>
        <v/>
      </c>
      <c r="I100" s="32" t="str">
        <f ca="1">IF($A100="","",INDEX(Sheet!N$2:N$7967,$A100))</f>
        <v/>
      </c>
      <c r="J100" s="53" t="str">
        <f ca="1">IF($A100="","",INDEX(Sheet!AS$2:AS$7967,$A100))</f>
        <v/>
      </c>
      <c r="K100" s="33" t="str">
        <f ca="1">IF($A100="","",IF(INDEX(Sheet!S$2:S$7967,$A100)="","",INDEX(Sheet!S$2:S$7967,$A100)))</f>
        <v/>
      </c>
      <c r="L100" s="33" t="str">
        <f ca="1">IF($A100="","",IF(INDEX(Sheet!R$2:R$7967,$A100)="","",INDEX(Sheet!R$2:R$7967,$A100)))</f>
        <v/>
      </c>
      <c r="M100" s="33" t="str">
        <f ca="1">IF($A100="","",IF(INDEX(Sheet!AO$2:AO$7967,$A100)="","",INDEX(Sheet!AO$2:AO$7967,$A100)))</f>
        <v/>
      </c>
      <c r="N100" s="33" t="str">
        <f ca="1">IF($A100="","",IF(INDEX(Sheet!T$2:T$7967,$A100)="","",INDEX(Sheet!T$2:T$7967,$A100)))</f>
        <v/>
      </c>
      <c r="O100" s="33" t="str">
        <f ca="1">IF($A100="","",IF(INDEX(Sheet!U$2:U$7967,$A100)="","",INDEX(Sheet!U$2:U$7967,$A100)))</f>
        <v/>
      </c>
      <c r="P100" s="33" t="str">
        <f ca="1">IF($A100="","",IF(INDEX(Sheet!W$2:W$7967,$A100)="","",INDEX(Sheet!W$2:W$7967,$A100)))</f>
        <v/>
      </c>
      <c r="Q100" s="33" t="str">
        <f ca="1">IF($A100="","",IF(INDEX(Sheet!V$2:V$7967,$A100)="","",INDEX(Sheet!V$2:V$7967,$A100)))</f>
        <v/>
      </c>
      <c r="R100" s="33" t="str">
        <f ca="1">IF($A100="","",IF(INDEX(Sheet!Z$2:Z$7967,$A100)="","",INDEX(Sheet!Z$2:Z$7967,$A100)))</f>
        <v/>
      </c>
      <c r="S100" s="33" t="str">
        <f ca="1">IF($A100="","",IF(INDEX(Sheet!Y$2:Y$7967,$A100)="","",INDEX(Sheet!Y$2:Y$7967,$A100)))</f>
        <v/>
      </c>
      <c r="T100" s="33" t="str">
        <f ca="1">IF($A100="","",IF(INDEX(Sheet!X$2:X$7967,$A100)="","",INDEX(Sheet!X$2:X$7967,$A100)))</f>
        <v/>
      </c>
      <c r="U100" s="33" t="str">
        <f ca="1">IF($A100="","",IF(INDEX(Sheet!AA$2:AA$7967,$A100)="","",INDEX(Sheet!AA$2:AA$7967,$A100)))</f>
        <v/>
      </c>
      <c r="V100" s="33" t="str">
        <f ca="1">IF($A100="","",IF(INDEX(Sheet!AB$2:AB$7967,$A100)="","",INDEX(Sheet!AB$2:AB$7967,$A100)))</f>
        <v/>
      </c>
      <c r="W100" s="33" t="str">
        <f ca="1">IF($A100="","",IF(INDEX(Sheet!AH$2:AH$7967,$A100)="","",INDEX(Sheet!AH$2:AH$7967,$A100)))</f>
        <v/>
      </c>
      <c r="X100" s="33" t="str">
        <f ca="1">IF($A100="","",IF(INDEX(Sheet!AC$2:AC$7967,$A100)="","",INDEX(Sheet!AC$2:AC$7967,$A100)))</f>
        <v/>
      </c>
      <c r="Y100" s="33" t="str">
        <f ca="1">IF($A100="","",IF(INDEX(Sheet!AD$2:AD$7967,$A100)="","",INDEX(Sheet!AD$2:AD$7967,$A100)))</f>
        <v/>
      </c>
      <c r="Z100" s="33" t="str">
        <f ca="1">IF($A100="","",IF(INDEX(Sheet!AL$2:AL$7967,$A100)="","",INDEX(Sheet!AL$2:AL$7967,$A100)))</f>
        <v/>
      </c>
      <c r="AA100" s="33" t="str">
        <f ca="1">IF($A100="","",IF(INDEX(Sheet!AE$2:AE$7967,$A100)="","",INDEX(Sheet!AE$2:AE$7967,$A100)))</f>
        <v/>
      </c>
      <c r="AB100" s="33" t="str">
        <f ca="1">IF($A100="","",IF(INDEX(Sheet!AF$2:AF$7967,$A100)="","",INDEX(Sheet!AF$2:AF$7967,$A100)))</f>
        <v/>
      </c>
      <c r="AC100" s="33" t="str">
        <f ca="1">IF($A100="","",IF(INDEX(Sheet!AG$2:AG$7967,$A100)="","",INDEX(Sheet!AG$2:AG$7967,$A100)))</f>
        <v/>
      </c>
      <c r="AD100" s="33" t="str">
        <f ca="1">IF($A100="","",IF(INDEX(Sheet!AM$2:AM$7967,$A100)="","",INDEX(Sheet!AM$2:AM$7967,$A100)))</f>
        <v/>
      </c>
      <c r="AE100" s="33" t="str">
        <f ca="1">IF($A100="","",IF(INDEX(Sheet!AJ$2:AJ$7967,$A100)="","",INDEX(Sheet!AJ$2:AJ$7967,$A100)))</f>
        <v/>
      </c>
      <c r="AF100" s="33" t="str">
        <f ca="1">IF($A100="","",IF(INDEX(Sheet!AI$2:AI$7967,$A100)="","",INDEX(Sheet!AI$2:AI$7967,$A100)))</f>
        <v/>
      </c>
      <c r="AG100" s="33" t="str">
        <f ca="1">IF(D100="duyệt sản xuất"," Bảo Bảo, Ngày "&amp;DAY($J$4)&amp;" Tháng "&amp;MONTH($J$4)&amp;" Năm "&amp;YEAR($J$4),IF(D100="Phê duyệt","NGƯỜI LẬP",IF(D100="Nguyễn Ngọc Thắng","NGUYỄN THỊ MAI",IF($A100="","",INDEX(Sheet!AK$2:AK$7967,$A100)))))</f>
        <v/>
      </c>
      <c r="AH100" s="58" t="str">
        <f ca="1">IF($A100="","",INDEX(Sheet!AR$2:AR$7967,$A100)&amp;" ; "&amp;INDEX(Sheet!M$2:M$7967,$A100))</f>
        <v/>
      </c>
      <c r="AI100" s="1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G100" s="35" t="str">
        <f ca="1">IFERROR(VALUE(separ(INDEX(Sheet!Q$2:Q$7967,$A100),"-",1)),"")</f>
        <v/>
      </c>
      <c r="BH100" s="35" t="str">
        <f ca="1">IFERROR(VALUE(separ(INDEX(Sheet!R$2:R$7967,$A100),"-",1)),"")</f>
        <v/>
      </c>
      <c r="BI100" s="35" t="str">
        <f ca="1">IFERROR(VALUE(separ(INDEX(Sheet!S$2:S$7967,$A100),"-",1)),"")</f>
        <v/>
      </c>
      <c r="BJ100" s="35" t="str">
        <f ca="1">IFERROR(VALUE(separ(INDEX(Sheet!T$2:T$7967,$A100),"-",1)),"")</f>
        <v/>
      </c>
      <c r="BK100" s="35" t="str">
        <f ca="1">IFERROR(VALUE(separ(INDEX(Sheet!U$2:U$7967,$A100),"-",1)),"")</f>
        <v/>
      </c>
      <c r="BL100" s="35" t="str">
        <f ca="1">IFERROR(VALUE(separ(INDEX(Sheet!V$2:V$7967,$A100),"-",1)),"")</f>
        <v/>
      </c>
      <c r="BM100" s="35" t="str">
        <f ca="1">IFERROR(VALUE(separ(INDEX(Sheet!W$2:W$7967,$A100),"-",1)),"")</f>
        <v/>
      </c>
      <c r="BN100" s="35" t="str">
        <f ca="1">IFERROR(VALUE(separ(INDEX(Sheet!X$2:X$7967,$A100),"-",1)),"")</f>
        <v/>
      </c>
      <c r="BO100" s="35" t="str">
        <f ca="1">IFERROR(VALUE(separ(INDEX(Sheet!Y$2:Y$7967,$A100),"-",1)),"")</f>
        <v/>
      </c>
      <c r="BP100" s="35" t="str">
        <f ca="1">IFERROR(VALUE(separ(INDEX(Sheet!Z$2:Z$7967,$A100),"-",1)),"")</f>
        <v/>
      </c>
      <c r="BQ100" s="35" t="str">
        <f ca="1">IFERROR(VALUE(separ(INDEX(Sheet!AA$2:AA$7967,$A100),"-",1)),"")</f>
        <v/>
      </c>
      <c r="BR100" s="35" t="str">
        <f ca="1">IFERROR(VALUE(separ(INDEX(Sheet!AB$2:AB$7967,$A100),"-",1)),"")</f>
        <v/>
      </c>
      <c r="BS100" s="35" t="str">
        <f ca="1">IFERROR(VALUE(separ(INDEX(Sheet!AC$2:AC$7967,$A100),"-",1)),"")</f>
        <v/>
      </c>
      <c r="BT100" s="35" t="str">
        <f ca="1">IFERROR(VALUE(separ(INDEX(Sheet!AD$2:AD$7967,$A100),"-",1)),"")</f>
        <v/>
      </c>
      <c r="BU100" s="35" t="str">
        <f ca="1">IFERROR(VALUE(separ(INDEX(Sheet!AE$2:AE$7967,$A100),"-",1)),"")</f>
        <v/>
      </c>
      <c r="BV100" s="35"/>
      <c r="BW100" s="35" t="str">
        <f ca="1">IFERROR((separ(INDEX(Sheet!Q$2:Q$7967,$A100),"-",2)),"")</f>
        <v/>
      </c>
      <c r="BX100" s="35" t="str">
        <f ca="1">IFERROR((separ(INDEX(Sheet!R$2:R$7967,$A100),"-",2)),"")</f>
        <v/>
      </c>
      <c r="BY100" s="35" t="str">
        <f ca="1">IFERROR((separ(INDEX(Sheet!S$2:S$7967,$A100),"-",2)),"")</f>
        <v/>
      </c>
      <c r="BZ100" s="35" t="str">
        <f ca="1">IFERROR((separ(INDEX(Sheet!T$2:T$7967,$A100),"-",2)),"")</f>
        <v/>
      </c>
      <c r="CA100" s="35" t="str">
        <f ca="1">IFERROR((separ(INDEX(Sheet!U$2:U$7967,$A100),"-",2)),"")</f>
        <v/>
      </c>
      <c r="CB100" s="35" t="str">
        <f ca="1">IFERROR((separ(INDEX(Sheet!V$2:V$7967,$A100),"-",2)),"")</f>
        <v/>
      </c>
      <c r="CC100" s="35" t="str">
        <f ca="1">IFERROR((separ(INDEX(Sheet!W$2:W$7967,$A100),"-",2)),"")</f>
        <v/>
      </c>
      <c r="CD100" s="35" t="str">
        <f ca="1">IFERROR((separ(INDEX(Sheet!X$2:X$7967,$A100),"-",2)),"")</f>
        <v/>
      </c>
      <c r="CE100" s="35" t="str">
        <f ca="1">IFERROR((separ(INDEX(Sheet!Y$2:Y$7967,$A100),"-",2)),"")</f>
        <v/>
      </c>
      <c r="CF100" s="35" t="str">
        <f ca="1">IFERROR((separ(INDEX(Sheet!Z$2:Z$7967,$A100),"-",2)),"")</f>
        <v/>
      </c>
      <c r="CG100" s="35" t="str">
        <f ca="1">IFERROR((separ(INDEX(Sheet!AA$2:AA$7967,$A100),"-",2)),"")</f>
        <v/>
      </c>
      <c r="CH100" s="35" t="str">
        <f ca="1">IFERROR((separ(INDEX(Sheet!AB$2:AB$7967,$A100),"-",2)),"")</f>
        <v/>
      </c>
      <c r="CI100" s="35" t="str">
        <f ca="1">IFERROR((separ(INDEX(Sheet!AC$2:AC$7967,$A100),"-",2)),"")</f>
        <v/>
      </c>
      <c r="CJ100" s="35" t="str">
        <f ca="1">IFERROR((separ(INDEX(Sheet!AD$2:AD$7967,$A100),"-",2)),"")</f>
        <v/>
      </c>
      <c r="CK100" s="35" t="str">
        <f ca="1">IFERROR((separ(INDEX(Sheet!AE$2:AE$7967,$A100),"-",2)),"")</f>
        <v/>
      </c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</row>
    <row r="101" spans="1:104" s="29" customFormat="1">
      <c r="A101" s="45" t="str">
        <f ca="1">IFERROR(MATCH($B$3,OFFSET(Sheet!$D$2,A100,0):'Sheet'!$D$7657,0)+A100,"")</f>
        <v/>
      </c>
      <c r="B101" s="29" t="str">
        <f ca="1">IF(ROW(A94)&lt;=COUNT($A$6:$A$800),INDEX(Sheet!$A$2:$A$7967,$A101),IF(ROW(A94)=COUNT($A$6:$A$800)+1," ",IF(ROW(A94)=COUNT($A$6:$A$800)+2,"  ","")))</f>
        <v/>
      </c>
      <c r="C101" s="67" t="str">
        <f ca="1">IF($A101="","",INDEX(Sheet!E$2:E$7967,$A101))</f>
        <v/>
      </c>
      <c r="D101" s="31" t="str">
        <f ca="1">IF(B98=" ",$AR$1,IF(B101=" ",$AQ$1,IF(A101="","",INDEX(Sheet!G$2:G$7967,$A101))))</f>
        <v/>
      </c>
      <c r="E101" s="32" t="str">
        <f ca="1">IF($A101="","",TEXT(INDEX(Sheet!J$2:J$7967,$A101),"#,#")&amp;" "&amp;INDEX(Sheet!AT$2:AT$7967,$A101))</f>
        <v/>
      </c>
      <c r="F101" s="53" t="str">
        <f ca="1">IF($A101="","",INDEX(Sheet!F$2:F$7967,$A101))</f>
        <v/>
      </c>
      <c r="G101" s="32" t="str">
        <f ca="1">IF($A101="","",INDEX(Sheet!I$2:I$7967,$A101))</f>
        <v/>
      </c>
      <c r="H101" s="32" t="str">
        <f ca="1">IF($A101="","",INDEX(Sheet!L$2:L$7967,$A101))</f>
        <v/>
      </c>
      <c r="I101" s="32" t="str">
        <f ca="1">IF($A101="","",INDEX(Sheet!N$2:N$7967,$A101))</f>
        <v/>
      </c>
      <c r="J101" s="53" t="str">
        <f ca="1">IF($A101="","",INDEX(Sheet!AS$2:AS$7967,$A101))</f>
        <v/>
      </c>
      <c r="K101" s="33" t="str">
        <f ca="1">IF($A101="","",IF(INDEX(Sheet!S$2:S$7967,$A101)="","",INDEX(Sheet!S$2:S$7967,$A101)))</f>
        <v/>
      </c>
      <c r="L101" s="33" t="str">
        <f ca="1">IF($A101="","",IF(INDEX(Sheet!R$2:R$7967,$A101)="","",INDEX(Sheet!R$2:R$7967,$A101)))</f>
        <v/>
      </c>
      <c r="M101" s="33" t="str">
        <f ca="1">IF($A101="","",IF(INDEX(Sheet!AO$2:AO$7967,$A101)="","",INDEX(Sheet!AO$2:AO$7967,$A101)))</f>
        <v/>
      </c>
      <c r="N101" s="33" t="str">
        <f ca="1">IF($A101="","",IF(INDEX(Sheet!T$2:T$7967,$A101)="","",INDEX(Sheet!T$2:T$7967,$A101)))</f>
        <v/>
      </c>
      <c r="O101" s="33" t="str">
        <f ca="1">IF($A101="","",IF(INDEX(Sheet!U$2:U$7967,$A101)="","",INDEX(Sheet!U$2:U$7967,$A101)))</f>
        <v/>
      </c>
      <c r="P101" s="33" t="str">
        <f ca="1">IF($A101="","",IF(INDEX(Sheet!W$2:W$7967,$A101)="","",INDEX(Sheet!W$2:W$7967,$A101)))</f>
        <v/>
      </c>
      <c r="Q101" s="33" t="str">
        <f ca="1">IF($A101="","",IF(INDEX(Sheet!V$2:V$7967,$A101)="","",INDEX(Sheet!V$2:V$7967,$A101)))</f>
        <v/>
      </c>
      <c r="R101" s="33" t="str">
        <f ca="1">IF($A101="","",IF(INDEX(Sheet!Z$2:Z$7967,$A101)="","",INDEX(Sheet!Z$2:Z$7967,$A101)))</f>
        <v/>
      </c>
      <c r="S101" s="33" t="str">
        <f ca="1">IF($A101="","",IF(INDEX(Sheet!Y$2:Y$7967,$A101)="","",INDEX(Sheet!Y$2:Y$7967,$A101)))</f>
        <v/>
      </c>
      <c r="T101" s="33" t="str">
        <f ca="1">IF($A101="","",IF(INDEX(Sheet!X$2:X$7967,$A101)="","",INDEX(Sheet!X$2:X$7967,$A101)))</f>
        <v/>
      </c>
      <c r="U101" s="33" t="str">
        <f ca="1">IF($A101="","",IF(INDEX(Sheet!AA$2:AA$7967,$A101)="","",INDEX(Sheet!AA$2:AA$7967,$A101)))</f>
        <v/>
      </c>
      <c r="V101" s="33" t="str">
        <f ca="1">IF($A101="","",IF(INDEX(Sheet!AB$2:AB$7967,$A101)="","",INDEX(Sheet!AB$2:AB$7967,$A101)))</f>
        <v/>
      </c>
      <c r="W101" s="33" t="str">
        <f ca="1">IF($A101="","",IF(INDEX(Sheet!AH$2:AH$7967,$A101)="","",INDEX(Sheet!AH$2:AH$7967,$A101)))</f>
        <v/>
      </c>
      <c r="X101" s="33" t="str">
        <f ca="1">IF($A101="","",IF(INDEX(Sheet!AC$2:AC$7967,$A101)="","",INDEX(Sheet!AC$2:AC$7967,$A101)))</f>
        <v/>
      </c>
      <c r="Y101" s="33" t="str">
        <f ca="1">IF($A101="","",IF(INDEX(Sheet!AD$2:AD$7967,$A101)="","",INDEX(Sheet!AD$2:AD$7967,$A101)))</f>
        <v/>
      </c>
      <c r="Z101" s="33" t="str">
        <f ca="1">IF($A101="","",IF(INDEX(Sheet!AL$2:AL$7967,$A101)="","",INDEX(Sheet!AL$2:AL$7967,$A101)))</f>
        <v/>
      </c>
      <c r="AA101" s="33" t="str">
        <f ca="1">IF($A101="","",IF(INDEX(Sheet!AE$2:AE$7967,$A101)="","",INDEX(Sheet!AE$2:AE$7967,$A101)))</f>
        <v/>
      </c>
      <c r="AB101" s="33" t="str">
        <f ca="1">IF($A101="","",IF(INDEX(Sheet!AF$2:AF$7967,$A101)="","",INDEX(Sheet!AF$2:AF$7967,$A101)))</f>
        <v/>
      </c>
      <c r="AC101" s="33" t="str">
        <f ca="1">IF($A101="","",IF(INDEX(Sheet!AG$2:AG$7967,$A101)="","",INDEX(Sheet!AG$2:AG$7967,$A101)))</f>
        <v/>
      </c>
      <c r="AD101" s="33" t="str">
        <f ca="1">IF($A101="","",IF(INDEX(Sheet!AM$2:AM$7967,$A101)="","",INDEX(Sheet!AM$2:AM$7967,$A101)))</f>
        <v/>
      </c>
      <c r="AE101" s="33" t="str">
        <f ca="1">IF($A101="","",IF(INDEX(Sheet!AJ$2:AJ$7967,$A101)="","",INDEX(Sheet!AJ$2:AJ$7967,$A101)))</f>
        <v/>
      </c>
      <c r="AF101" s="33" t="str">
        <f ca="1">IF($A101="","",IF(INDEX(Sheet!AI$2:AI$7967,$A101)="","",INDEX(Sheet!AI$2:AI$7967,$A101)))</f>
        <v/>
      </c>
      <c r="AG101" s="33" t="str">
        <f ca="1">IF(D101="duyệt sản xuất"," Bảo Bảo, Ngày "&amp;DAY($J$4)&amp;" Tháng "&amp;MONTH($J$4)&amp;" Năm "&amp;YEAR($J$4),IF(D101="Phê duyệt","NGƯỜI LẬP",IF(D101="Nguyễn Ngọc Thắng","NGUYỄN THỊ MAI",IF($A101="","",INDEX(Sheet!AK$2:AK$7967,$A101)))))</f>
        <v/>
      </c>
      <c r="AH101" s="58" t="str">
        <f ca="1">IF($A101="","",INDEX(Sheet!AR$2:AR$7967,$A101)&amp;" ; "&amp;INDEX(Sheet!M$2:M$7967,$A101))</f>
        <v/>
      </c>
      <c r="AI101" s="1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G101" s="35" t="str">
        <f ca="1">IFERROR(VALUE(separ(INDEX(Sheet!Q$2:Q$7967,$A101),"-",1)),"")</f>
        <v/>
      </c>
      <c r="BH101" s="35" t="str">
        <f ca="1">IFERROR(VALUE(separ(INDEX(Sheet!R$2:R$7967,$A101),"-",1)),"")</f>
        <v/>
      </c>
      <c r="BI101" s="35" t="str">
        <f ca="1">IFERROR(VALUE(separ(INDEX(Sheet!S$2:S$7967,$A101),"-",1)),"")</f>
        <v/>
      </c>
      <c r="BJ101" s="35" t="str">
        <f ca="1">IFERROR(VALUE(separ(INDEX(Sheet!T$2:T$7967,$A101),"-",1)),"")</f>
        <v/>
      </c>
      <c r="BK101" s="35" t="str">
        <f ca="1">IFERROR(VALUE(separ(INDEX(Sheet!U$2:U$7967,$A101),"-",1)),"")</f>
        <v/>
      </c>
      <c r="BL101" s="35" t="str">
        <f ca="1">IFERROR(VALUE(separ(INDEX(Sheet!V$2:V$7967,$A101),"-",1)),"")</f>
        <v/>
      </c>
      <c r="BM101" s="35" t="str">
        <f ca="1">IFERROR(VALUE(separ(INDEX(Sheet!W$2:W$7967,$A101),"-",1)),"")</f>
        <v/>
      </c>
      <c r="BN101" s="35" t="str">
        <f ca="1">IFERROR(VALUE(separ(INDEX(Sheet!X$2:X$7967,$A101),"-",1)),"")</f>
        <v/>
      </c>
      <c r="BO101" s="35" t="str">
        <f ca="1">IFERROR(VALUE(separ(INDEX(Sheet!Y$2:Y$7967,$A101),"-",1)),"")</f>
        <v/>
      </c>
      <c r="BP101" s="35" t="str">
        <f ca="1">IFERROR(VALUE(separ(INDEX(Sheet!Z$2:Z$7967,$A101),"-",1)),"")</f>
        <v/>
      </c>
      <c r="BQ101" s="35" t="str">
        <f ca="1">IFERROR(VALUE(separ(INDEX(Sheet!AA$2:AA$7967,$A101),"-",1)),"")</f>
        <v/>
      </c>
      <c r="BR101" s="35" t="str">
        <f ca="1">IFERROR(VALUE(separ(INDEX(Sheet!AB$2:AB$7967,$A101),"-",1)),"")</f>
        <v/>
      </c>
      <c r="BS101" s="35" t="str">
        <f ca="1">IFERROR(VALUE(separ(INDEX(Sheet!AC$2:AC$7967,$A101),"-",1)),"")</f>
        <v/>
      </c>
      <c r="BT101" s="35" t="str">
        <f ca="1">IFERROR(VALUE(separ(INDEX(Sheet!AD$2:AD$7967,$A101),"-",1)),"")</f>
        <v/>
      </c>
      <c r="BU101" s="35" t="str">
        <f ca="1">IFERROR(VALUE(separ(INDEX(Sheet!AE$2:AE$7967,$A101),"-",1)),"")</f>
        <v/>
      </c>
      <c r="BV101" s="35"/>
      <c r="BW101" s="35" t="str">
        <f ca="1">IFERROR((separ(INDEX(Sheet!Q$2:Q$7967,$A101),"-",2)),"")</f>
        <v/>
      </c>
      <c r="BX101" s="35" t="str">
        <f ca="1">IFERROR((separ(INDEX(Sheet!R$2:R$7967,$A101),"-",2)),"")</f>
        <v/>
      </c>
      <c r="BY101" s="35" t="str">
        <f ca="1">IFERROR((separ(INDEX(Sheet!S$2:S$7967,$A101),"-",2)),"")</f>
        <v/>
      </c>
      <c r="BZ101" s="35" t="str">
        <f ca="1">IFERROR((separ(INDEX(Sheet!T$2:T$7967,$A101),"-",2)),"")</f>
        <v/>
      </c>
      <c r="CA101" s="35" t="str">
        <f ca="1">IFERROR((separ(INDEX(Sheet!U$2:U$7967,$A101),"-",2)),"")</f>
        <v/>
      </c>
      <c r="CB101" s="35" t="str">
        <f ca="1">IFERROR((separ(INDEX(Sheet!V$2:V$7967,$A101),"-",2)),"")</f>
        <v/>
      </c>
      <c r="CC101" s="35" t="str">
        <f ca="1">IFERROR((separ(INDEX(Sheet!W$2:W$7967,$A101),"-",2)),"")</f>
        <v/>
      </c>
      <c r="CD101" s="35" t="str">
        <f ca="1">IFERROR((separ(INDEX(Sheet!X$2:X$7967,$A101),"-",2)),"")</f>
        <v/>
      </c>
      <c r="CE101" s="35" t="str">
        <f ca="1">IFERROR((separ(INDEX(Sheet!Y$2:Y$7967,$A101),"-",2)),"")</f>
        <v/>
      </c>
      <c r="CF101" s="35" t="str">
        <f ca="1">IFERROR((separ(INDEX(Sheet!Z$2:Z$7967,$A101),"-",2)),"")</f>
        <v/>
      </c>
      <c r="CG101" s="35" t="str">
        <f ca="1">IFERROR((separ(INDEX(Sheet!AA$2:AA$7967,$A101),"-",2)),"")</f>
        <v/>
      </c>
      <c r="CH101" s="35" t="str">
        <f ca="1">IFERROR((separ(INDEX(Sheet!AB$2:AB$7967,$A101),"-",2)),"")</f>
        <v/>
      </c>
      <c r="CI101" s="35" t="str">
        <f ca="1">IFERROR((separ(INDEX(Sheet!AC$2:AC$7967,$A101),"-",2)),"")</f>
        <v/>
      </c>
      <c r="CJ101" s="35" t="str">
        <f ca="1">IFERROR((separ(INDEX(Sheet!AD$2:AD$7967,$A101),"-",2)),"")</f>
        <v/>
      </c>
      <c r="CK101" s="35" t="str">
        <f ca="1">IFERROR((separ(INDEX(Sheet!AE$2:AE$7967,$A101),"-",2)),"")</f>
        <v/>
      </c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</row>
    <row r="102" spans="1:104" s="29" customFormat="1">
      <c r="A102" s="45" t="str">
        <f ca="1">IFERROR(MATCH($B$3,OFFSET(Sheet!$D$2,A101,0):'Sheet'!$D$7657,0)+A101,"")</f>
        <v/>
      </c>
      <c r="B102" s="29" t="str">
        <f ca="1">IF(ROW(A95)&lt;=COUNT($A$6:$A$800),INDEX(Sheet!$A$2:$A$7967,$A102),IF(ROW(A95)=COUNT($A$6:$A$800)+1," ",IF(ROW(A95)=COUNT($A$6:$A$800)+2,"  ","")))</f>
        <v/>
      </c>
      <c r="C102" s="67" t="str">
        <f ca="1">IF($A102="","",INDEX(Sheet!E$2:E$7967,$A102))</f>
        <v/>
      </c>
      <c r="D102" s="31" t="str">
        <f ca="1">IF(B99=" ",$AR$1,IF(B102=" ",$AQ$1,IF(A102="","",INDEX(Sheet!G$2:G$7967,$A102))))</f>
        <v/>
      </c>
      <c r="E102" s="32" t="str">
        <f ca="1">IF($A102="","",TEXT(INDEX(Sheet!J$2:J$7967,$A102),"#,#")&amp;" "&amp;INDEX(Sheet!AT$2:AT$7967,$A102))</f>
        <v/>
      </c>
      <c r="F102" s="53" t="str">
        <f ca="1">IF($A102="","",INDEX(Sheet!F$2:F$7967,$A102))</f>
        <v/>
      </c>
      <c r="G102" s="32" t="str">
        <f ca="1">IF($A102="","",INDEX(Sheet!I$2:I$7967,$A102))</f>
        <v/>
      </c>
      <c r="H102" s="32" t="str">
        <f ca="1">IF($A102="","",INDEX(Sheet!L$2:L$7967,$A102))</f>
        <v/>
      </c>
      <c r="I102" s="32" t="str">
        <f ca="1">IF($A102="","",INDEX(Sheet!N$2:N$7967,$A102))</f>
        <v/>
      </c>
      <c r="J102" s="53" t="str">
        <f ca="1">IF($A102="","",INDEX(Sheet!AS$2:AS$7967,$A102))</f>
        <v/>
      </c>
      <c r="K102" s="33" t="str">
        <f ca="1">IF($A102="","",IF(INDEX(Sheet!S$2:S$7967,$A102)="","",INDEX(Sheet!S$2:S$7967,$A102)))</f>
        <v/>
      </c>
      <c r="L102" s="33" t="str">
        <f ca="1">IF($A102="","",IF(INDEX(Sheet!R$2:R$7967,$A102)="","",INDEX(Sheet!R$2:R$7967,$A102)))</f>
        <v/>
      </c>
      <c r="M102" s="33" t="str">
        <f ca="1">IF($A102="","",IF(INDEX(Sheet!AO$2:AO$7967,$A102)="","",INDEX(Sheet!AO$2:AO$7967,$A102)))</f>
        <v/>
      </c>
      <c r="N102" s="33" t="str">
        <f ca="1">IF($A102="","",IF(INDEX(Sheet!T$2:T$7967,$A102)="","",INDEX(Sheet!T$2:T$7967,$A102)))</f>
        <v/>
      </c>
      <c r="O102" s="33" t="str">
        <f ca="1">IF($A102="","",IF(INDEX(Sheet!U$2:U$7967,$A102)="","",INDEX(Sheet!U$2:U$7967,$A102)))</f>
        <v/>
      </c>
      <c r="P102" s="33" t="str">
        <f ca="1">IF($A102="","",IF(INDEX(Sheet!W$2:W$7967,$A102)="","",INDEX(Sheet!W$2:W$7967,$A102)))</f>
        <v/>
      </c>
      <c r="Q102" s="33" t="str">
        <f ca="1">IF($A102="","",IF(INDEX(Sheet!V$2:V$7967,$A102)="","",INDEX(Sheet!V$2:V$7967,$A102)))</f>
        <v/>
      </c>
      <c r="R102" s="33" t="str">
        <f ca="1">IF($A102="","",IF(INDEX(Sheet!Z$2:Z$7967,$A102)="","",INDEX(Sheet!Z$2:Z$7967,$A102)))</f>
        <v/>
      </c>
      <c r="S102" s="33" t="str">
        <f ca="1">IF($A102="","",IF(INDEX(Sheet!Y$2:Y$7967,$A102)="","",INDEX(Sheet!Y$2:Y$7967,$A102)))</f>
        <v/>
      </c>
      <c r="T102" s="33" t="str">
        <f ca="1">IF($A102="","",IF(INDEX(Sheet!X$2:X$7967,$A102)="","",INDEX(Sheet!X$2:X$7967,$A102)))</f>
        <v/>
      </c>
      <c r="U102" s="33" t="str">
        <f ca="1">IF($A102="","",IF(INDEX(Sheet!AA$2:AA$7967,$A102)="","",INDEX(Sheet!AA$2:AA$7967,$A102)))</f>
        <v/>
      </c>
      <c r="V102" s="33" t="str">
        <f ca="1">IF($A102="","",IF(INDEX(Sheet!AB$2:AB$7967,$A102)="","",INDEX(Sheet!AB$2:AB$7967,$A102)))</f>
        <v/>
      </c>
      <c r="W102" s="33" t="str">
        <f ca="1">IF($A102="","",IF(INDEX(Sheet!AH$2:AH$7967,$A102)="","",INDEX(Sheet!AH$2:AH$7967,$A102)))</f>
        <v/>
      </c>
      <c r="X102" s="33" t="str">
        <f ca="1">IF($A102="","",IF(INDEX(Sheet!AC$2:AC$7967,$A102)="","",INDEX(Sheet!AC$2:AC$7967,$A102)))</f>
        <v/>
      </c>
      <c r="Y102" s="33" t="str">
        <f ca="1">IF($A102="","",IF(INDEX(Sheet!AD$2:AD$7967,$A102)="","",INDEX(Sheet!AD$2:AD$7967,$A102)))</f>
        <v/>
      </c>
      <c r="Z102" s="33" t="str">
        <f ca="1">IF($A102="","",IF(INDEX(Sheet!AL$2:AL$7967,$A102)="","",INDEX(Sheet!AL$2:AL$7967,$A102)))</f>
        <v/>
      </c>
      <c r="AA102" s="33" t="str">
        <f ca="1">IF($A102="","",IF(INDEX(Sheet!AE$2:AE$7967,$A102)="","",INDEX(Sheet!AE$2:AE$7967,$A102)))</f>
        <v/>
      </c>
      <c r="AB102" s="33" t="str">
        <f ca="1">IF($A102="","",IF(INDEX(Sheet!AF$2:AF$7967,$A102)="","",INDEX(Sheet!AF$2:AF$7967,$A102)))</f>
        <v/>
      </c>
      <c r="AC102" s="33" t="str">
        <f ca="1">IF($A102="","",IF(INDEX(Sheet!AG$2:AG$7967,$A102)="","",INDEX(Sheet!AG$2:AG$7967,$A102)))</f>
        <v/>
      </c>
      <c r="AD102" s="33" t="str">
        <f ca="1">IF($A102="","",IF(INDEX(Sheet!AM$2:AM$7967,$A102)="","",INDEX(Sheet!AM$2:AM$7967,$A102)))</f>
        <v/>
      </c>
      <c r="AE102" s="33" t="str">
        <f ca="1">IF($A102="","",IF(INDEX(Sheet!AJ$2:AJ$7967,$A102)="","",INDEX(Sheet!AJ$2:AJ$7967,$A102)))</f>
        <v/>
      </c>
      <c r="AF102" s="33" t="str">
        <f ca="1">IF($A102="","",IF(INDEX(Sheet!AI$2:AI$7967,$A102)="","",INDEX(Sheet!AI$2:AI$7967,$A102)))</f>
        <v/>
      </c>
      <c r="AG102" s="33" t="str">
        <f ca="1">IF(D102="duyệt sản xuất"," Bảo Bảo, Ngày "&amp;DAY($J$4)&amp;" Tháng "&amp;MONTH($J$4)&amp;" Năm "&amp;YEAR($J$4),IF(D102="Phê duyệt","NGƯỜI LẬP",IF(D102="Nguyễn Ngọc Thắng","NGUYỄN THỊ MAI",IF($A102="","",INDEX(Sheet!AK$2:AK$7967,$A102)))))</f>
        <v/>
      </c>
      <c r="AH102" s="58" t="str">
        <f ca="1">IF($A102="","",INDEX(Sheet!AR$2:AR$7967,$A102)&amp;" ; "&amp;INDEX(Sheet!M$2:M$7967,$A102))</f>
        <v/>
      </c>
      <c r="AI102" s="1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G102" s="35" t="str">
        <f ca="1">IFERROR(VALUE(separ(INDEX(Sheet!Q$2:Q$7967,$A102),"-",1)),"")</f>
        <v/>
      </c>
      <c r="BH102" s="35" t="str">
        <f ca="1">IFERROR(VALUE(separ(INDEX(Sheet!R$2:R$7967,$A102),"-",1)),"")</f>
        <v/>
      </c>
      <c r="BI102" s="35" t="str">
        <f ca="1">IFERROR(VALUE(separ(INDEX(Sheet!S$2:S$7967,$A102),"-",1)),"")</f>
        <v/>
      </c>
      <c r="BJ102" s="35" t="str">
        <f ca="1">IFERROR(VALUE(separ(INDEX(Sheet!T$2:T$7967,$A102),"-",1)),"")</f>
        <v/>
      </c>
      <c r="BK102" s="35" t="str">
        <f ca="1">IFERROR(VALUE(separ(INDEX(Sheet!U$2:U$7967,$A102),"-",1)),"")</f>
        <v/>
      </c>
      <c r="BL102" s="35" t="str">
        <f ca="1">IFERROR(VALUE(separ(INDEX(Sheet!V$2:V$7967,$A102),"-",1)),"")</f>
        <v/>
      </c>
      <c r="BM102" s="35" t="str">
        <f ca="1">IFERROR(VALUE(separ(INDEX(Sheet!W$2:W$7967,$A102),"-",1)),"")</f>
        <v/>
      </c>
      <c r="BN102" s="35" t="str">
        <f ca="1">IFERROR(VALUE(separ(INDEX(Sheet!X$2:X$7967,$A102),"-",1)),"")</f>
        <v/>
      </c>
      <c r="BO102" s="35" t="str">
        <f ca="1">IFERROR(VALUE(separ(INDEX(Sheet!Y$2:Y$7967,$A102),"-",1)),"")</f>
        <v/>
      </c>
      <c r="BP102" s="35" t="str">
        <f ca="1">IFERROR(VALUE(separ(INDEX(Sheet!Z$2:Z$7967,$A102),"-",1)),"")</f>
        <v/>
      </c>
      <c r="BQ102" s="35" t="str">
        <f ca="1">IFERROR(VALUE(separ(INDEX(Sheet!AA$2:AA$7967,$A102),"-",1)),"")</f>
        <v/>
      </c>
      <c r="BR102" s="35" t="str">
        <f ca="1">IFERROR(VALUE(separ(INDEX(Sheet!AB$2:AB$7967,$A102),"-",1)),"")</f>
        <v/>
      </c>
      <c r="BS102" s="35" t="str">
        <f ca="1">IFERROR(VALUE(separ(INDEX(Sheet!AC$2:AC$7967,$A102),"-",1)),"")</f>
        <v/>
      </c>
      <c r="BT102" s="35" t="str">
        <f ca="1">IFERROR(VALUE(separ(INDEX(Sheet!AD$2:AD$7967,$A102),"-",1)),"")</f>
        <v/>
      </c>
      <c r="BU102" s="35" t="str">
        <f ca="1">IFERROR(VALUE(separ(INDEX(Sheet!AE$2:AE$7967,$A102),"-",1)),"")</f>
        <v/>
      </c>
      <c r="BV102" s="35"/>
      <c r="BW102" s="35" t="str">
        <f ca="1">IFERROR((separ(INDEX(Sheet!Q$2:Q$7967,$A102),"-",2)),"")</f>
        <v/>
      </c>
      <c r="BX102" s="35" t="str">
        <f ca="1">IFERROR((separ(INDEX(Sheet!R$2:R$7967,$A102),"-",2)),"")</f>
        <v/>
      </c>
      <c r="BY102" s="35" t="str">
        <f ca="1">IFERROR((separ(INDEX(Sheet!S$2:S$7967,$A102),"-",2)),"")</f>
        <v/>
      </c>
      <c r="BZ102" s="35" t="str">
        <f ca="1">IFERROR((separ(INDEX(Sheet!T$2:T$7967,$A102),"-",2)),"")</f>
        <v/>
      </c>
      <c r="CA102" s="35" t="str">
        <f ca="1">IFERROR((separ(INDEX(Sheet!U$2:U$7967,$A102),"-",2)),"")</f>
        <v/>
      </c>
      <c r="CB102" s="35" t="str">
        <f ca="1">IFERROR((separ(INDEX(Sheet!V$2:V$7967,$A102),"-",2)),"")</f>
        <v/>
      </c>
      <c r="CC102" s="35" t="str">
        <f ca="1">IFERROR((separ(INDEX(Sheet!W$2:W$7967,$A102),"-",2)),"")</f>
        <v/>
      </c>
      <c r="CD102" s="35" t="str">
        <f ca="1">IFERROR((separ(INDEX(Sheet!X$2:X$7967,$A102),"-",2)),"")</f>
        <v/>
      </c>
      <c r="CE102" s="35" t="str">
        <f ca="1">IFERROR((separ(INDEX(Sheet!Y$2:Y$7967,$A102),"-",2)),"")</f>
        <v/>
      </c>
      <c r="CF102" s="35" t="str">
        <f ca="1">IFERROR((separ(INDEX(Sheet!Z$2:Z$7967,$A102),"-",2)),"")</f>
        <v/>
      </c>
      <c r="CG102" s="35" t="str">
        <f ca="1">IFERROR((separ(INDEX(Sheet!AA$2:AA$7967,$A102),"-",2)),"")</f>
        <v/>
      </c>
      <c r="CH102" s="35" t="str">
        <f ca="1">IFERROR((separ(INDEX(Sheet!AB$2:AB$7967,$A102),"-",2)),"")</f>
        <v/>
      </c>
      <c r="CI102" s="35" t="str">
        <f ca="1">IFERROR((separ(INDEX(Sheet!AC$2:AC$7967,$A102),"-",2)),"")</f>
        <v/>
      </c>
      <c r="CJ102" s="35" t="str">
        <f ca="1">IFERROR((separ(INDEX(Sheet!AD$2:AD$7967,$A102),"-",2)),"")</f>
        <v/>
      </c>
      <c r="CK102" s="35" t="str">
        <f ca="1">IFERROR((separ(INDEX(Sheet!AE$2:AE$7967,$A102),"-",2)),"")</f>
        <v/>
      </c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</row>
    <row r="103" spans="1:104" s="29" customFormat="1">
      <c r="A103" s="45" t="str">
        <f ca="1">IFERROR(MATCH($B$3,OFFSET(Sheet!$D$2,A102,0):'Sheet'!$D$7657,0)+A102,"")</f>
        <v/>
      </c>
      <c r="B103" s="29" t="str">
        <f ca="1">IF(ROW(A96)&lt;=COUNT($A$6:$A$800),INDEX(Sheet!$A$2:$A$7967,$A103),IF(ROW(A96)=COUNT($A$6:$A$800)+1," ",IF(ROW(A96)=COUNT($A$6:$A$800)+2,"  ","")))</f>
        <v/>
      </c>
      <c r="C103" s="67" t="str">
        <f ca="1">IF($A103="","",INDEX(Sheet!E$2:E$7967,$A103))</f>
        <v/>
      </c>
      <c r="D103" s="31" t="str">
        <f ca="1">IF(B100=" ",$AR$1,IF(B103=" ",$AQ$1,IF(A103="","",INDEX(Sheet!G$2:G$7967,$A103))))</f>
        <v/>
      </c>
      <c r="E103" s="32" t="str">
        <f ca="1">IF($A103="","",TEXT(INDEX(Sheet!J$2:J$7967,$A103),"#,#")&amp;" "&amp;INDEX(Sheet!AT$2:AT$7967,$A103))</f>
        <v/>
      </c>
      <c r="F103" s="53" t="str">
        <f ca="1">IF($A103="","",INDEX(Sheet!F$2:F$7967,$A103))</f>
        <v/>
      </c>
      <c r="G103" s="32" t="str">
        <f ca="1">IF($A103="","",INDEX(Sheet!I$2:I$7967,$A103))</f>
        <v/>
      </c>
      <c r="H103" s="32" t="str">
        <f ca="1">IF($A103="","",INDEX(Sheet!L$2:L$7967,$A103))</f>
        <v/>
      </c>
      <c r="I103" s="32" t="str">
        <f ca="1">IF($A103="","",INDEX(Sheet!N$2:N$7967,$A103))</f>
        <v/>
      </c>
      <c r="J103" s="53" t="str">
        <f ca="1">IF($A103="","",INDEX(Sheet!AS$2:AS$7967,$A103))</f>
        <v/>
      </c>
      <c r="K103" s="33" t="str">
        <f ca="1">IF($A103="","",IF(INDEX(Sheet!S$2:S$7967,$A103)="","",INDEX(Sheet!S$2:S$7967,$A103)))</f>
        <v/>
      </c>
      <c r="L103" s="33" t="str">
        <f ca="1">IF($A103="","",IF(INDEX(Sheet!R$2:R$7967,$A103)="","",INDEX(Sheet!R$2:R$7967,$A103)))</f>
        <v/>
      </c>
      <c r="M103" s="33" t="str">
        <f ca="1">IF($A103="","",IF(INDEX(Sheet!AO$2:AO$7967,$A103)="","",INDEX(Sheet!AO$2:AO$7967,$A103)))</f>
        <v/>
      </c>
      <c r="N103" s="33" t="str">
        <f ca="1">IF($A103="","",IF(INDEX(Sheet!T$2:T$7967,$A103)="","",INDEX(Sheet!T$2:T$7967,$A103)))</f>
        <v/>
      </c>
      <c r="O103" s="33" t="str">
        <f ca="1">IF($A103="","",IF(INDEX(Sheet!U$2:U$7967,$A103)="","",INDEX(Sheet!U$2:U$7967,$A103)))</f>
        <v/>
      </c>
      <c r="P103" s="33" t="str">
        <f ca="1">IF($A103="","",IF(INDEX(Sheet!W$2:W$7967,$A103)="","",INDEX(Sheet!W$2:W$7967,$A103)))</f>
        <v/>
      </c>
      <c r="Q103" s="33" t="str">
        <f ca="1">IF($A103="","",IF(INDEX(Sheet!V$2:V$7967,$A103)="","",INDEX(Sheet!V$2:V$7967,$A103)))</f>
        <v/>
      </c>
      <c r="R103" s="33" t="str">
        <f ca="1">IF($A103="","",IF(INDEX(Sheet!Z$2:Z$7967,$A103)="","",INDEX(Sheet!Z$2:Z$7967,$A103)))</f>
        <v/>
      </c>
      <c r="S103" s="33" t="str">
        <f ca="1">IF($A103="","",IF(INDEX(Sheet!Y$2:Y$7967,$A103)="","",INDEX(Sheet!Y$2:Y$7967,$A103)))</f>
        <v/>
      </c>
      <c r="T103" s="33" t="str">
        <f ca="1">IF($A103="","",IF(INDEX(Sheet!X$2:X$7967,$A103)="","",INDEX(Sheet!X$2:X$7967,$A103)))</f>
        <v/>
      </c>
      <c r="U103" s="33" t="str">
        <f ca="1">IF($A103="","",IF(INDEX(Sheet!AA$2:AA$7967,$A103)="","",INDEX(Sheet!AA$2:AA$7967,$A103)))</f>
        <v/>
      </c>
      <c r="V103" s="33" t="str">
        <f ca="1">IF($A103="","",IF(INDEX(Sheet!AB$2:AB$7967,$A103)="","",INDEX(Sheet!AB$2:AB$7967,$A103)))</f>
        <v/>
      </c>
      <c r="W103" s="33" t="str">
        <f ca="1">IF($A103="","",IF(INDEX(Sheet!AH$2:AH$7967,$A103)="","",INDEX(Sheet!AH$2:AH$7967,$A103)))</f>
        <v/>
      </c>
      <c r="X103" s="33" t="str">
        <f ca="1">IF($A103="","",IF(INDEX(Sheet!AC$2:AC$7967,$A103)="","",INDEX(Sheet!AC$2:AC$7967,$A103)))</f>
        <v/>
      </c>
      <c r="Y103" s="33" t="str">
        <f ca="1">IF($A103="","",IF(INDEX(Sheet!AD$2:AD$7967,$A103)="","",INDEX(Sheet!AD$2:AD$7967,$A103)))</f>
        <v/>
      </c>
      <c r="Z103" s="33" t="str">
        <f ca="1">IF($A103="","",IF(INDEX(Sheet!AL$2:AL$7967,$A103)="","",INDEX(Sheet!AL$2:AL$7967,$A103)))</f>
        <v/>
      </c>
      <c r="AA103" s="33" t="str">
        <f ca="1">IF($A103="","",IF(INDEX(Sheet!AE$2:AE$7967,$A103)="","",INDEX(Sheet!AE$2:AE$7967,$A103)))</f>
        <v/>
      </c>
      <c r="AB103" s="33" t="str">
        <f ca="1">IF($A103="","",IF(INDEX(Sheet!AF$2:AF$7967,$A103)="","",INDEX(Sheet!AF$2:AF$7967,$A103)))</f>
        <v/>
      </c>
      <c r="AC103" s="33" t="str">
        <f ca="1">IF($A103="","",IF(INDEX(Sheet!AG$2:AG$7967,$A103)="","",INDEX(Sheet!AG$2:AG$7967,$A103)))</f>
        <v/>
      </c>
      <c r="AD103" s="33" t="str">
        <f ca="1">IF($A103="","",IF(INDEX(Sheet!AM$2:AM$7967,$A103)="","",INDEX(Sheet!AM$2:AM$7967,$A103)))</f>
        <v/>
      </c>
      <c r="AE103" s="33" t="str">
        <f ca="1">IF($A103="","",IF(INDEX(Sheet!AJ$2:AJ$7967,$A103)="","",INDEX(Sheet!AJ$2:AJ$7967,$A103)))</f>
        <v/>
      </c>
      <c r="AF103" s="33" t="str">
        <f ca="1">IF($A103="","",IF(INDEX(Sheet!AI$2:AI$7967,$A103)="","",INDEX(Sheet!AI$2:AI$7967,$A103)))</f>
        <v/>
      </c>
      <c r="AG103" s="33" t="str">
        <f ca="1">IF(D103="duyệt sản xuất"," Bảo Bảo, Ngày "&amp;DAY($J$4)&amp;" Tháng "&amp;MONTH($J$4)&amp;" Năm "&amp;YEAR($J$4),IF(D103="Phê duyệt","NGƯỜI LẬP",IF(D103="Nguyễn Ngọc Thắng","NGUYỄN THỊ MAI",IF($A103="","",INDEX(Sheet!AK$2:AK$7967,$A103)))))</f>
        <v/>
      </c>
      <c r="AH103" s="58" t="str">
        <f ca="1">IF($A103="","",INDEX(Sheet!AR$2:AR$7967,$A103)&amp;" ; "&amp;INDEX(Sheet!M$2:M$7967,$A103))</f>
        <v/>
      </c>
      <c r="AI103" s="1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G103" s="35" t="str">
        <f ca="1">IFERROR(VALUE(separ(INDEX(Sheet!Q$2:Q$7967,$A103),"-",1)),"")</f>
        <v/>
      </c>
      <c r="BH103" s="35" t="str">
        <f ca="1">IFERROR(VALUE(separ(INDEX(Sheet!R$2:R$7967,$A103),"-",1)),"")</f>
        <v/>
      </c>
      <c r="BI103" s="35" t="str">
        <f ca="1">IFERROR(VALUE(separ(INDEX(Sheet!S$2:S$7967,$A103),"-",1)),"")</f>
        <v/>
      </c>
      <c r="BJ103" s="35" t="str">
        <f ca="1">IFERROR(VALUE(separ(INDEX(Sheet!T$2:T$7967,$A103),"-",1)),"")</f>
        <v/>
      </c>
      <c r="BK103" s="35" t="str">
        <f ca="1">IFERROR(VALUE(separ(INDEX(Sheet!U$2:U$7967,$A103),"-",1)),"")</f>
        <v/>
      </c>
      <c r="BL103" s="35" t="str">
        <f ca="1">IFERROR(VALUE(separ(INDEX(Sheet!V$2:V$7967,$A103),"-",1)),"")</f>
        <v/>
      </c>
      <c r="BM103" s="35" t="str">
        <f ca="1">IFERROR(VALUE(separ(INDEX(Sheet!W$2:W$7967,$A103),"-",1)),"")</f>
        <v/>
      </c>
      <c r="BN103" s="35" t="str">
        <f ca="1">IFERROR(VALUE(separ(INDEX(Sheet!X$2:X$7967,$A103),"-",1)),"")</f>
        <v/>
      </c>
      <c r="BO103" s="35" t="str">
        <f ca="1">IFERROR(VALUE(separ(INDEX(Sheet!Y$2:Y$7967,$A103),"-",1)),"")</f>
        <v/>
      </c>
      <c r="BP103" s="35" t="str">
        <f ca="1">IFERROR(VALUE(separ(INDEX(Sheet!Z$2:Z$7967,$A103),"-",1)),"")</f>
        <v/>
      </c>
      <c r="BQ103" s="35" t="str">
        <f ca="1">IFERROR(VALUE(separ(INDEX(Sheet!AA$2:AA$7967,$A103),"-",1)),"")</f>
        <v/>
      </c>
      <c r="BR103" s="35" t="str">
        <f ca="1">IFERROR(VALUE(separ(INDEX(Sheet!AB$2:AB$7967,$A103),"-",1)),"")</f>
        <v/>
      </c>
      <c r="BS103" s="35" t="str">
        <f ca="1">IFERROR(VALUE(separ(INDEX(Sheet!AC$2:AC$7967,$A103),"-",1)),"")</f>
        <v/>
      </c>
      <c r="BT103" s="35" t="str">
        <f ca="1">IFERROR(VALUE(separ(INDEX(Sheet!AD$2:AD$7967,$A103),"-",1)),"")</f>
        <v/>
      </c>
      <c r="BU103" s="35" t="str">
        <f ca="1">IFERROR(VALUE(separ(INDEX(Sheet!AE$2:AE$7967,$A103),"-",1)),"")</f>
        <v/>
      </c>
      <c r="BV103" s="35"/>
      <c r="BW103" s="35" t="str">
        <f ca="1">IFERROR((separ(INDEX(Sheet!Q$2:Q$7967,$A103),"-",2)),"")</f>
        <v/>
      </c>
      <c r="BX103" s="35" t="str">
        <f ca="1">IFERROR((separ(INDEX(Sheet!R$2:R$7967,$A103),"-",2)),"")</f>
        <v/>
      </c>
      <c r="BY103" s="35" t="str">
        <f ca="1">IFERROR((separ(INDEX(Sheet!S$2:S$7967,$A103),"-",2)),"")</f>
        <v/>
      </c>
      <c r="BZ103" s="35" t="str">
        <f ca="1">IFERROR((separ(INDEX(Sheet!T$2:T$7967,$A103),"-",2)),"")</f>
        <v/>
      </c>
      <c r="CA103" s="35" t="str">
        <f ca="1">IFERROR((separ(INDEX(Sheet!U$2:U$7967,$A103),"-",2)),"")</f>
        <v/>
      </c>
      <c r="CB103" s="35" t="str">
        <f ca="1">IFERROR((separ(INDEX(Sheet!V$2:V$7967,$A103),"-",2)),"")</f>
        <v/>
      </c>
      <c r="CC103" s="35" t="str">
        <f ca="1">IFERROR((separ(INDEX(Sheet!W$2:W$7967,$A103),"-",2)),"")</f>
        <v/>
      </c>
      <c r="CD103" s="35" t="str">
        <f ca="1">IFERROR((separ(INDEX(Sheet!X$2:X$7967,$A103),"-",2)),"")</f>
        <v/>
      </c>
      <c r="CE103" s="35" t="str">
        <f ca="1">IFERROR((separ(INDEX(Sheet!Y$2:Y$7967,$A103),"-",2)),"")</f>
        <v/>
      </c>
      <c r="CF103" s="35" t="str">
        <f ca="1">IFERROR((separ(INDEX(Sheet!Z$2:Z$7967,$A103),"-",2)),"")</f>
        <v/>
      </c>
      <c r="CG103" s="35" t="str">
        <f ca="1">IFERROR((separ(INDEX(Sheet!AA$2:AA$7967,$A103),"-",2)),"")</f>
        <v/>
      </c>
      <c r="CH103" s="35" t="str">
        <f ca="1">IFERROR((separ(INDEX(Sheet!AB$2:AB$7967,$A103),"-",2)),"")</f>
        <v/>
      </c>
      <c r="CI103" s="35" t="str">
        <f ca="1">IFERROR((separ(INDEX(Sheet!AC$2:AC$7967,$A103),"-",2)),"")</f>
        <v/>
      </c>
      <c r="CJ103" s="35" t="str">
        <f ca="1">IFERROR((separ(INDEX(Sheet!AD$2:AD$7967,$A103),"-",2)),"")</f>
        <v/>
      </c>
      <c r="CK103" s="35" t="str">
        <f ca="1">IFERROR((separ(INDEX(Sheet!AE$2:AE$7967,$A103),"-",2)),"")</f>
        <v/>
      </c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</row>
    <row r="104" spans="1:104" s="29" customFormat="1">
      <c r="A104" s="45" t="str">
        <f ca="1">IFERROR(MATCH($B$3,OFFSET(Sheet!$D$2,A103,0):'Sheet'!$D$7657,0)+A103,"")</f>
        <v/>
      </c>
      <c r="B104" s="29" t="str">
        <f ca="1">IF(ROW(A97)&lt;=COUNT($A$6:$A$800),INDEX(Sheet!$A$2:$A$7967,$A104),IF(ROW(A97)=COUNT($A$6:$A$800)+1," ",IF(ROW(A97)=COUNT($A$6:$A$800)+2,"  ","")))</f>
        <v/>
      </c>
      <c r="C104" s="67" t="str">
        <f ca="1">IF($A104="","",INDEX(Sheet!E$2:E$7967,$A104))</f>
        <v/>
      </c>
      <c r="D104" s="31" t="str">
        <f ca="1">IF(B101=" ",$AR$1,IF(B104=" ",$AQ$1,IF(A104="","",INDEX(Sheet!G$2:G$7967,$A104))))</f>
        <v/>
      </c>
      <c r="E104" s="32" t="str">
        <f ca="1">IF($A104="","",TEXT(INDEX(Sheet!J$2:J$7967,$A104),"#,#")&amp;" "&amp;INDEX(Sheet!AT$2:AT$7967,$A104))</f>
        <v/>
      </c>
      <c r="F104" s="53" t="str">
        <f ca="1">IF($A104="","",INDEX(Sheet!F$2:F$7967,$A104))</f>
        <v/>
      </c>
      <c r="G104" s="32" t="str">
        <f ca="1">IF($A104="","",INDEX(Sheet!I$2:I$7967,$A104))</f>
        <v/>
      </c>
      <c r="H104" s="32" t="str">
        <f ca="1">IF($A104="","",INDEX(Sheet!L$2:L$7967,$A104))</f>
        <v/>
      </c>
      <c r="I104" s="32" t="str">
        <f ca="1">IF($A104="","",INDEX(Sheet!N$2:N$7967,$A104))</f>
        <v/>
      </c>
      <c r="J104" s="53" t="str">
        <f ca="1">IF($A104="","",INDEX(Sheet!AS$2:AS$7967,$A104))</f>
        <v/>
      </c>
      <c r="K104" s="33" t="str">
        <f ca="1">IF($A104="","",IF(INDEX(Sheet!S$2:S$7967,$A104)="","",INDEX(Sheet!S$2:S$7967,$A104)))</f>
        <v/>
      </c>
      <c r="L104" s="33" t="str">
        <f ca="1">IF($A104="","",IF(INDEX(Sheet!R$2:R$7967,$A104)="","",INDEX(Sheet!R$2:R$7967,$A104)))</f>
        <v/>
      </c>
      <c r="M104" s="33" t="str">
        <f ca="1">IF($A104="","",IF(INDEX(Sheet!AO$2:AO$7967,$A104)="","",INDEX(Sheet!AO$2:AO$7967,$A104)))</f>
        <v/>
      </c>
      <c r="N104" s="33" t="str">
        <f ca="1">IF($A104="","",IF(INDEX(Sheet!T$2:T$7967,$A104)="","",INDEX(Sheet!T$2:T$7967,$A104)))</f>
        <v/>
      </c>
      <c r="O104" s="33" t="str">
        <f ca="1">IF($A104="","",IF(INDEX(Sheet!U$2:U$7967,$A104)="","",INDEX(Sheet!U$2:U$7967,$A104)))</f>
        <v/>
      </c>
      <c r="P104" s="33" t="str">
        <f ca="1">IF($A104="","",IF(INDEX(Sheet!W$2:W$7967,$A104)="","",INDEX(Sheet!W$2:W$7967,$A104)))</f>
        <v/>
      </c>
      <c r="Q104" s="33" t="str">
        <f ca="1">IF($A104="","",IF(INDEX(Sheet!V$2:V$7967,$A104)="","",INDEX(Sheet!V$2:V$7967,$A104)))</f>
        <v/>
      </c>
      <c r="R104" s="33" t="str">
        <f ca="1">IF($A104="","",IF(INDEX(Sheet!Z$2:Z$7967,$A104)="","",INDEX(Sheet!Z$2:Z$7967,$A104)))</f>
        <v/>
      </c>
      <c r="S104" s="33" t="str">
        <f ca="1">IF($A104="","",IF(INDEX(Sheet!Y$2:Y$7967,$A104)="","",INDEX(Sheet!Y$2:Y$7967,$A104)))</f>
        <v/>
      </c>
      <c r="T104" s="33" t="str">
        <f ca="1">IF($A104="","",IF(INDEX(Sheet!X$2:X$7967,$A104)="","",INDEX(Sheet!X$2:X$7967,$A104)))</f>
        <v/>
      </c>
      <c r="U104" s="33" t="str">
        <f ca="1">IF($A104="","",IF(INDEX(Sheet!AA$2:AA$7967,$A104)="","",INDEX(Sheet!AA$2:AA$7967,$A104)))</f>
        <v/>
      </c>
      <c r="V104" s="33" t="str">
        <f ca="1">IF($A104="","",IF(INDEX(Sheet!AB$2:AB$7967,$A104)="","",INDEX(Sheet!AB$2:AB$7967,$A104)))</f>
        <v/>
      </c>
      <c r="W104" s="33" t="str">
        <f ca="1">IF($A104="","",IF(INDEX(Sheet!AH$2:AH$7967,$A104)="","",INDEX(Sheet!AH$2:AH$7967,$A104)))</f>
        <v/>
      </c>
      <c r="X104" s="33" t="str">
        <f ca="1">IF($A104="","",IF(INDEX(Sheet!AC$2:AC$7967,$A104)="","",INDEX(Sheet!AC$2:AC$7967,$A104)))</f>
        <v/>
      </c>
      <c r="Y104" s="33" t="str">
        <f ca="1">IF($A104="","",IF(INDEX(Sheet!AD$2:AD$7967,$A104)="","",INDEX(Sheet!AD$2:AD$7967,$A104)))</f>
        <v/>
      </c>
      <c r="Z104" s="33" t="str">
        <f ca="1">IF($A104="","",IF(INDEX(Sheet!AL$2:AL$7967,$A104)="","",INDEX(Sheet!AL$2:AL$7967,$A104)))</f>
        <v/>
      </c>
      <c r="AA104" s="33" t="str">
        <f ca="1">IF($A104="","",IF(INDEX(Sheet!AE$2:AE$7967,$A104)="","",INDEX(Sheet!AE$2:AE$7967,$A104)))</f>
        <v/>
      </c>
      <c r="AB104" s="33" t="str">
        <f ca="1">IF($A104="","",IF(INDEX(Sheet!AF$2:AF$7967,$A104)="","",INDEX(Sheet!AF$2:AF$7967,$A104)))</f>
        <v/>
      </c>
      <c r="AC104" s="33" t="str">
        <f ca="1">IF($A104="","",IF(INDEX(Sheet!AG$2:AG$7967,$A104)="","",INDEX(Sheet!AG$2:AG$7967,$A104)))</f>
        <v/>
      </c>
      <c r="AD104" s="33" t="str">
        <f ca="1">IF($A104="","",IF(INDEX(Sheet!AM$2:AM$7967,$A104)="","",INDEX(Sheet!AM$2:AM$7967,$A104)))</f>
        <v/>
      </c>
      <c r="AE104" s="33" t="str">
        <f ca="1">IF($A104="","",IF(INDEX(Sheet!AJ$2:AJ$7967,$A104)="","",INDEX(Sheet!AJ$2:AJ$7967,$A104)))</f>
        <v/>
      </c>
      <c r="AF104" s="33" t="str">
        <f ca="1">IF($A104="","",IF(INDEX(Sheet!AI$2:AI$7967,$A104)="","",INDEX(Sheet!AI$2:AI$7967,$A104)))</f>
        <v/>
      </c>
      <c r="AG104" s="33" t="str">
        <f ca="1">IF(D104="duyệt sản xuất"," Bảo Bảo, Ngày "&amp;DAY($J$4)&amp;" Tháng "&amp;MONTH($J$4)&amp;" Năm "&amp;YEAR($J$4),IF(D104="Phê duyệt","NGƯỜI LẬP",IF(D104="Nguyễn Ngọc Thắng","NGUYỄN THỊ MAI",IF($A104="","",INDEX(Sheet!AK$2:AK$7967,$A104)))))</f>
        <v/>
      </c>
      <c r="AH104" s="58" t="str">
        <f ca="1">IF($A104="","",INDEX(Sheet!AR$2:AR$7967,$A104)&amp;" ; "&amp;INDEX(Sheet!M$2:M$7967,$A104))</f>
        <v/>
      </c>
      <c r="AI104" s="1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G104" s="35" t="str">
        <f ca="1">IFERROR(VALUE(separ(INDEX(Sheet!Q$2:Q$7967,$A104),"-",1)),"")</f>
        <v/>
      </c>
      <c r="BH104" s="35" t="str">
        <f ca="1">IFERROR(VALUE(separ(INDEX(Sheet!R$2:R$7967,$A104),"-",1)),"")</f>
        <v/>
      </c>
      <c r="BI104" s="35" t="str">
        <f ca="1">IFERROR(VALUE(separ(INDEX(Sheet!S$2:S$7967,$A104),"-",1)),"")</f>
        <v/>
      </c>
      <c r="BJ104" s="35" t="str">
        <f ca="1">IFERROR(VALUE(separ(INDEX(Sheet!T$2:T$7967,$A104),"-",1)),"")</f>
        <v/>
      </c>
      <c r="BK104" s="35" t="str">
        <f ca="1">IFERROR(VALUE(separ(INDEX(Sheet!U$2:U$7967,$A104),"-",1)),"")</f>
        <v/>
      </c>
      <c r="BL104" s="35" t="str">
        <f ca="1">IFERROR(VALUE(separ(INDEX(Sheet!V$2:V$7967,$A104),"-",1)),"")</f>
        <v/>
      </c>
      <c r="BM104" s="35" t="str">
        <f ca="1">IFERROR(VALUE(separ(INDEX(Sheet!W$2:W$7967,$A104),"-",1)),"")</f>
        <v/>
      </c>
      <c r="BN104" s="35" t="str">
        <f ca="1">IFERROR(VALUE(separ(INDEX(Sheet!X$2:X$7967,$A104),"-",1)),"")</f>
        <v/>
      </c>
      <c r="BO104" s="35" t="str">
        <f ca="1">IFERROR(VALUE(separ(INDEX(Sheet!Y$2:Y$7967,$A104),"-",1)),"")</f>
        <v/>
      </c>
      <c r="BP104" s="35" t="str">
        <f ca="1">IFERROR(VALUE(separ(INDEX(Sheet!Z$2:Z$7967,$A104),"-",1)),"")</f>
        <v/>
      </c>
      <c r="BQ104" s="35" t="str">
        <f ca="1">IFERROR(VALUE(separ(INDEX(Sheet!AA$2:AA$7967,$A104),"-",1)),"")</f>
        <v/>
      </c>
      <c r="BR104" s="35" t="str">
        <f ca="1">IFERROR(VALUE(separ(INDEX(Sheet!AB$2:AB$7967,$A104),"-",1)),"")</f>
        <v/>
      </c>
      <c r="BS104" s="35" t="str">
        <f ca="1">IFERROR(VALUE(separ(INDEX(Sheet!AC$2:AC$7967,$A104),"-",1)),"")</f>
        <v/>
      </c>
      <c r="BT104" s="35" t="str">
        <f ca="1">IFERROR(VALUE(separ(INDEX(Sheet!AD$2:AD$7967,$A104),"-",1)),"")</f>
        <v/>
      </c>
      <c r="BU104" s="35" t="str">
        <f ca="1">IFERROR(VALUE(separ(INDEX(Sheet!AE$2:AE$7967,$A104),"-",1)),"")</f>
        <v/>
      </c>
      <c r="BV104" s="35"/>
      <c r="BW104" s="35" t="str">
        <f ca="1">IFERROR((separ(INDEX(Sheet!Q$2:Q$7967,$A104),"-",2)),"")</f>
        <v/>
      </c>
      <c r="BX104" s="35" t="str">
        <f ca="1">IFERROR((separ(INDEX(Sheet!R$2:R$7967,$A104),"-",2)),"")</f>
        <v/>
      </c>
      <c r="BY104" s="35" t="str">
        <f ca="1">IFERROR((separ(INDEX(Sheet!S$2:S$7967,$A104),"-",2)),"")</f>
        <v/>
      </c>
      <c r="BZ104" s="35" t="str">
        <f ca="1">IFERROR((separ(INDEX(Sheet!T$2:T$7967,$A104),"-",2)),"")</f>
        <v/>
      </c>
      <c r="CA104" s="35" t="str">
        <f ca="1">IFERROR((separ(INDEX(Sheet!U$2:U$7967,$A104),"-",2)),"")</f>
        <v/>
      </c>
      <c r="CB104" s="35" t="str">
        <f ca="1">IFERROR((separ(INDEX(Sheet!V$2:V$7967,$A104),"-",2)),"")</f>
        <v/>
      </c>
      <c r="CC104" s="35" t="str">
        <f ca="1">IFERROR((separ(INDEX(Sheet!W$2:W$7967,$A104),"-",2)),"")</f>
        <v/>
      </c>
      <c r="CD104" s="35" t="str">
        <f ca="1">IFERROR((separ(INDEX(Sheet!X$2:X$7967,$A104),"-",2)),"")</f>
        <v/>
      </c>
      <c r="CE104" s="35" t="str">
        <f ca="1">IFERROR((separ(INDEX(Sheet!Y$2:Y$7967,$A104),"-",2)),"")</f>
        <v/>
      </c>
      <c r="CF104" s="35" t="str">
        <f ca="1">IFERROR((separ(INDEX(Sheet!Z$2:Z$7967,$A104),"-",2)),"")</f>
        <v/>
      </c>
      <c r="CG104" s="35" t="str">
        <f ca="1">IFERROR((separ(INDEX(Sheet!AA$2:AA$7967,$A104),"-",2)),"")</f>
        <v/>
      </c>
      <c r="CH104" s="35" t="str">
        <f ca="1">IFERROR((separ(INDEX(Sheet!AB$2:AB$7967,$A104),"-",2)),"")</f>
        <v/>
      </c>
      <c r="CI104" s="35" t="str">
        <f ca="1">IFERROR((separ(INDEX(Sheet!AC$2:AC$7967,$A104),"-",2)),"")</f>
        <v/>
      </c>
      <c r="CJ104" s="35" t="str">
        <f ca="1">IFERROR((separ(INDEX(Sheet!AD$2:AD$7967,$A104),"-",2)),"")</f>
        <v/>
      </c>
      <c r="CK104" s="35" t="str">
        <f ca="1">IFERROR((separ(INDEX(Sheet!AE$2:AE$7967,$A104),"-",2)),"")</f>
        <v/>
      </c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</row>
    <row r="105" spans="1:104" s="29" customFormat="1">
      <c r="A105" s="45" t="str">
        <f ca="1">IFERROR(MATCH($B$3,OFFSET(Sheet!$D$2,A104,0):'Sheet'!$D$7657,0)+A104,"")</f>
        <v/>
      </c>
      <c r="B105" s="29" t="str">
        <f ca="1">IF(ROW(A98)&lt;=COUNT($A$6:$A$800),INDEX(Sheet!$A$2:$A$7967,$A105),IF(ROW(A98)=COUNT($A$6:$A$800)+1," ",IF(ROW(A98)=COUNT($A$6:$A$800)+2,"  ","")))</f>
        <v/>
      </c>
      <c r="C105" s="67" t="str">
        <f ca="1">IF($A105="","",INDEX(Sheet!E$2:E$7967,$A105))</f>
        <v/>
      </c>
      <c r="D105" s="31" t="str">
        <f ca="1">IF(B102=" ",$AR$1,IF(B105=" ",$AQ$1,IF(A105="","",INDEX(Sheet!G$2:G$7967,$A105))))</f>
        <v/>
      </c>
      <c r="E105" s="32" t="str">
        <f ca="1">IF($A105="","",TEXT(INDEX(Sheet!J$2:J$7967,$A105),"#,#")&amp;" "&amp;INDEX(Sheet!AT$2:AT$7967,$A105))</f>
        <v/>
      </c>
      <c r="F105" s="53" t="str">
        <f ca="1">IF($A105="","",INDEX(Sheet!F$2:F$7967,$A105))</f>
        <v/>
      </c>
      <c r="G105" s="32" t="str">
        <f ca="1">IF($A105="","",INDEX(Sheet!I$2:I$7967,$A105))</f>
        <v/>
      </c>
      <c r="H105" s="32" t="str">
        <f ca="1">IF($A105="","",INDEX(Sheet!L$2:L$7967,$A105))</f>
        <v/>
      </c>
      <c r="I105" s="32" t="str">
        <f ca="1">IF($A105="","",INDEX(Sheet!N$2:N$7967,$A105))</f>
        <v/>
      </c>
      <c r="J105" s="53" t="str">
        <f ca="1">IF($A105="","",INDEX(Sheet!AS$2:AS$7967,$A105))</f>
        <v/>
      </c>
      <c r="K105" s="33" t="str">
        <f ca="1">IF($A105="","",IF(INDEX(Sheet!S$2:S$7967,$A105)="","",INDEX(Sheet!S$2:S$7967,$A105)))</f>
        <v/>
      </c>
      <c r="L105" s="33" t="str">
        <f ca="1">IF($A105="","",IF(INDEX(Sheet!R$2:R$7967,$A105)="","",INDEX(Sheet!R$2:R$7967,$A105)))</f>
        <v/>
      </c>
      <c r="M105" s="33" t="str">
        <f ca="1">IF($A105="","",IF(INDEX(Sheet!AO$2:AO$7967,$A105)="","",INDEX(Sheet!AO$2:AO$7967,$A105)))</f>
        <v/>
      </c>
      <c r="N105" s="33" t="str">
        <f ca="1">IF($A105="","",IF(INDEX(Sheet!T$2:T$7967,$A105)="","",INDEX(Sheet!T$2:T$7967,$A105)))</f>
        <v/>
      </c>
      <c r="O105" s="33" t="str">
        <f ca="1">IF($A105="","",IF(INDEX(Sheet!U$2:U$7967,$A105)="","",INDEX(Sheet!U$2:U$7967,$A105)))</f>
        <v/>
      </c>
      <c r="P105" s="33" t="str">
        <f ca="1">IF($A105="","",IF(INDEX(Sheet!W$2:W$7967,$A105)="","",INDEX(Sheet!W$2:W$7967,$A105)))</f>
        <v/>
      </c>
      <c r="Q105" s="33" t="str">
        <f ca="1">IF($A105="","",IF(INDEX(Sheet!V$2:V$7967,$A105)="","",INDEX(Sheet!V$2:V$7967,$A105)))</f>
        <v/>
      </c>
      <c r="R105" s="33" t="str">
        <f ca="1">IF($A105="","",IF(INDEX(Sheet!Z$2:Z$7967,$A105)="","",INDEX(Sheet!Z$2:Z$7967,$A105)))</f>
        <v/>
      </c>
      <c r="S105" s="33" t="str">
        <f ca="1">IF($A105="","",IF(INDEX(Sheet!Y$2:Y$7967,$A105)="","",INDEX(Sheet!Y$2:Y$7967,$A105)))</f>
        <v/>
      </c>
      <c r="T105" s="33" t="str">
        <f ca="1">IF($A105="","",IF(INDEX(Sheet!X$2:X$7967,$A105)="","",INDEX(Sheet!X$2:X$7967,$A105)))</f>
        <v/>
      </c>
      <c r="U105" s="33" t="str">
        <f ca="1">IF($A105="","",IF(INDEX(Sheet!AA$2:AA$7967,$A105)="","",INDEX(Sheet!AA$2:AA$7967,$A105)))</f>
        <v/>
      </c>
      <c r="V105" s="33" t="str">
        <f ca="1">IF($A105="","",IF(INDEX(Sheet!AB$2:AB$7967,$A105)="","",INDEX(Sheet!AB$2:AB$7967,$A105)))</f>
        <v/>
      </c>
      <c r="W105" s="33" t="str">
        <f ca="1">IF($A105="","",IF(INDEX(Sheet!AH$2:AH$7967,$A105)="","",INDEX(Sheet!AH$2:AH$7967,$A105)))</f>
        <v/>
      </c>
      <c r="X105" s="33" t="str">
        <f ca="1">IF($A105="","",IF(INDEX(Sheet!AC$2:AC$7967,$A105)="","",INDEX(Sheet!AC$2:AC$7967,$A105)))</f>
        <v/>
      </c>
      <c r="Y105" s="33" t="str">
        <f ca="1">IF($A105="","",IF(INDEX(Sheet!AD$2:AD$7967,$A105)="","",INDEX(Sheet!AD$2:AD$7967,$A105)))</f>
        <v/>
      </c>
      <c r="Z105" s="33" t="str">
        <f ca="1">IF($A105="","",IF(INDEX(Sheet!AL$2:AL$7967,$A105)="","",INDEX(Sheet!AL$2:AL$7967,$A105)))</f>
        <v/>
      </c>
      <c r="AA105" s="33" t="str">
        <f ca="1">IF($A105="","",IF(INDEX(Sheet!AE$2:AE$7967,$A105)="","",INDEX(Sheet!AE$2:AE$7967,$A105)))</f>
        <v/>
      </c>
      <c r="AB105" s="33" t="str">
        <f ca="1">IF($A105="","",IF(INDEX(Sheet!AF$2:AF$7967,$A105)="","",INDEX(Sheet!AF$2:AF$7967,$A105)))</f>
        <v/>
      </c>
      <c r="AC105" s="33" t="str">
        <f ca="1">IF($A105="","",IF(INDEX(Sheet!AG$2:AG$7967,$A105)="","",INDEX(Sheet!AG$2:AG$7967,$A105)))</f>
        <v/>
      </c>
      <c r="AD105" s="33" t="str">
        <f ca="1">IF($A105="","",IF(INDEX(Sheet!AM$2:AM$7967,$A105)="","",INDEX(Sheet!AM$2:AM$7967,$A105)))</f>
        <v/>
      </c>
      <c r="AE105" s="33" t="str">
        <f ca="1">IF($A105="","",IF(INDEX(Sheet!AJ$2:AJ$7967,$A105)="","",INDEX(Sheet!AJ$2:AJ$7967,$A105)))</f>
        <v/>
      </c>
      <c r="AF105" s="33" t="str">
        <f ca="1">IF($A105="","",IF(INDEX(Sheet!AI$2:AI$7967,$A105)="","",INDEX(Sheet!AI$2:AI$7967,$A105)))</f>
        <v/>
      </c>
      <c r="AG105" s="33" t="str">
        <f ca="1">IF(D105="duyệt sản xuất"," Bảo Bảo, Ngày "&amp;DAY($J$4)&amp;" Tháng "&amp;MONTH($J$4)&amp;" Năm "&amp;YEAR($J$4),IF(D105="Phê duyệt","NGƯỜI LẬP",IF(D105="Nguyễn Ngọc Thắng","NGUYỄN THỊ MAI",IF($A105="","",INDEX(Sheet!AK$2:AK$7967,$A105)))))</f>
        <v/>
      </c>
      <c r="AH105" s="58" t="str">
        <f ca="1">IF($A105="","",INDEX(Sheet!AR$2:AR$7967,$A105)&amp;" ; "&amp;INDEX(Sheet!M$2:M$7967,$A105))</f>
        <v/>
      </c>
      <c r="AI105" s="1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G105" s="35" t="str">
        <f ca="1">IFERROR(VALUE(separ(INDEX(Sheet!Q$2:Q$7967,$A105),"-",1)),"")</f>
        <v/>
      </c>
      <c r="BH105" s="35" t="str">
        <f ca="1">IFERROR(VALUE(separ(INDEX(Sheet!R$2:R$7967,$A105),"-",1)),"")</f>
        <v/>
      </c>
      <c r="BI105" s="35" t="str">
        <f ca="1">IFERROR(VALUE(separ(INDEX(Sheet!S$2:S$7967,$A105),"-",1)),"")</f>
        <v/>
      </c>
      <c r="BJ105" s="35" t="str">
        <f ca="1">IFERROR(VALUE(separ(INDEX(Sheet!T$2:T$7967,$A105),"-",1)),"")</f>
        <v/>
      </c>
      <c r="BK105" s="35" t="str">
        <f ca="1">IFERROR(VALUE(separ(INDEX(Sheet!U$2:U$7967,$A105),"-",1)),"")</f>
        <v/>
      </c>
      <c r="BL105" s="35" t="str">
        <f ca="1">IFERROR(VALUE(separ(INDEX(Sheet!V$2:V$7967,$A105),"-",1)),"")</f>
        <v/>
      </c>
      <c r="BM105" s="35" t="str">
        <f ca="1">IFERROR(VALUE(separ(INDEX(Sheet!W$2:W$7967,$A105),"-",1)),"")</f>
        <v/>
      </c>
      <c r="BN105" s="35" t="str">
        <f ca="1">IFERROR(VALUE(separ(INDEX(Sheet!X$2:X$7967,$A105),"-",1)),"")</f>
        <v/>
      </c>
      <c r="BO105" s="35" t="str">
        <f ca="1">IFERROR(VALUE(separ(INDEX(Sheet!Y$2:Y$7967,$A105),"-",1)),"")</f>
        <v/>
      </c>
      <c r="BP105" s="35" t="str">
        <f ca="1">IFERROR(VALUE(separ(INDEX(Sheet!Z$2:Z$7967,$A105),"-",1)),"")</f>
        <v/>
      </c>
      <c r="BQ105" s="35" t="str">
        <f ca="1">IFERROR(VALUE(separ(INDEX(Sheet!AA$2:AA$7967,$A105),"-",1)),"")</f>
        <v/>
      </c>
      <c r="BR105" s="35" t="str">
        <f ca="1">IFERROR(VALUE(separ(INDEX(Sheet!AB$2:AB$7967,$A105),"-",1)),"")</f>
        <v/>
      </c>
      <c r="BS105" s="35" t="str">
        <f ca="1">IFERROR(VALUE(separ(INDEX(Sheet!AC$2:AC$7967,$A105),"-",1)),"")</f>
        <v/>
      </c>
      <c r="BT105" s="35" t="str">
        <f ca="1">IFERROR(VALUE(separ(INDEX(Sheet!AD$2:AD$7967,$A105),"-",1)),"")</f>
        <v/>
      </c>
      <c r="BU105" s="35" t="str">
        <f ca="1">IFERROR(VALUE(separ(INDEX(Sheet!AE$2:AE$7967,$A105),"-",1)),"")</f>
        <v/>
      </c>
      <c r="BV105" s="35"/>
      <c r="BW105" s="35" t="str">
        <f ca="1">IFERROR((separ(INDEX(Sheet!Q$2:Q$7967,$A105),"-",2)),"")</f>
        <v/>
      </c>
      <c r="BX105" s="35" t="str">
        <f ca="1">IFERROR((separ(INDEX(Sheet!R$2:R$7967,$A105),"-",2)),"")</f>
        <v/>
      </c>
      <c r="BY105" s="35" t="str">
        <f ca="1">IFERROR((separ(INDEX(Sheet!S$2:S$7967,$A105),"-",2)),"")</f>
        <v/>
      </c>
      <c r="BZ105" s="35" t="str">
        <f ca="1">IFERROR((separ(INDEX(Sheet!T$2:T$7967,$A105),"-",2)),"")</f>
        <v/>
      </c>
      <c r="CA105" s="35" t="str">
        <f ca="1">IFERROR((separ(INDEX(Sheet!U$2:U$7967,$A105),"-",2)),"")</f>
        <v/>
      </c>
      <c r="CB105" s="35" t="str">
        <f ca="1">IFERROR((separ(INDEX(Sheet!V$2:V$7967,$A105),"-",2)),"")</f>
        <v/>
      </c>
      <c r="CC105" s="35" t="str">
        <f ca="1">IFERROR((separ(INDEX(Sheet!W$2:W$7967,$A105),"-",2)),"")</f>
        <v/>
      </c>
      <c r="CD105" s="35" t="str">
        <f ca="1">IFERROR((separ(INDEX(Sheet!X$2:X$7967,$A105),"-",2)),"")</f>
        <v/>
      </c>
      <c r="CE105" s="35" t="str">
        <f ca="1">IFERROR((separ(INDEX(Sheet!Y$2:Y$7967,$A105),"-",2)),"")</f>
        <v/>
      </c>
      <c r="CF105" s="35" t="str">
        <f ca="1">IFERROR((separ(INDEX(Sheet!Z$2:Z$7967,$A105),"-",2)),"")</f>
        <v/>
      </c>
      <c r="CG105" s="35" t="str">
        <f ca="1">IFERROR((separ(INDEX(Sheet!AA$2:AA$7967,$A105),"-",2)),"")</f>
        <v/>
      </c>
      <c r="CH105" s="35" t="str">
        <f ca="1">IFERROR((separ(INDEX(Sheet!AB$2:AB$7967,$A105),"-",2)),"")</f>
        <v/>
      </c>
      <c r="CI105" s="35" t="str">
        <f ca="1">IFERROR((separ(INDEX(Sheet!AC$2:AC$7967,$A105),"-",2)),"")</f>
        <v/>
      </c>
      <c r="CJ105" s="35" t="str">
        <f ca="1">IFERROR((separ(INDEX(Sheet!AD$2:AD$7967,$A105),"-",2)),"")</f>
        <v/>
      </c>
      <c r="CK105" s="35" t="str">
        <f ca="1">IFERROR((separ(INDEX(Sheet!AE$2:AE$7967,$A105),"-",2)),"")</f>
        <v/>
      </c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</row>
    <row r="106" spans="1:104" s="29" customFormat="1">
      <c r="A106" s="45" t="str">
        <f ca="1">IFERROR(MATCH($B$3,OFFSET(Sheet!$D$2,A105,0):'Sheet'!$D$7657,0)+A105,"")</f>
        <v/>
      </c>
      <c r="B106" s="29" t="str">
        <f ca="1">IF(ROW(A99)&lt;=COUNT($A$6:$A$800),INDEX(Sheet!$A$2:$A$7967,$A106),IF(ROW(A99)=COUNT($A$6:$A$800)+1," ",IF(ROW(A99)=COUNT($A$6:$A$800)+2,"  ","")))</f>
        <v/>
      </c>
      <c r="C106" s="67" t="str">
        <f ca="1">IF($A106="","",INDEX(Sheet!E$2:E$7967,$A106))</f>
        <v/>
      </c>
      <c r="D106" s="31" t="str">
        <f ca="1">IF(B103=" ",$AR$1,IF(B106=" ",$AQ$1,IF(A106="","",INDEX(Sheet!G$2:G$7967,$A106))))</f>
        <v/>
      </c>
      <c r="E106" s="32" t="str">
        <f ca="1">IF($A106="","",TEXT(INDEX(Sheet!J$2:J$7967,$A106),"#,#")&amp;" "&amp;INDEX(Sheet!AT$2:AT$7967,$A106))</f>
        <v/>
      </c>
      <c r="F106" s="53" t="str">
        <f ca="1">IF($A106="","",INDEX(Sheet!F$2:F$7967,$A106))</f>
        <v/>
      </c>
      <c r="G106" s="32" t="str">
        <f ca="1">IF($A106="","",INDEX(Sheet!I$2:I$7967,$A106))</f>
        <v/>
      </c>
      <c r="H106" s="32" t="str">
        <f ca="1">IF($A106="","",INDEX(Sheet!L$2:L$7967,$A106))</f>
        <v/>
      </c>
      <c r="I106" s="32" t="str">
        <f ca="1">IF($A106="","",INDEX(Sheet!N$2:N$7967,$A106))</f>
        <v/>
      </c>
      <c r="J106" s="53" t="str">
        <f ca="1">IF($A106="","",INDEX(Sheet!AS$2:AS$7967,$A106))</f>
        <v/>
      </c>
      <c r="K106" s="33" t="str">
        <f ca="1">IF($A106="","",IF(INDEX(Sheet!S$2:S$7967,$A106)="","",INDEX(Sheet!S$2:S$7967,$A106)))</f>
        <v/>
      </c>
      <c r="L106" s="33" t="str">
        <f ca="1">IF($A106="","",IF(INDEX(Sheet!R$2:R$7967,$A106)="","",INDEX(Sheet!R$2:R$7967,$A106)))</f>
        <v/>
      </c>
      <c r="M106" s="33" t="str">
        <f ca="1">IF($A106="","",IF(INDEX(Sheet!AO$2:AO$7967,$A106)="","",INDEX(Sheet!AO$2:AO$7967,$A106)))</f>
        <v/>
      </c>
      <c r="N106" s="33" t="str">
        <f ca="1">IF($A106="","",IF(INDEX(Sheet!T$2:T$7967,$A106)="","",INDEX(Sheet!T$2:T$7967,$A106)))</f>
        <v/>
      </c>
      <c r="O106" s="33" t="str">
        <f ca="1">IF($A106="","",IF(INDEX(Sheet!U$2:U$7967,$A106)="","",INDEX(Sheet!U$2:U$7967,$A106)))</f>
        <v/>
      </c>
      <c r="P106" s="33" t="str">
        <f ca="1">IF($A106="","",IF(INDEX(Sheet!W$2:W$7967,$A106)="","",INDEX(Sheet!W$2:W$7967,$A106)))</f>
        <v/>
      </c>
      <c r="Q106" s="33" t="str">
        <f ca="1">IF($A106="","",IF(INDEX(Sheet!V$2:V$7967,$A106)="","",INDEX(Sheet!V$2:V$7967,$A106)))</f>
        <v/>
      </c>
      <c r="R106" s="33" t="str">
        <f ca="1">IF($A106="","",IF(INDEX(Sheet!Z$2:Z$7967,$A106)="","",INDEX(Sheet!Z$2:Z$7967,$A106)))</f>
        <v/>
      </c>
      <c r="S106" s="33" t="str">
        <f ca="1">IF($A106="","",IF(INDEX(Sheet!Y$2:Y$7967,$A106)="","",INDEX(Sheet!Y$2:Y$7967,$A106)))</f>
        <v/>
      </c>
      <c r="T106" s="33" t="str">
        <f ca="1">IF($A106="","",IF(INDEX(Sheet!X$2:X$7967,$A106)="","",INDEX(Sheet!X$2:X$7967,$A106)))</f>
        <v/>
      </c>
      <c r="U106" s="33" t="str">
        <f ca="1">IF($A106="","",IF(INDEX(Sheet!AA$2:AA$7967,$A106)="","",INDEX(Sheet!AA$2:AA$7967,$A106)))</f>
        <v/>
      </c>
      <c r="V106" s="33" t="str">
        <f ca="1">IF($A106="","",IF(INDEX(Sheet!AB$2:AB$7967,$A106)="","",INDEX(Sheet!AB$2:AB$7967,$A106)))</f>
        <v/>
      </c>
      <c r="W106" s="33" t="str">
        <f ca="1">IF($A106="","",IF(INDEX(Sheet!AH$2:AH$7967,$A106)="","",INDEX(Sheet!AH$2:AH$7967,$A106)))</f>
        <v/>
      </c>
      <c r="X106" s="33" t="str">
        <f ca="1">IF($A106="","",IF(INDEX(Sheet!AC$2:AC$7967,$A106)="","",INDEX(Sheet!AC$2:AC$7967,$A106)))</f>
        <v/>
      </c>
      <c r="Y106" s="33" t="str">
        <f ca="1">IF($A106="","",IF(INDEX(Sheet!AD$2:AD$7967,$A106)="","",INDEX(Sheet!AD$2:AD$7967,$A106)))</f>
        <v/>
      </c>
      <c r="Z106" s="33" t="str">
        <f ca="1">IF($A106="","",IF(INDEX(Sheet!AL$2:AL$7967,$A106)="","",INDEX(Sheet!AL$2:AL$7967,$A106)))</f>
        <v/>
      </c>
      <c r="AA106" s="33" t="str">
        <f ca="1">IF($A106="","",IF(INDEX(Sheet!AE$2:AE$7967,$A106)="","",INDEX(Sheet!AE$2:AE$7967,$A106)))</f>
        <v/>
      </c>
      <c r="AB106" s="33" t="str">
        <f ca="1">IF($A106="","",IF(INDEX(Sheet!AF$2:AF$7967,$A106)="","",INDEX(Sheet!AF$2:AF$7967,$A106)))</f>
        <v/>
      </c>
      <c r="AC106" s="33" t="str">
        <f ca="1">IF($A106="","",IF(INDEX(Sheet!AG$2:AG$7967,$A106)="","",INDEX(Sheet!AG$2:AG$7967,$A106)))</f>
        <v/>
      </c>
      <c r="AD106" s="33" t="str">
        <f ca="1">IF($A106="","",IF(INDEX(Sheet!AM$2:AM$7967,$A106)="","",INDEX(Sheet!AM$2:AM$7967,$A106)))</f>
        <v/>
      </c>
      <c r="AE106" s="33" t="str">
        <f ca="1">IF($A106="","",IF(INDEX(Sheet!AJ$2:AJ$7967,$A106)="","",INDEX(Sheet!AJ$2:AJ$7967,$A106)))</f>
        <v/>
      </c>
      <c r="AF106" s="33" t="str">
        <f ca="1">IF($A106="","",IF(INDEX(Sheet!AI$2:AI$7967,$A106)="","",INDEX(Sheet!AI$2:AI$7967,$A106)))</f>
        <v/>
      </c>
      <c r="AG106" s="33" t="str">
        <f ca="1">IF(D106="duyệt sản xuất"," Bảo Bảo, Ngày "&amp;DAY($J$4)&amp;" Tháng "&amp;MONTH($J$4)&amp;" Năm "&amp;YEAR($J$4),IF(D106="Phê duyệt","NGƯỜI LẬP",IF(D106="Nguyễn Ngọc Thắng","NGUYỄN THỊ MAI",IF($A106="","",INDEX(Sheet!AK$2:AK$7967,$A106)))))</f>
        <v/>
      </c>
      <c r="AH106" s="58" t="str">
        <f ca="1">IF($A106="","",INDEX(Sheet!AR$2:AR$7967,$A106)&amp;" ; "&amp;INDEX(Sheet!M$2:M$7967,$A106))</f>
        <v/>
      </c>
      <c r="AI106" s="1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G106" s="35" t="str">
        <f ca="1">IFERROR(VALUE(separ(INDEX(Sheet!Q$2:Q$7967,$A106),"-",1)),"")</f>
        <v/>
      </c>
      <c r="BH106" s="35" t="str">
        <f ca="1">IFERROR(VALUE(separ(INDEX(Sheet!R$2:R$7967,$A106),"-",1)),"")</f>
        <v/>
      </c>
      <c r="BI106" s="35" t="str">
        <f ca="1">IFERROR(VALUE(separ(INDEX(Sheet!S$2:S$7967,$A106),"-",1)),"")</f>
        <v/>
      </c>
      <c r="BJ106" s="35" t="str">
        <f ca="1">IFERROR(VALUE(separ(INDEX(Sheet!T$2:T$7967,$A106),"-",1)),"")</f>
        <v/>
      </c>
      <c r="BK106" s="35" t="str">
        <f ca="1">IFERROR(VALUE(separ(INDEX(Sheet!U$2:U$7967,$A106),"-",1)),"")</f>
        <v/>
      </c>
      <c r="BL106" s="35" t="str">
        <f ca="1">IFERROR(VALUE(separ(INDEX(Sheet!V$2:V$7967,$A106),"-",1)),"")</f>
        <v/>
      </c>
      <c r="BM106" s="35" t="str">
        <f ca="1">IFERROR(VALUE(separ(INDEX(Sheet!W$2:W$7967,$A106),"-",1)),"")</f>
        <v/>
      </c>
      <c r="BN106" s="35" t="str">
        <f ca="1">IFERROR(VALUE(separ(INDEX(Sheet!X$2:X$7967,$A106),"-",1)),"")</f>
        <v/>
      </c>
      <c r="BO106" s="35" t="str">
        <f ca="1">IFERROR(VALUE(separ(INDEX(Sheet!Y$2:Y$7967,$A106),"-",1)),"")</f>
        <v/>
      </c>
      <c r="BP106" s="35" t="str">
        <f ca="1">IFERROR(VALUE(separ(INDEX(Sheet!Z$2:Z$7967,$A106),"-",1)),"")</f>
        <v/>
      </c>
      <c r="BQ106" s="35" t="str">
        <f ca="1">IFERROR(VALUE(separ(INDEX(Sheet!AA$2:AA$7967,$A106),"-",1)),"")</f>
        <v/>
      </c>
      <c r="BR106" s="35" t="str">
        <f ca="1">IFERROR(VALUE(separ(INDEX(Sheet!AB$2:AB$7967,$A106),"-",1)),"")</f>
        <v/>
      </c>
      <c r="BS106" s="35" t="str">
        <f ca="1">IFERROR(VALUE(separ(INDEX(Sheet!AC$2:AC$7967,$A106),"-",1)),"")</f>
        <v/>
      </c>
      <c r="BT106" s="35" t="str">
        <f ca="1">IFERROR(VALUE(separ(INDEX(Sheet!AD$2:AD$7967,$A106),"-",1)),"")</f>
        <v/>
      </c>
      <c r="BU106" s="35" t="str">
        <f ca="1">IFERROR(VALUE(separ(INDEX(Sheet!AE$2:AE$7967,$A106),"-",1)),"")</f>
        <v/>
      </c>
      <c r="BV106" s="35"/>
      <c r="BW106" s="35" t="str">
        <f ca="1">IFERROR((separ(INDEX(Sheet!Q$2:Q$7967,$A106),"-",2)),"")</f>
        <v/>
      </c>
      <c r="BX106" s="35" t="str">
        <f ca="1">IFERROR((separ(INDEX(Sheet!R$2:R$7967,$A106),"-",2)),"")</f>
        <v/>
      </c>
      <c r="BY106" s="35" t="str">
        <f ca="1">IFERROR((separ(INDEX(Sheet!S$2:S$7967,$A106),"-",2)),"")</f>
        <v/>
      </c>
      <c r="BZ106" s="35" t="str">
        <f ca="1">IFERROR((separ(INDEX(Sheet!T$2:T$7967,$A106),"-",2)),"")</f>
        <v/>
      </c>
      <c r="CA106" s="35" t="str">
        <f ca="1">IFERROR((separ(INDEX(Sheet!U$2:U$7967,$A106),"-",2)),"")</f>
        <v/>
      </c>
      <c r="CB106" s="35" t="str">
        <f ca="1">IFERROR((separ(INDEX(Sheet!V$2:V$7967,$A106),"-",2)),"")</f>
        <v/>
      </c>
      <c r="CC106" s="35" t="str">
        <f ca="1">IFERROR((separ(INDEX(Sheet!W$2:W$7967,$A106),"-",2)),"")</f>
        <v/>
      </c>
      <c r="CD106" s="35" t="str">
        <f ca="1">IFERROR((separ(INDEX(Sheet!X$2:X$7967,$A106),"-",2)),"")</f>
        <v/>
      </c>
      <c r="CE106" s="35" t="str">
        <f ca="1">IFERROR((separ(INDEX(Sheet!Y$2:Y$7967,$A106),"-",2)),"")</f>
        <v/>
      </c>
      <c r="CF106" s="35" t="str">
        <f ca="1">IFERROR((separ(INDEX(Sheet!Z$2:Z$7967,$A106),"-",2)),"")</f>
        <v/>
      </c>
      <c r="CG106" s="35" t="str">
        <f ca="1">IFERROR((separ(INDEX(Sheet!AA$2:AA$7967,$A106),"-",2)),"")</f>
        <v/>
      </c>
      <c r="CH106" s="35" t="str">
        <f ca="1">IFERROR((separ(INDEX(Sheet!AB$2:AB$7967,$A106),"-",2)),"")</f>
        <v/>
      </c>
      <c r="CI106" s="35" t="str">
        <f ca="1">IFERROR((separ(INDEX(Sheet!AC$2:AC$7967,$A106),"-",2)),"")</f>
        <v/>
      </c>
      <c r="CJ106" s="35" t="str">
        <f ca="1">IFERROR((separ(INDEX(Sheet!AD$2:AD$7967,$A106),"-",2)),"")</f>
        <v/>
      </c>
      <c r="CK106" s="35" t="str">
        <f ca="1">IFERROR((separ(INDEX(Sheet!AE$2:AE$7967,$A106),"-",2)),"")</f>
        <v/>
      </c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</row>
    <row r="107" spans="1:104" s="29" customFormat="1">
      <c r="A107" s="45" t="str">
        <f ca="1">IFERROR(MATCH($B$3,OFFSET(Sheet!$D$2,A106,0):'Sheet'!$D$7657,0)+A106,"")</f>
        <v/>
      </c>
      <c r="B107" s="29" t="str">
        <f ca="1">IF(ROW(A100)&lt;=COUNT($A$6:$A$800),INDEX(Sheet!$A$2:$A$7967,$A107),IF(ROW(A100)=COUNT($A$6:$A$800)+1," ",IF(ROW(A100)=COUNT($A$6:$A$800)+2,"  ","")))</f>
        <v/>
      </c>
      <c r="C107" s="67" t="str">
        <f ca="1">IF($A107="","",INDEX(Sheet!E$2:E$7967,$A107))</f>
        <v/>
      </c>
      <c r="D107" s="31" t="str">
        <f ca="1">IF(B104=" ",$AR$1,IF(B107=" ",$AQ$1,IF(A107="","",INDEX(Sheet!G$2:G$7967,$A107))))</f>
        <v/>
      </c>
      <c r="E107" s="32" t="str">
        <f ca="1">IF($A107="","",TEXT(INDEX(Sheet!J$2:J$7967,$A107),"#,#")&amp;" "&amp;INDEX(Sheet!AT$2:AT$7967,$A107))</f>
        <v/>
      </c>
      <c r="F107" s="53" t="str">
        <f ca="1">IF($A107="","",INDEX(Sheet!F$2:F$7967,$A107))</f>
        <v/>
      </c>
      <c r="G107" s="32" t="str">
        <f ca="1">IF($A107="","",INDEX(Sheet!I$2:I$7967,$A107))</f>
        <v/>
      </c>
      <c r="H107" s="32" t="str">
        <f ca="1">IF($A107="","",INDEX(Sheet!L$2:L$7967,$A107))</f>
        <v/>
      </c>
      <c r="I107" s="32" t="str">
        <f ca="1">IF($A107="","",INDEX(Sheet!N$2:N$7967,$A107))</f>
        <v/>
      </c>
      <c r="J107" s="53" t="str">
        <f ca="1">IF($A107="","",INDEX(Sheet!AS$2:AS$7967,$A107))</f>
        <v/>
      </c>
      <c r="K107" s="33" t="str">
        <f ca="1">IF($A107="","",IF(INDEX(Sheet!S$2:S$7967,$A107)="","",INDEX(Sheet!S$2:S$7967,$A107)))</f>
        <v/>
      </c>
      <c r="L107" s="33" t="str">
        <f ca="1">IF($A107="","",IF(INDEX(Sheet!R$2:R$7967,$A107)="","",INDEX(Sheet!R$2:R$7967,$A107)))</f>
        <v/>
      </c>
      <c r="M107" s="33" t="str">
        <f ca="1">IF($A107="","",IF(INDEX(Sheet!AO$2:AO$7967,$A107)="","",INDEX(Sheet!AO$2:AO$7967,$A107)))</f>
        <v/>
      </c>
      <c r="N107" s="33" t="str">
        <f ca="1">IF($A107="","",IF(INDEX(Sheet!T$2:T$7967,$A107)="","",INDEX(Sheet!T$2:T$7967,$A107)))</f>
        <v/>
      </c>
      <c r="O107" s="33" t="str">
        <f ca="1">IF($A107="","",IF(INDEX(Sheet!U$2:U$7967,$A107)="","",INDEX(Sheet!U$2:U$7967,$A107)))</f>
        <v/>
      </c>
      <c r="P107" s="33" t="str">
        <f ca="1">IF($A107="","",IF(INDEX(Sheet!W$2:W$7967,$A107)="","",INDEX(Sheet!W$2:W$7967,$A107)))</f>
        <v/>
      </c>
      <c r="Q107" s="33" t="str">
        <f ca="1">IF($A107="","",IF(INDEX(Sheet!V$2:V$7967,$A107)="","",INDEX(Sheet!V$2:V$7967,$A107)))</f>
        <v/>
      </c>
      <c r="R107" s="33" t="str">
        <f ca="1">IF($A107="","",IF(INDEX(Sheet!Z$2:Z$7967,$A107)="","",INDEX(Sheet!Z$2:Z$7967,$A107)))</f>
        <v/>
      </c>
      <c r="S107" s="33" t="str">
        <f ca="1">IF($A107="","",IF(INDEX(Sheet!Y$2:Y$7967,$A107)="","",INDEX(Sheet!Y$2:Y$7967,$A107)))</f>
        <v/>
      </c>
      <c r="T107" s="33" t="str">
        <f ca="1">IF($A107="","",IF(INDEX(Sheet!X$2:X$7967,$A107)="","",INDEX(Sheet!X$2:X$7967,$A107)))</f>
        <v/>
      </c>
      <c r="U107" s="33" t="str">
        <f ca="1">IF($A107="","",IF(INDEX(Sheet!AA$2:AA$7967,$A107)="","",INDEX(Sheet!AA$2:AA$7967,$A107)))</f>
        <v/>
      </c>
      <c r="V107" s="33" t="str">
        <f ca="1">IF($A107="","",IF(INDEX(Sheet!AB$2:AB$7967,$A107)="","",INDEX(Sheet!AB$2:AB$7967,$A107)))</f>
        <v/>
      </c>
      <c r="W107" s="33" t="str">
        <f ca="1">IF($A107="","",IF(INDEX(Sheet!AH$2:AH$7967,$A107)="","",INDEX(Sheet!AH$2:AH$7967,$A107)))</f>
        <v/>
      </c>
      <c r="X107" s="33" t="str">
        <f ca="1">IF($A107="","",IF(INDEX(Sheet!AC$2:AC$7967,$A107)="","",INDEX(Sheet!AC$2:AC$7967,$A107)))</f>
        <v/>
      </c>
      <c r="Y107" s="33" t="str">
        <f ca="1">IF($A107="","",IF(INDEX(Sheet!AD$2:AD$7967,$A107)="","",INDEX(Sheet!AD$2:AD$7967,$A107)))</f>
        <v/>
      </c>
      <c r="Z107" s="33" t="str">
        <f ca="1">IF($A107="","",IF(INDEX(Sheet!AL$2:AL$7967,$A107)="","",INDEX(Sheet!AL$2:AL$7967,$A107)))</f>
        <v/>
      </c>
      <c r="AA107" s="33" t="str">
        <f ca="1">IF($A107="","",IF(INDEX(Sheet!AE$2:AE$7967,$A107)="","",INDEX(Sheet!AE$2:AE$7967,$A107)))</f>
        <v/>
      </c>
      <c r="AB107" s="33" t="str">
        <f ca="1">IF($A107="","",IF(INDEX(Sheet!AF$2:AF$7967,$A107)="","",INDEX(Sheet!AF$2:AF$7967,$A107)))</f>
        <v/>
      </c>
      <c r="AC107" s="33" t="str">
        <f ca="1">IF($A107="","",IF(INDEX(Sheet!AG$2:AG$7967,$A107)="","",INDEX(Sheet!AG$2:AG$7967,$A107)))</f>
        <v/>
      </c>
      <c r="AD107" s="33" t="str">
        <f ca="1">IF($A107="","",IF(INDEX(Sheet!AM$2:AM$7967,$A107)="","",INDEX(Sheet!AM$2:AM$7967,$A107)))</f>
        <v/>
      </c>
      <c r="AE107" s="33" t="str">
        <f ca="1">IF($A107="","",IF(INDEX(Sheet!AJ$2:AJ$7967,$A107)="","",INDEX(Sheet!AJ$2:AJ$7967,$A107)))</f>
        <v/>
      </c>
      <c r="AF107" s="33" t="str">
        <f ca="1">IF($A107="","",IF(INDEX(Sheet!AI$2:AI$7967,$A107)="","",INDEX(Sheet!AI$2:AI$7967,$A107)))</f>
        <v/>
      </c>
      <c r="AG107" s="33" t="str">
        <f ca="1">IF(D107="duyệt sản xuất"," Bảo Bảo, Ngày "&amp;DAY($J$4)&amp;" Tháng "&amp;MONTH($J$4)&amp;" Năm "&amp;YEAR($J$4),IF(D107="Phê duyệt","NGƯỜI LẬP",IF(D107="Nguyễn Ngọc Thắng","NGUYỄN THỊ MAI",IF($A107="","",INDEX(Sheet!AK$2:AK$7967,$A107)))))</f>
        <v/>
      </c>
      <c r="AH107" s="58" t="str">
        <f ca="1">IF($A107="","",INDEX(Sheet!AR$2:AR$7967,$A107)&amp;" ; "&amp;INDEX(Sheet!M$2:M$7967,$A107))</f>
        <v/>
      </c>
      <c r="AI107" s="1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G107" s="35" t="str">
        <f ca="1">IFERROR(VALUE(separ(INDEX(Sheet!Q$2:Q$7967,$A107),"-",1)),"")</f>
        <v/>
      </c>
      <c r="BH107" s="35" t="str">
        <f ca="1">IFERROR(VALUE(separ(INDEX(Sheet!R$2:R$7967,$A107),"-",1)),"")</f>
        <v/>
      </c>
      <c r="BI107" s="35" t="str">
        <f ca="1">IFERROR(VALUE(separ(INDEX(Sheet!S$2:S$7967,$A107),"-",1)),"")</f>
        <v/>
      </c>
      <c r="BJ107" s="35" t="str">
        <f ca="1">IFERROR(VALUE(separ(INDEX(Sheet!T$2:T$7967,$A107),"-",1)),"")</f>
        <v/>
      </c>
      <c r="BK107" s="35" t="str">
        <f ca="1">IFERROR(VALUE(separ(INDEX(Sheet!U$2:U$7967,$A107),"-",1)),"")</f>
        <v/>
      </c>
      <c r="BL107" s="35" t="str">
        <f ca="1">IFERROR(VALUE(separ(INDEX(Sheet!V$2:V$7967,$A107),"-",1)),"")</f>
        <v/>
      </c>
      <c r="BM107" s="35" t="str">
        <f ca="1">IFERROR(VALUE(separ(INDEX(Sheet!W$2:W$7967,$A107),"-",1)),"")</f>
        <v/>
      </c>
      <c r="BN107" s="35" t="str">
        <f ca="1">IFERROR(VALUE(separ(INDEX(Sheet!X$2:X$7967,$A107),"-",1)),"")</f>
        <v/>
      </c>
      <c r="BO107" s="35" t="str">
        <f ca="1">IFERROR(VALUE(separ(INDEX(Sheet!Y$2:Y$7967,$A107),"-",1)),"")</f>
        <v/>
      </c>
      <c r="BP107" s="35" t="str">
        <f ca="1">IFERROR(VALUE(separ(INDEX(Sheet!Z$2:Z$7967,$A107),"-",1)),"")</f>
        <v/>
      </c>
      <c r="BQ107" s="35" t="str">
        <f ca="1">IFERROR(VALUE(separ(INDEX(Sheet!AA$2:AA$7967,$A107),"-",1)),"")</f>
        <v/>
      </c>
      <c r="BR107" s="35" t="str">
        <f ca="1">IFERROR(VALUE(separ(INDEX(Sheet!AB$2:AB$7967,$A107),"-",1)),"")</f>
        <v/>
      </c>
      <c r="BS107" s="35" t="str">
        <f ca="1">IFERROR(VALUE(separ(INDEX(Sheet!AC$2:AC$7967,$A107),"-",1)),"")</f>
        <v/>
      </c>
      <c r="BT107" s="35" t="str">
        <f ca="1">IFERROR(VALUE(separ(INDEX(Sheet!AD$2:AD$7967,$A107),"-",1)),"")</f>
        <v/>
      </c>
      <c r="BU107" s="35" t="str">
        <f ca="1">IFERROR(VALUE(separ(INDEX(Sheet!AE$2:AE$7967,$A107),"-",1)),"")</f>
        <v/>
      </c>
      <c r="BV107" s="35"/>
      <c r="BW107" s="35" t="str">
        <f ca="1">IFERROR((separ(INDEX(Sheet!Q$2:Q$7967,$A107),"-",2)),"")</f>
        <v/>
      </c>
      <c r="BX107" s="35" t="str">
        <f ca="1">IFERROR((separ(INDEX(Sheet!R$2:R$7967,$A107),"-",2)),"")</f>
        <v/>
      </c>
      <c r="BY107" s="35" t="str">
        <f ca="1">IFERROR((separ(INDEX(Sheet!S$2:S$7967,$A107),"-",2)),"")</f>
        <v/>
      </c>
      <c r="BZ107" s="35" t="str">
        <f ca="1">IFERROR((separ(INDEX(Sheet!T$2:T$7967,$A107),"-",2)),"")</f>
        <v/>
      </c>
      <c r="CA107" s="35" t="str">
        <f ca="1">IFERROR((separ(INDEX(Sheet!U$2:U$7967,$A107),"-",2)),"")</f>
        <v/>
      </c>
      <c r="CB107" s="35" t="str">
        <f ca="1">IFERROR((separ(INDEX(Sheet!V$2:V$7967,$A107),"-",2)),"")</f>
        <v/>
      </c>
      <c r="CC107" s="35" t="str">
        <f ca="1">IFERROR((separ(INDEX(Sheet!W$2:W$7967,$A107),"-",2)),"")</f>
        <v/>
      </c>
      <c r="CD107" s="35" t="str">
        <f ca="1">IFERROR((separ(INDEX(Sheet!X$2:X$7967,$A107),"-",2)),"")</f>
        <v/>
      </c>
      <c r="CE107" s="35" t="str">
        <f ca="1">IFERROR((separ(INDEX(Sheet!Y$2:Y$7967,$A107),"-",2)),"")</f>
        <v/>
      </c>
      <c r="CF107" s="35" t="str">
        <f ca="1">IFERROR((separ(INDEX(Sheet!Z$2:Z$7967,$A107),"-",2)),"")</f>
        <v/>
      </c>
      <c r="CG107" s="35" t="str">
        <f ca="1">IFERROR((separ(INDEX(Sheet!AA$2:AA$7967,$A107),"-",2)),"")</f>
        <v/>
      </c>
      <c r="CH107" s="35" t="str">
        <f ca="1">IFERROR((separ(INDEX(Sheet!AB$2:AB$7967,$A107),"-",2)),"")</f>
        <v/>
      </c>
      <c r="CI107" s="35" t="str">
        <f ca="1">IFERROR((separ(INDEX(Sheet!AC$2:AC$7967,$A107),"-",2)),"")</f>
        <v/>
      </c>
      <c r="CJ107" s="35" t="str">
        <f ca="1">IFERROR((separ(INDEX(Sheet!AD$2:AD$7967,$A107),"-",2)),"")</f>
        <v/>
      </c>
      <c r="CK107" s="35" t="str">
        <f ca="1">IFERROR((separ(INDEX(Sheet!AE$2:AE$7967,$A107),"-",2)),"")</f>
        <v/>
      </c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</row>
    <row r="108" spans="1:104" s="29" customFormat="1">
      <c r="A108" s="45" t="str">
        <f ca="1">IFERROR(MATCH($B$3,OFFSET(Sheet!$D$2,A107,0):'Sheet'!$D$7657,0)+A107,"")</f>
        <v/>
      </c>
      <c r="B108" s="29" t="str">
        <f ca="1">IF(ROW(A101)&lt;=COUNT($A$6:$A$800),INDEX(Sheet!$A$2:$A$7967,$A108),IF(ROW(A101)=COUNT($A$6:$A$800)+1," ",IF(ROW(A101)=COUNT($A$6:$A$800)+2,"  ","")))</f>
        <v/>
      </c>
      <c r="C108" s="67" t="str">
        <f ca="1">IF($A108="","",INDEX(Sheet!E$2:E$7967,$A108))</f>
        <v/>
      </c>
      <c r="D108" s="31" t="str">
        <f ca="1">IF(B105=" ",$AR$1,IF(B108=" ",$AQ$1,IF(A108="","",INDEX(Sheet!G$2:G$7967,$A108))))</f>
        <v/>
      </c>
      <c r="E108" s="32" t="str">
        <f ca="1">IF($A108="","",TEXT(INDEX(Sheet!J$2:J$7967,$A108),"#,#")&amp;" "&amp;INDEX(Sheet!AT$2:AT$7967,$A108))</f>
        <v/>
      </c>
      <c r="F108" s="53" t="str">
        <f ca="1">IF($A108="","",INDEX(Sheet!F$2:F$7967,$A108))</f>
        <v/>
      </c>
      <c r="G108" s="32" t="str">
        <f ca="1">IF($A108="","",INDEX(Sheet!I$2:I$7967,$A108))</f>
        <v/>
      </c>
      <c r="H108" s="32" t="str">
        <f ca="1">IF($A108="","",INDEX(Sheet!L$2:L$7967,$A108))</f>
        <v/>
      </c>
      <c r="I108" s="32" t="str">
        <f ca="1">IF($A108="","",INDEX(Sheet!N$2:N$7967,$A108))</f>
        <v/>
      </c>
      <c r="J108" s="53" t="str">
        <f ca="1">IF($A108="","",INDEX(Sheet!AS$2:AS$7967,$A108))</f>
        <v/>
      </c>
      <c r="K108" s="33" t="str">
        <f ca="1">IF($A108="","",IF(INDEX(Sheet!S$2:S$7967,$A108)="","",INDEX(Sheet!S$2:S$7967,$A108)))</f>
        <v/>
      </c>
      <c r="L108" s="33" t="str">
        <f ca="1">IF($A108="","",IF(INDEX(Sheet!R$2:R$7967,$A108)="","",INDEX(Sheet!R$2:R$7967,$A108)))</f>
        <v/>
      </c>
      <c r="M108" s="33" t="str">
        <f ca="1">IF($A108="","",IF(INDEX(Sheet!AO$2:AO$7967,$A108)="","",INDEX(Sheet!AO$2:AO$7967,$A108)))</f>
        <v/>
      </c>
      <c r="N108" s="33" t="str">
        <f ca="1">IF($A108="","",IF(INDEX(Sheet!T$2:T$7967,$A108)="","",INDEX(Sheet!T$2:T$7967,$A108)))</f>
        <v/>
      </c>
      <c r="O108" s="33" t="str">
        <f ca="1">IF($A108="","",IF(INDEX(Sheet!U$2:U$7967,$A108)="","",INDEX(Sheet!U$2:U$7967,$A108)))</f>
        <v/>
      </c>
      <c r="P108" s="33" t="str">
        <f ca="1">IF($A108="","",IF(INDEX(Sheet!W$2:W$7967,$A108)="","",INDEX(Sheet!W$2:W$7967,$A108)))</f>
        <v/>
      </c>
      <c r="Q108" s="33" t="str">
        <f ca="1">IF($A108="","",IF(INDEX(Sheet!V$2:V$7967,$A108)="","",INDEX(Sheet!V$2:V$7967,$A108)))</f>
        <v/>
      </c>
      <c r="R108" s="33" t="str">
        <f ca="1">IF($A108="","",IF(INDEX(Sheet!Z$2:Z$7967,$A108)="","",INDEX(Sheet!Z$2:Z$7967,$A108)))</f>
        <v/>
      </c>
      <c r="S108" s="33" t="str">
        <f ca="1">IF($A108="","",IF(INDEX(Sheet!Y$2:Y$7967,$A108)="","",INDEX(Sheet!Y$2:Y$7967,$A108)))</f>
        <v/>
      </c>
      <c r="T108" s="33" t="str">
        <f ca="1">IF($A108="","",IF(INDEX(Sheet!X$2:X$7967,$A108)="","",INDEX(Sheet!X$2:X$7967,$A108)))</f>
        <v/>
      </c>
      <c r="U108" s="33" t="str">
        <f ca="1">IF($A108="","",IF(INDEX(Sheet!AA$2:AA$7967,$A108)="","",INDEX(Sheet!AA$2:AA$7967,$A108)))</f>
        <v/>
      </c>
      <c r="V108" s="33" t="str">
        <f ca="1">IF($A108="","",IF(INDEX(Sheet!AB$2:AB$7967,$A108)="","",INDEX(Sheet!AB$2:AB$7967,$A108)))</f>
        <v/>
      </c>
      <c r="W108" s="33" t="str">
        <f ca="1">IF($A108="","",IF(INDEX(Sheet!AH$2:AH$7967,$A108)="","",INDEX(Sheet!AH$2:AH$7967,$A108)))</f>
        <v/>
      </c>
      <c r="X108" s="33" t="str">
        <f ca="1">IF($A108="","",IF(INDEX(Sheet!AC$2:AC$7967,$A108)="","",INDEX(Sheet!AC$2:AC$7967,$A108)))</f>
        <v/>
      </c>
      <c r="Y108" s="33" t="str">
        <f ca="1">IF($A108="","",IF(INDEX(Sheet!AD$2:AD$7967,$A108)="","",INDEX(Sheet!AD$2:AD$7967,$A108)))</f>
        <v/>
      </c>
      <c r="Z108" s="33" t="str">
        <f ca="1">IF($A108="","",IF(INDEX(Sheet!AL$2:AL$7967,$A108)="","",INDEX(Sheet!AL$2:AL$7967,$A108)))</f>
        <v/>
      </c>
      <c r="AA108" s="33" t="str">
        <f ca="1">IF($A108="","",IF(INDEX(Sheet!AE$2:AE$7967,$A108)="","",INDEX(Sheet!AE$2:AE$7967,$A108)))</f>
        <v/>
      </c>
      <c r="AB108" s="33" t="str">
        <f ca="1">IF($A108="","",IF(INDEX(Sheet!AF$2:AF$7967,$A108)="","",INDEX(Sheet!AF$2:AF$7967,$A108)))</f>
        <v/>
      </c>
      <c r="AC108" s="33" t="str">
        <f ca="1">IF($A108="","",IF(INDEX(Sheet!AG$2:AG$7967,$A108)="","",INDEX(Sheet!AG$2:AG$7967,$A108)))</f>
        <v/>
      </c>
      <c r="AD108" s="33" t="str">
        <f ca="1">IF($A108="","",IF(INDEX(Sheet!AM$2:AM$7967,$A108)="","",INDEX(Sheet!AM$2:AM$7967,$A108)))</f>
        <v/>
      </c>
      <c r="AE108" s="33" t="str">
        <f ca="1">IF($A108="","",IF(INDEX(Sheet!AJ$2:AJ$7967,$A108)="","",INDEX(Sheet!AJ$2:AJ$7967,$A108)))</f>
        <v/>
      </c>
      <c r="AF108" s="33" t="str">
        <f ca="1">IF($A108="","",IF(INDEX(Sheet!AI$2:AI$7967,$A108)="","",INDEX(Sheet!AI$2:AI$7967,$A108)))</f>
        <v/>
      </c>
      <c r="AG108" s="33" t="str">
        <f ca="1">IF(D108="duyệt sản xuất"," Bảo Bảo, Ngày "&amp;DAY($J$4)&amp;" Tháng "&amp;MONTH($J$4)&amp;" Năm "&amp;YEAR($J$4),IF(D108="Phê duyệt","NGƯỜI LẬP",IF(D108="Nguyễn Ngọc Thắng","NGUYỄN THỊ MAI",IF($A108="","",INDEX(Sheet!AK$2:AK$7967,$A108)))))</f>
        <v/>
      </c>
      <c r="AH108" s="58" t="str">
        <f ca="1">IF($A108="","",INDEX(Sheet!AR$2:AR$7967,$A108)&amp;" ; "&amp;INDEX(Sheet!M$2:M$7967,$A108))</f>
        <v/>
      </c>
      <c r="AI108" s="1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G108" s="35" t="str">
        <f ca="1">IFERROR(VALUE(separ(INDEX(Sheet!Q$2:Q$7967,$A108),"-",1)),"")</f>
        <v/>
      </c>
      <c r="BH108" s="35" t="str">
        <f ca="1">IFERROR(VALUE(separ(INDEX(Sheet!R$2:R$7967,$A108),"-",1)),"")</f>
        <v/>
      </c>
      <c r="BI108" s="35" t="str">
        <f ca="1">IFERROR(VALUE(separ(INDEX(Sheet!S$2:S$7967,$A108),"-",1)),"")</f>
        <v/>
      </c>
      <c r="BJ108" s="35" t="str">
        <f ca="1">IFERROR(VALUE(separ(INDEX(Sheet!T$2:T$7967,$A108),"-",1)),"")</f>
        <v/>
      </c>
      <c r="BK108" s="35" t="str">
        <f ca="1">IFERROR(VALUE(separ(INDEX(Sheet!U$2:U$7967,$A108),"-",1)),"")</f>
        <v/>
      </c>
      <c r="BL108" s="35" t="str">
        <f ca="1">IFERROR(VALUE(separ(INDEX(Sheet!V$2:V$7967,$A108),"-",1)),"")</f>
        <v/>
      </c>
      <c r="BM108" s="35" t="str">
        <f ca="1">IFERROR(VALUE(separ(INDEX(Sheet!W$2:W$7967,$A108),"-",1)),"")</f>
        <v/>
      </c>
      <c r="BN108" s="35" t="str">
        <f ca="1">IFERROR(VALUE(separ(INDEX(Sheet!X$2:X$7967,$A108),"-",1)),"")</f>
        <v/>
      </c>
      <c r="BO108" s="35" t="str">
        <f ca="1">IFERROR(VALUE(separ(INDEX(Sheet!Y$2:Y$7967,$A108),"-",1)),"")</f>
        <v/>
      </c>
      <c r="BP108" s="35" t="str">
        <f ca="1">IFERROR(VALUE(separ(INDEX(Sheet!Z$2:Z$7967,$A108),"-",1)),"")</f>
        <v/>
      </c>
      <c r="BQ108" s="35" t="str">
        <f ca="1">IFERROR(VALUE(separ(INDEX(Sheet!AA$2:AA$7967,$A108),"-",1)),"")</f>
        <v/>
      </c>
      <c r="BR108" s="35" t="str">
        <f ca="1">IFERROR(VALUE(separ(INDEX(Sheet!AB$2:AB$7967,$A108),"-",1)),"")</f>
        <v/>
      </c>
      <c r="BS108" s="35" t="str">
        <f ca="1">IFERROR(VALUE(separ(INDEX(Sheet!AC$2:AC$7967,$A108),"-",1)),"")</f>
        <v/>
      </c>
      <c r="BT108" s="35" t="str">
        <f ca="1">IFERROR(VALUE(separ(INDEX(Sheet!AD$2:AD$7967,$A108),"-",1)),"")</f>
        <v/>
      </c>
      <c r="BU108" s="35" t="str">
        <f ca="1">IFERROR(VALUE(separ(INDEX(Sheet!AE$2:AE$7967,$A108),"-",1)),"")</f>
        <v/>
      </c>
      <c r="BV108" s="35"/>
      <c r="BW108" s="35" t="str">
        <f ca="1">IFERROR((separ(INDEX(Sheet!Q$2:Q$7967,$A108),"-",2)),"")</f>
        <v/>
      </c>
      <c r="BX108" s="35" t="str">
        <f ca="1">IFERROR((separ(INDEX(Sheet!R$2:R$7967,$A108),"-",2)),"")</f>
        <v/>
      </c>
      <c r="BY108" s="35" t="str">
        <f ca="1">IFERROR((separ(INDEX(Sheet!S$2:S$7967,$A108),"-",2)),"")</f>
        <v/>
      </c>
      <c r="BZ108" s="35" t="str">
        <f ca="1">IFERROR((separ(INDEX(Sheet!T$2:T$7967,$A108),"-",2)),"")</f>
        <v/>
      </c>
      <c r="CA108" s="35" t="str">
        <f ca="1">IFERROR((separ(INDEX(Sheet!U$2:U$7967,$A108),"-",2)),"")</f>
        <v/>
      </c>
      <c r="CB108" s="35" t="str">
        <f ca="1">IFERROR((separ(INDEX(Sheet!V$2:V$7967,$A108),"-",2)),"")</f>
        <v/>
      </c>
      <c r="CC108" s="35" t="str">
        <f ca="1">IFERROR((separ(INDEX(Sheet!W$2:W$7967,$A108),"-",2)),"")</f>
        <v/>
      </c>
      <c r="CD108" s="35" t="str">
        <f ca="1">IFERROR((separ(INDEX(Sheet!X$2:X$7967,$A108),"-",2)),"")</f>
        <v/>
      </c>
      <c r="CE108" s="35" t="str">
        <f ca="1">IFERROR((separ(INDEX(Sheet!Y$2:Y$7967,$A108),"-",2)),"")</f>
        <v/>
      </c>
      <c r="CF108" s="35" t="str">
        <f ca="1">IFERROR((separ(INDEX(Sheet!Z$2:Z$7967,$A108),"-",2)),"")</f>
        <v/>
      </c>
      <c r="CG108" s="35" t="str">
        <f ca="1">IFERROR((separ(INDEX(Sheet!AA$2:AA$7967,$A108),"-",2)),"")</f>
        <v/>
      </c>
      <c r="CH108" s="35" t="str">
        <f ca="1">IFERROR((separ(INDEX(Sheet!AB$2:AB$7967,$A108),"-",2)),"")</f>
        <v/>
      </c>
      <c r="CI108" s="35" t="str">
        <f ca="1">IFERROR((separ(INDEX(Sheet!AC$2:AC$7967,$A108),"-",2)),"")</f>
        <v/>
      </c>
      <c r="CJ108" s="35" t="str">
        <f ca="1">IFERROR((separ(INDEX(Sheet!AD$2:AD$7967,$A108),"-",2)),"")</f>
        <v/>
      </c>
      <c r="CK108" s="35" t="str">
        <f ca="1">IFERROR((separ(INDEX(Sheet!AE$2:AE$7967,$A108),"-",2)),"")</f>
        <v/>
      </c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</row>
    <row r="109" spans="1:104" s="29" customFormat="1">
      <c r="A109" s="45" t="str">
        <f ca="1">IFERROR(MATCH($B$3,OFFSET(Sheet!$D$2,A108,0):'Sheet'!$D$7657,0)+A108,"")</f>
        <v/>
      </c>
      <c r="B109" s="29" t="str">
        <f ca="1">IF(ROW(A102)&lt;=COUNT($A$6:$A$800),INDEX(Sheet!$A$2:$A$7967,$A109),IF(ROW(A102)=COUNT($A$6:$A$800)+1," ",IF(ROW(A102)=COUNT($A$6:$A$800)+2,"  ","")))</f>
        <v/>
      </c>
      <c r="C109" s="67" t="str">
        <f ca="1">IF($A109="","",INDEX(Sheet!E$2:E$7967,$A109))</f>
        <v/>
      </c>
      <c r="D109" s="31" t="str">
        <f ca="1">IF(B106=" ",$AR$1,IF(B109=" ",$AQ$1,IF(A109="","",INDEX(Sheet!G$2:G$7967,$A109))))</f>
        <v/>
      </c>
      <c r="E109" s="32" t="str">
        <f ca="1">IF($A109="","",TEXT(INDEX(Sheet!J$2:J$7967,$A109),"#,#")&amp;" "&amp;INDEX(Sheet!AT$2:AT$7967,$A109))</f>
        <v/>
      </c>
      <c r="F109" s="53" t="str">
        <f ca="1">IF($A109="","",INDEX(Sheet!F$2:F$7967,$A109))</f>
        <v/>
      </c>
      <c r="G109" s="32" t="str">
        <f ca="1">IF($A109="","",INDEX(Sheet!I$2:I$7967,$A109))</f>
        <v/>
      </c>
      <c r="H109" s="32" t="str">
        <f ca="1">IF($A109="","",INDEX(Sheet!L$2:L$7967,$A109))</f>
        <v/>
      </c>
      <c r="I109" s="32" t="str">
        <f ca="1">IF($A109="","",INDEX(Sheet!N$2:N$7967,$A109))</f>
        <v/>
      </c>
      <c r="J109" s="53" t="str">
        <f ca="1">IF($A109="","",INDEX(Sheet!AS$2:AS$7967,$A109))</f>
        <v/>
      </c>
      <c r="K109" s="33" t="str">
        <f ca="1">IF($A109="","",IF(INDEX(Sheet!S$2:S$7967,$A109)="","",INDEX(Sheet!S$2:S$7967,$A109)))</f>
        <v/>
      </c>
      <c r="L109" s="33" t="str">
        <f ca="1">IF($A109="","",IF(INDEX(Sheet!R$2:R$7967,$A109)="","",INDEX(Sheet!R$2:R$7967,$A109)))</f>
        <v/>
      </c>
      <c r="M109" s="33" t="str">
        <f ca="1">IF($A109="","",IF(INDEX(Sheet!AO$2:AO$7967,$A109)="","",INDEX(Sheet!AO$2:AO$7967,$A109)))</f>
        <v/>
      </c>
      <c r="N109" s="33" t="str">
        <f ca="1">IF($A109="","",IF(INDEX(Sheet!T$2:T$7967,$A109)="","",INDEX(Sheet!T$2:T$7967,$A109)))</f>
        <v/>
      </c>
      <c r="O109" s="33" t="str">
        <f ca="1">IF($A109="","",IF(INDEX(Sheet!U$2:U$7967,$A109)="","",INDEX(Sheet!U$2:U$7967,$A109)))</f>
        <v/>
      </c>
      <c r="P109" s="33" t="str">
        <f ca="1">IF($A109="","",IF(INDEX(Sheet!W$2:W$7967,$A109)="","",INDEX(Sheet!W$2:W$7967,$A109)))</f>
        <v/>
      </c>
      <c r="Q109" s="33" t="str">
        <f ca="1">IF($A109="","",IF(INDEX(Sheet!V$2:V$7967,$A109)="","",INDEX(Sheet!V$2:V$7967,$A109)))</f>
        <v/>
      </c>
      <c r="R109" s="33" t="str">
        <f ca="1">IF($A109="","",IF(INDEX(Sheet!Z$2:Z$7967,$A109)="","",INDEX(Sheet!Z$2:Z$7967,$A109)))</f>
        <v/>
      </c>
      <c r="S109" s="33" t="str">
        <f ca="1">IF($A109="","",IF(INDEX(Sheet!Y$2:Y$7967,$A109)="","",INDEX(Sheet!Y$2:Y$7967,$A109)))</f>
        <v/>
      </c>
      <c r="T109" s="33" t="str">
        <f ca="1">IF($A109="","",IF(INDEX(Sheet!X$2:X$7967,$A109)="","",INDEX(Sheet!X$2:X$7967,$A109)))</f>
        <v/>
      </c>
      <c r="U109" s="33" t="str">
        <f ca="1">IF($A109="","",IF(INDEX(Sheet!AA$2:AA$7967,$A109)="","",INDEX(Sheet!AA$2:AA$7967,$A109)))</f>
        <v/>
      </c>
      <c r="V109" s="33" t="str">
        <f ca="1">IF($A109="","",IF(INDEX(Sheet!AB$2:AB$7967,$A109)="","",INDEX(Sheet!AB$2:AB$7967,$A109)))</f>
        <v/>
      </c>
      <c r="W109" s="33" t="str">
        <f ca="1">IF($A109="","",IF(INDEX(Sheet!AH$2:AH$7967,$A109)="","",INDEX(Sheet!AH$2:AH$7967,$A109)))</f>
        <v/>
      </c>
      <c r="X109" s="33" t="str">
        <f ca="1">IF($A109="","",IF(INDEX(Sheet!AC$2:AC$7967,$A109)="","",INDEX(Sheet!AC$2:AC$7967,$A109)))</f>
        <v/>
      </c>
      <c r="Y109" s="33" t="str">
        <f ca="1">IF($A109="","",IF(INDEX(Sheet!AD$2:AD$7967,$A109)="","",INDEX(Sheet!AD$2:AD$7967,$A109)))</f>
        <v/>
      </c>
      <c r="Z109" s="33" t="str">
        <f ca="1">IF($A109="","",IF(INDEX(Sheet!AL$2:AL$7967,$A109)="","",INDEX(Sheet!AL$2:AL$7967,$A109)))</f>
        <v/>
      </c>
      <c r="AA109" s="33" t="str">
        <f ca="1">IF($A109="","",IF(INDEX(Sheet!AE$2:AE$7967,$A109)="","",INDEX(Sheet!AE$2:AE$7967,$A109)))</f>
        <v/>
      </c>
      <c r="AB109" s="33" t="str">
        <f ca="1">IF($A109="","",IF(INDEX(Sheet!AF$2:AF$7967,$A109)="","",INDEX(Sheet!AF$2:AF$7967,$A109)))</f>
        <v/>
      </c>
      <c r="AC109" s="33" t="str">
        <f ca="1">IF($A109="","",IF(INDEX(Sheet!AG$2:AG$7967,$A109)="","",INDEX(Sheet!AG$2:AG$7967,$A109)))</f>
        <v/>
      </c>
      <c r="AD109" s="33" t="str">
        <f ca="1">IF($A109="","",IF(INDEX(Sheet!AM$2:AM$7967,$A109)="","",INDEX(Sheet!AM$2:AM$7967,$A109)))</f>
        <v/>
      </c>
      <c r="AE109" s="33" t="str">
        <f ca="1">IF($A109="","",IF(INDEX(Sheet!AJ$2:AJ$7967,$A109)="","",INDEX(Sheet!AJ$2:AJ$7967,$A109)))</f>
        <v/>
      </c>
      <c r="AF109" s="33" t="str">
        <f ca="1">IF($A109="","",IF(INDEX(Sheet!AI$2:AI$7967,$A109)="","",INDEX(Sheet!AI$2:AI$7967,$A109)))</f>
        <v/>
      </c>
      <c r="AG109" s="33" t="str">
        <f ca="1">IF(D109="duyệt sản xuất"," Bảo Bảo, Ngày "&amp;DAY($J$4)&amp;" Tháng "&amp;MONTH($J$4)&amp;" Năm "&amp;YEAR($J$4),IF(D109="Phê duyệt","NGƯỜI LẬP",IF(D109="Nguyễn Ngọc Thắng","NGUYỄN THỊ MAI",IF($A109="","",INDEX(Sheet!AK$2:AK$7967,$A109)))))</f>
        <v/>
      </c>
      <c r="AH109" s="58" t="str">
        <f ca="1">IF($A109="","",INDEX(Sheet!AR$2:AR$7967,$A109)&amp;" ; "&amp;INDEX(Sheet!M$2:M$7967,$A109))</f>
        <v/>
      </c>
      <c r="AI109" s="1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G109" s="35" t="str">
        <f ca="1">IFERROR(VALUE(separ(INDEX(Sheet!Q$2:Q$7967,$A109),"-",1)),"")</f>
        <v/>
      </c>
      <c r="BH109" s="35" t="str">
        <f ca="1">IFERROR(VALUE(separ(INDEX(Sheet!R$2:R$7967,$A109),"-",1)),"")</f>
        <v/>
      </c>
      <c r="BI109" s="35" t="str">
        <f ca="1">IFERROR(VALUE(separ(INDEX(Sheet!S$2:S$7967,$A109),"-",1)),"")</f>
        <v/>
      </c>
      <c r="BJ109" s="35" t="str">
        <f ca="1">IFERROR(VALUE(separ(INDEX(Sheet!T$2:T$7967,$A109),"-",1)),"")</f>
        <v/>
      </c>
      <c r="BK109" s="35" t="str">
        <f ca="1">IFERROR(VALUE(separ(INDEX(Sheet!U$2:U$7967,$A109),"-",1)),"")</f>
        <v/>
      </c>
      <c r="BL109" s="35" t="str">
        <f ca="1">IFERROR(VALUE(separ(INDEX(Sheet!V$2:V$7967,$A109),"-",1)),"")</f>
        <v/>
      </c>
      <c r="BM109" s="35" t="str">
        <f ca="1">IFERROR(VALUE(separ(INDEX(Sheet!W$2:W$7967,$A109),"-",1)),"")</f>
        <v/>
      </c>
      <c r="BN109" s="35" t="str">
        <f ca="1">IFERROR(VALUE(separ(INDEX(Sheet!X$2:X$7967,$A109),"-",1)),"")</f>
        <v/>
      </c>
      <c r="BO109" s="35" t="str">
        <f ca="1">IFERROR(VALUE(separ(INDEX(Sheet!Y$2:Y$7967,$A109),"-",1)),"")</f>
        <v/>
      </c>
      <c r="BP109" s="35" t="str">
        <f ca="1">IFERROR(VALUE(separ(INDEX(Sheet!Z$2:Z$7967,$A109),"-",1)),"")</f>
        <v/>
      </c>
      <c r="BQ109" s="35" t="str">
        <f ca="1">IFERROR(VALUE(separ(INDEX(Sheet!AA$2:AA$7967,$A109),"-",1)),"")</f>
        <v/>
      </c>
      <c r="BR109" s="35" t="str">
        <f ca="1">IFERROR(VALUE(separ(INDEX(Sheet!AB$2:AB$7967,$A109),"-",1)),"")</f>
        <v/>
      </c>
      <c r="BS109" s="35" t="str">
        <f ca="1">IFERROR(VALUE(separ(INDEX(Sheet!AC$2:AC$7967,$A109),"-",1)),"")</f>
        <v/>
      </c>
      <c r="BT109" s="35" t="str">
        <f ca="1">IFERROR(VALUE(separ(INDEX(Sheet!AD$2:AD$7967,$A109),"-",1)),"")</f>
        <v/>
      </c>
      <c r="BU109" s="35" t="str">
        <f ca="1">IFERROR(VALUE(separ(INDEX(Sheet!AE$2:AE$7967,$A109),"-",1)),"")</f>
        <v/>
      </c>
      <c r="BV109" s="35"/>
      <c r="BW109" s="35" t="str">
        <f ca="1">IFERROR((separ(INDEX(Sheet!Q$2:Q$7967,$A109),"-",2)),"")</f>
        <v/>
      </c>
      <c r="BX109" s="35" t="str">
        <f ca="1">IFERROR((separ(INDEX(Sheet!R$2:R$7967,$A109),"-",2)),"")</f>
        <v/>
      </c>
      <c r="BY109" s="35" t="str">
        <f ca="1">IFERROR((separ(INDEX(Sheet!S$2:S$7967,$A109),"-",2)),"")</f>
        <v/>
      </c>
      <c r="BZ109" s="35" t="str">
        <f ca="1">IFERROR((separ(INDEX(Sheet!T$2:T$7967,$A109),"-",2)),"")</f>
        <v/>
      </c>
      <c r="CA109" s="35" t="str">
        <f ca="1">IFERROR((separ(INDEX(Sheet!U$2:U$7967,$A109),"-",2)),"")</f>
        <v/>
      </c>
      <c r="CB109" s="35" t="str">
        <f ca="1">IFERROR((separ(INDEX(Sheet!V$2:V$7967,$A109),"-",2)),"")</f>
        <v/>
      </c>
      <c r="CC109" s="35" t="str">
        <f ca="1">IFERROR((separ(INDEX(Sheet!W$2:W$7967,$A109),"-",2)),"")</f>
        <v/>
      </c>
      <c r="CD109" s="35" t="str">
        <f ca="1">IFERROR((separ(INDEX(Sheet!X$2:X$7967,$A109),"-",2)),"")</f>
        <v/>
      </c>
      <c r="CE109" s="35" t="str">
        <f ca="1">IFERROR((separ(INDEX(Sheet!Y$2:Y$7967,$A109),"-",2)),"")</f>
        <v/>
      </c>
      <c r="CF109" s="35" t="str">
        <f ca="1">IFERROR((separ(INDEX(Sheet!Z$2:Z$7967,$A109),"-",2)),"")</f>
        <v/>
      </c>
      <c r="CG109" s="35" t="str">
        <f ca="1">IFERROR((separ(INDEX(Sheet!AA$2:AA$7967,$A109),"-",2)),"")</f>
        <v/>
      </c>
      <c r="CH109" s="35" t="str">
        <f ca="1">IFERROR((separ(INDEX(Sheet!AB$2:AB$7967,$A109),"-",2)),"")</f>
        <v/>
      </c>
      <c r="CI109" s="35" t="str">
        <f ca="1">IFERROR((separ(INDEX(Sheet!AC$2:AC$7967,$A109),"-",2)),"")</f>
        <v/>
      </c>
      <c r="CJ109" s="35" t="str">
        <f ca="1">IFERROR((separ(INDEX(Sheet!AD$2:AD$7967,$A109),"-",2)),"")</f>
        <v/>
      </c>
      <c r="CK109" s="35" t="str">
        <f ca="1">IFERROR((separ(INDEX(Sheet!AE$2:AE$7967,$A109),"-",2)),"")</f>
        <v/>
      </c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</row>
    <row r="110" spans="1:104" s="29" customFormat="1">
      <c r="A110" s="45" t="str">
        <f ca="1">IFERROR(MATCH($B$3,OFFSET(Sheet!$D$2,A109,0):'Sheet'!$D$7657,0)+A109,"")</f>
        <v/>
      </c>
      <c r="B110" s="29" t="str">
        <f ca="1">IF(ROW(A103)&lt;=COUNT($A$6:$A$800),INDEX(Sheet!$A$2:$A$7967,$A110),IF(ROW(A103)=COUNT($A$6:$A$800)+1," ",IF(ROW(A103)=COUNT($A$6:$A$800)+2,"  ","")))</f>
        <v/>
      </c>
      <c r="C110" s="67" t="str">
        <f ca="1">IF($A110="","",INDEX(Sheet!E$2:E$7967,$A110))</f>
        <v/>
      </c>
      <c r="D110" s="31" t="str">
        <f ca="1">IF(B107=" ",$AR$1,IF(B110=" ",$AQ$1,IF(A110="","",INDEX(Sheet!G$2:G$7967,$A110))))</f>
        <v/>
      </c>
      <c r="E110" s="32" t="str">
        <f ca="1">IF($A110="","",TEXT(INDEX(Sheet!J$2:J$7967,$A110),"#,#")&amp;" "&amp;INDEX(Sheet!AT$2:AT$7967,$A110))</f>
        <v/>
      </c>
      <c r="F110" s="53" t="str">
        <f ca="1">IF($A110="","",INDEX(Sheet!F$2:F$7967,$A110))</f>
        <v/>
      </c>
      <c r="G110" s="32" t="str">
        <f ca="1">IF($A110="","",INDEX(Sheet!I$2:I$7967,$A110))</f>
        <v/>
      </c>
      <c r="H110" s="32" t="str">
        <f ca="1">IF($A110="","",INDEX(Sheet!L$2:L$7967,$A110))</f>
        <v/>
      </c>
      <c r="I110" s="32" t="str">
        <f ca="1">IF($A110="","",INDEX(Sheet!N$2:N$7967,$A110))</f>
        <v/>
      </c>
      <c r="J110" s="53" t="str">
        <f ca="1">IF($A110="","",INDEX(Sheet!AS$2:AS$7967,$A110))</f>
        <v/>
      </c>
      <c r="K110" s="33" t="str">
        <f ca="1">IF($A110="","",IF(INDEX(Sheet!S$2:S$7967,$A110)="","",INDEX(Sheet!S$2:S$7967,$A110)))</f>
        <v/>
      </c>
      <c r="L110" s="33" t="str">
        <f ca="1">IF($A110="","",IF(INDEX(Sheet!R$2:R$7967,$A110)="","",INDEX(Sheet!R$2:R$7967,$A110)))</f>
        <v/>
      </c>
      <c r="M110" s="33" t="str">
        <f ca="1">IF($A110="","",IF(INDEX(Sheet!AO$2:AO$7967,$A110)="","",INDEX(Sheet!AO$2:AO$7967,$A110)))</f>
        <v/>
      </c>
      <c r="N110" s="33" t="str">
        <f ca="1">IF($A110="","",IF(INDEX(Sheet!T$2:T$7967,$A110)="","",INDEX(Sheet!T$2:T$7967,$A110)))</f>
        <v/>
      </c>
      <c r="O110" s="33" t="str">
        <f ca="1">IF($A110="","",IF(INDEX(Sheet!U$2:U$7967,$A110)="","",INDEX(Sheet!U$2:U$7967,$A110)))</f>
        <v/>
      </c>
      <c r="P110" s="33" t="str">
        <f ca="1">IF($A110="","",IF(INDEX(Sheet!W$2:W$7967,$A110)="","",INDEX(Sheet!W$2:W$7967,$A110)))</f>
        <v/>
      </c>
      <c r="Q110" s="33" t="str">
        <f ca="1">IF($A110="","",IF(INDEX(Sheet!V$2:V$7967,$A110)="","",INDEX(Sheet!V$2:V$7967,$A110)))</f>
        <v/>
      </c>
      <c r="R110" s="33" t="str">
        <f ca="1">IF($A110="","",IF(INDEX(Sheet!Z$2:Z$7967,$A110)="","",INDEX(Sheet!Z$2:Z$7967,$A110)))</f>
        <v/>
      </c>
      <c r="S110" s="33" t="str">
        <f ca="1">IF($A110="","",IF(INDEX(Sheet!Y$2:Y$7967,$A110)="","",INDEX(Sheet!Y$2:Y$7967,$A110)))</f>
        <v/>
      </c>
      <c r="T110" s="33" t="str">
        <f ca="1">IF($A110="","",IF(INDEX(Sheet!X$2:X$7967,$A110)="","",INDEX(Sheet!X$2:X$7967,$A110)))</f>
        <v/>
      </c>
      <c r="U110" s="33" t="str">
        <f ca="1">IF($A110="","",IF(INDEX(Sheet!AA$2:AA$7967,$A110)="","",INDEX(Sheet!AA$2:AA$7967,$A110)))</f>
        <v/>
      </c>
      <c r="V110" s="33" t="str">
        <f ca="1">IF($A110="","",IF(INDEX(Sheet!AB$2:AB$7967,$A110)="","",INDEX(Sheet!AB$2:AB$7967,$A110)))</f>
        <v/>
      </c>
      <c r="W110" s="33" t="str">
        <f ca="1">IF($A110="","",IF(INDEX(Sheet!AH$2:AH$7967,$A110)="","",INDEX(Sheet!AH$2:AH$7967,$A110)))</f>
        <v/>
      </c>
      <c r="X110" s="33" t="str">
        <f ca="1">IF($A110="","",IF(INDEX(Sheet!AC$2:AC$7967,$A110)="","",INDEX(Sheet!AC$2:AC$7967,$A110)))</f>
        <v/>
      </c>
      <c r="Y110" s="33" t="str">
        <f ca="1">IF($A110="","",IF(INDEX(Sheet!AD$2:AD$7967,$A110)="","",INDEX(Sheet!AD$2:AD$7967,$A110)))</f>
        <v/>
      </c>
      <c r="Z110" s="33" t="str">
        <f ca="1">IF($A110="","",IF(INDEX(Sheet!AL$2:AL$7967,$A110)="","",INDEX(Sheet!AL$2:AL$7967,$A110)))</f>
        <v/>
      </c>
      <c r="AA110" s="33" t="str">
        <f ca="1">IF($A110="","",IF(INDEX(Sheet!AE$2:AE$7967,$A110)="","",INDEX(Sheet!AE$2:AE$7967,$A110)))</f>
        <v/>
      </c>
      <c r="AB110" s="33" t="str">
        <f ca="1">IF($A110="","",IF(INDEX(Sheet!AF$2:AF$7967,$A110)="","",INDEX(Sheet!AF$2:AF$7967,$A110)))</f>
        <v/>
      </c>
      <c r="AC110" s="33" t="str">
        <f ca="1">IF($A110="","",IF(INDEX(Sheet!AG$2:AG$7967,$A110)="","",INDEX(Sheet!AG$2:AG$7967,$A110)))</f>
        <v/>
      </c>
      <c r="AD110" s="33" t="str">
        <f ca="1">IF($A110="","",IF(INDEX(Sheet!AM$2:AM$7967,$A110)="","",INDEX(Sheet!AM$2:AM$7967,$A110)))</f>
        <v/>
      </c>
      <c r="AE110" s="33" t="str">
        <f ca="1">IF($A110="","",IF(INDEX(Sheet!AJ$2:AJ$7967,$A110)="","",INDEX(Sheet!AJ$2:AJ$7967,$A110)))</f>
        <v/>
      </c>
      <c r="AF110" s="33" t="str">
        <f ca="1">IF($A110="","",IF(INDEX(Sheet!AI$2:AI$7967,$A110)="","",INDEX(Sheet!AI$2:AI$7967,$A110)))</f>
        <v/>
      </c>
      <c r="AG110" s="33" t="str">
        <f ca="1">IF(D110="duyệt sản xuất"," Bảo Bảo, Ngày "&amp;DAY($J$4)&amp;" Tháng "&amp;MONTH($J$4)&amp;" Năm "&amp;YEAR($J$4),IF(D110="Phê duyệt","NGƯỜI LẬP",IF(D110="Nguyễn Ngọc Thắng","NGUYỄN THỊ MAI",IF($A110="","",INDEX(Sheet!AK$2:AK$7967,$A110)))))</f>
        <v/>
      </c>
      <c r="AH110" s="58" t="str">
        <f ca="1">IF($A110="","",INDEX(Sheet!AR$2:AR$7967,$A110)&amp;" ; "&amp;INDEX(Sheet!M$2:M$7967,$A110))</f>
        <v/>
      </c>
      <c r="AI110" s="1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G110" s="35" t="str">
        <f ca="1">IFERROR(VALUE(separ(INDEX(Sheet!Q$2:Q$7967,$A110),"-",1)),"")</f>
        <v/>
      </c>
      <c r="BH110" s="35" t="str">
        <f ca="1">IFERROR(VALUE(separ(INDEX(Sheet!R$2:R$7967,$A110),"-",1)),"")</f>
        <v/>
      </c>
      <c r="BI110" s="35" t="str">
        <f ca="1">IFERROR(VALUE(separ(INDEX(Sheet!S$2:S$7967,$A110),"-",1)),"")</f>
        <v/>
      </c>
      <c r="BJ110" s="35" t="str">
        <f ca="1">IFERROR(VALUE(separ(INDEX(Sheet!T$2:T$7967,$A110),"-",1)),"")</f>
        <v/>
      </c>
      <c r="BK110" s="35" t="str">
        <f ca="1">IFERROR(VALUE(separ(INDEX(Sheet!U$2:U$7967,$A110),"-",1)),"")</f>
        <v/>
      </c>
      <c r="BL110" s="35" t="str">
        <f ca="1">IFERROR(VALUE(separ(INDEX(Sheet!V$2:V$7967,$A110),"-",1)),"")</f>
        <v/>
      </c>
      <c r="BM110" s="35" t="str">
        <f ca="1">IFERROR(VALUE(separ(INDEX(Sheet!W$2:W$7967,$A110),"-",1)),"")</f>
        <v/>
      </c>
      <c r="BN110" s="35" t="str">
        <f ca="1">IFERROR(VALUE(separ(INDEX(Sheet!X$2:X$7967,$A110),"-",1)),"")</f>
        <v/>
      </c>
      <c r="BO110" s="35" t="str">
        <f ca="1">IFERROR(VALUE(separ(INDEX(Sheet!Y$2:Y$7967,$A110),"-",1)),"")</f>
        <v/>
      </c>
      <c r="BP110" s="35" t="str">
        <f ca="1">IFERROR(VALUE(separ(INDEX(Sheet!Z$2:Z$7967,$A110),"-",1)),"")</f>
        <v/>
      </c>
      <c r="BQ110" s="35" t="str">
        <f ca="1">IFERROR(VALUE(separ(INDEX(Sheet!AA$2:AA$7967,$A110),"-",1)),"")</f>
        <v/>
      </c>
      <c r="BR110" s="35" t="str">
        <f ca="1">IFERROR(VALUE(separ(INDEX(Sheet!AB$2:AB$7967,$A110),"-",1)),"")</f>
        <v/>
      </c>
      <c r="BS110" s="35" t="str">
        <f ca="1">IFERROR(VALUE(separ(INDEX(Sheet!AC$2:AC$7967,$A110),"-",1)),"")</f>
        <v/>
      </c>
      <c r="BT110" s="35" t="str">
        <f ca="1">IFERROR(VALUE(separ(INDEX(Sheet!AD$2:AD$7967,$A110),"-",1)),"")</f>
        <v/>
      </c>
      <c r="BU110" s="35" t="str">
        <f ca="1">IFERROR(VALUE(separ(INDEX(Sheet!AE$2:AE$7967,$A110),"-",1)),"")</f>
        <v/>
      </c>
      <c r="BV110" s="35"/>
      <c r="BW110" s="35" t="str">
        <f ca="1">IFERROR((separ(INDEX(Sheet!Q$2:Q$7967,$A110),"-",2)),"")</f>
        <v/>
      </c>
      <c r="BX110" s="35" t="str">
        <f ca="1">IFERROR((separ(INDEX(Sheet!R$2:R$7967,$A110),"-",2)),"")</f>
        <v/>
      </c>
      <c r="BY110" s="35" t="str">
        <f ca="1">IFERROR((separ(INDEX(Sheet!S$2:S$7967,$A110),"-",2)),"")</f>
        <v/>
      </c>
      <c r="BZ110" s="35" t="str">
        <f ca="1">IFERROR((separ(INDEX(Sheet!T$2:T$7967,$A110),"-",2)),"")</f>
        <v/>
      </c>
      <c r="CA110" s="35" t="str">
        <f ca="1">IFERROR((separ(INDEX(Sheet!U$2:U$7967,$A110),"-",2)),"")</f>
        <v/>
      </c>
      <c r="CB110" s="35" t="str">
        <f ca="1">IFERROR((separ(INDEX(Sheet!V$2:V$7967,$A110),"-",2)),"")</f>
        <v/>
      </c>
      <c r="CC110" s="35" t="str">
        <f ca="1">IFERROR((separ(INDEX(Sheet!W$2:W$7967,$A110),"-",2)),"")</f>
        <v/>
      </c>
      <c r="CD110" s="35" t="str">
        <f ca="1">IFERROR((separ(INDEX(Sheet!X$2:X$7967,$A110),"-",2)),"")</f>
        <v/>
      </c>
      <c r="CE110" s="35" t="str">
        <f ca="1">IFERROR((separ(INDEX(Sheet!Y$2:Y$7967,$A110),"-",2)),"")</f>
        <v/>
      </c>
      <c r="CF110" s="35" t="str">
        <f ca="1">IFERROR((separ(INDEX(Sheet!Z$2:Z$7967,$A110),"-",2)),"")</f>
        <v/>
      </c>
      <c r="CG110" s="35" t="str">
        <f ca="1">IFERROR((separ(INDEX(Sheet!AA$2:AA$7967,$A110),"-",2)),"")</f>
        <v/>
      </c>
      <c r="CH110" s="35" t="str">
        <f ca="1">IFERROR((separ(INDEX(Sheet!AB$2:AB$7967,$A110),"-",2)),"")</f>
        <v/>
      </c>
      <c r="CI110" s="35" t="str">
        <f ca="1">IFERROR((separ(INDEX(Sheet!AC$2:AC$7967,$A110),"-",2)),"")</f>
        <v/>
      </c>
      <c r="CJ110" s="35" t="str">
        <f ca="1">IFERROR((separ(INDEX(Sheet!AD$2:AD$7967,$A110),"-",2)),"")</f>
        <v/>
      </c>
      <c r="CK110" s="35" t="str">
        <f ca="1">IFERROR((separ(INDEX(Sheet!AE$2:AE$7967,$A110),"-",2)),"")</f>
        <v/>
      </c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</row>
    <row r="111" spans="1:104" s="29" customFormat="1">
      <c r="A111" s="45" t="str">
        <f ca="1">IFERROR(MATCH($B$3,OFFSET(Sheet!$D$2,A110,0):'Sheet'!$D$7657,0)+A110,"")</f>
        <v/>
      </c>
      <c r="B111" s="29" t="str">
        <f ca="1">IF(ROW(A104)&lt;=COUNT($A$6:$A$800),INDEX(Sheet!$A$2:$A$7967,$A111),IF(ROW(A104)=COUNT($A$6:$A$800)+1," ",IF(ROW(A104)=COUNT($A$6:$A$800)+2,"  ","")))</f>
        <v/>
      </c>
      <c r="C111" s="67" t="str">
        <f ca="1">IF($A111="","",INDEX(Sheet!E$2:E$7967,$A111))</f>
        <v/>
      </c>
      <c r="D111" s="31" t="str">
        <f ca="1">IF(B108=" ",$AR$1,IF(B111=" ",$AQ$1,IF(A111="","",INDEX(Sheet!G$2:G$7967,$A111))))</f>
        <v/>
      </c>
      <c r="E111" s="32" t="str">
        <f ca="1">IF($A111="","",TEXT(INDEX(Sheet!J$2:J$7967,$A111),"#,#")&amp;" "&amp;INDEX(Sheet!AT$2:AT$7967,$A111))</f>
        <v/>
      </c>
      <c r="F111" s="53" t="str">
        <f ca="1">IF($A111="","",INDEX(Sheet!F$2:F$7967,$A111))</f>
        <v/>
      </c>
      <c r="G111" s="32" t="str">
        <f ca="1">IF($A111="","",INDEX(Sheet!I$2:I$7967,$A111))</f>
        <v/>
      </c>
      <c r="H111" s="32" t="str">
        <f ca="1">IF($A111="","",INDEX(Sheet!L$2:L$7967,$A111))</f>
        <v/>
      </c>
      <c r="I111" s="32" t="str">
        <f ca="1">IF($A111="","",INDEX(Sheet!N$2:N$7967,$A111))</f>
        <v/>
      </c>
      <c r="J111" s="53" t="str">
        <f ca="1">IF($A111="","",INDEX(Sheet!AS$2:AS$7967,$A111))</f>
        <v/>
      </c>
      <c r="K111" s="33" t="str">
        <f ca="1">IF($A111="","",IF(INDEX(Sheet!S$2:S$7967,$A111)="","",INDEX(Sheet!S$2:S$7967,$A111)))</f>
        <v/>
      </c>
      <c r="L111" s="33" t="str">
        <f ca="1">IF($A111="","",IF(INDEX(Sheet!R$2:R$7967,$A111)="","",INDEX(Sheet!R$2:R$7967,$A111)))</f>
        <v/>
      </c>
      <c r="M111" s="33" t="str">
        <f ca="1">IF($A111="","",IF(INDEX(Sheet!AO$2:AO$7967,$A111)="","",INDEX(Sheet!AO$2:AO$7967,$A111)))</f>
        <v/>
      </c>
      <c r="N111" s="33" t="str">
        <f ca="1">IF($A111="","",IF(INDEX(Sheet!T$2:T$7967,$A111)="","",INDEX(Sheet!T$2:T$7967,$A111)))</f>
        <v/>
      </c>
      <c r="O111" s="33" t="str">
        <f ca="1">IF($A111="","",IF(INDEX(Sheet!U$2:U$7967,$A111)="","",INDEX(Sheet!U$2:U$7967,$A111)))</f>
        <v/>
      </c>
      <c r="P111" s="33" t="str">
        <f ca="1">IF($A111="","",IF(INDEX(Sheet!W$2:W$7967,$A111)="","",INDEX(Sheet!W$2:W$7967,$A111)))</f>
        <v/>
      </c>
      <c r="Q111" s="33" t="str">
        <f ca="1">IF($A111="","",IF(INDEX(Sheet!V$2:V$7967,$A111)="","",INDEX(Sheet!V$2:V$7967,$A111)))</f>
        <v/>
      </c>
      <c r="R111" s="33" t="str">
        <f ca="1">IF($A111="","",IF(INDEX(Sheet!Z$2:Z$7967,$A111)="","",INDEX(Sheet!Z$2:Z$7967,$A111)))</f>
        <v/>
      </c>
      <c r="S111" s="33" t="str">
        <f ca="1">IF($A111="","",IF(INDEX(Sheet!Y$2:Y$7967,$A111)="","",INDEX(Sheet!Y$2:Y$7967,$A111)))</f>
        <v/>
      </c>
      <c r="T111" s="33" t="str">
        <f ca="1">IF($A111="","",IF(INDEX(Sheet!X$2:X$7967,$A111)="","",INDEX(Sheet!X$2:X$7967,$A111)))</f>
        <v/>
      </c>
      <c r="U111" s="33" t="str">
        <f ca="1">IF($A111="","",IF(INDEX(Sheet!AA$2:AA$7967,$A111)="","",INDEX(Sheet!AA$2:AA$7967,$A111)))</f>
        <v/>
      </c>
      <c r="V111" s="33" t="str">
        <f ca="1">IF($A111="","",IF(INDEX(Sheet!AB$2:AB$7967,$A111)="","",INDEX(Sheet!AB$2:AB$7967,$A111)))</f>
        <v/>
      </c>
      <c r="W111" s="33" t="str">
        <f ca="1">IF($A111="","",IF(INDEX(Sheet!AH$2:AH$7967,$A111)="","",INDEX(Sheet!AH$2:AH$7967,$A111)))</f>
        <v/>
      </c>
      <c r="X111" s="33" t="str">
        <f ca="1">IF($A111="","",IF(INDEX(Sheet!AC$2:AC$7967,$A111)="","",INDEX(Sheet!AC$2:AC$7967,$A111)))</f>
        <v/>
      </c>
      <c r="Y111" s="33" t="str">
        <f ca="1">IF($A111="","",IF(INDEX(Sheet!AD$2:AD$7967,$A111)="","",INDEX(Sheet!AD$2:AD$7967,$A111)))</f>
        <v/>
      </c>
      <c r="Z111" s="33" t="str">
        <f ca="1">IF($A111="","",IF(INDEX(Sheet!AL$2:AL$7967,$A111)="","",INDEX(Sheet!AL$2:AL$7967,$A111)))</f>
        <v/>
      </c>
      <c r="AA111" s="33" t="str">
        <f ca="1">IF($A111="","",IF(INDEX(Sheet!AE$2:AE$7967,$A111)="","",INDEX(Sheet!AE$2:AE$7967,$A111)))</f>
        <v/>
      </c>
      <c r="AB111" s="33" t="str">
        <f ca="1">IF($A111="","",IF(INDEX(Sheet!AF$2:AF$7967,$A111)="","",INDEX(Sheet!AF$2:AF$7967,$A111)))</f>
        <v/>
      </c>
      <c r="AC111" s="33" t="str">
        <f ca="1">IF($A111="","",IF(INDEX(Sheet!AG$2:AG$7967,$A111)="","",INDEX(Sheet!AG$2:AG$7967,$A111)))</f>
        <v/>
      </c>
      <c r="AD111" s="33" t="str">
        <f ca="1">IF($A111="","",IF(INDEX(Sheet!AM$2:AM$7967,$A111)="","",INDEX(Sheet!AM$2:AM$7967,$A111)))</f>
        <v/>
      </c>
      <c r="AE111" s="33" t="str">
        <f ca="1">IF($A111="","",IF(INDEX(Sheet!AJ$2:AJ$7967,$A111)="","",INDEX(Sheet!AJ$2:AJ$7967,$A111)))</f>
        <v/>
      </c>
      <c r="AF111" s="33" t="str">
        <f ca="1">IF($A111="","",IF(INDEX(Sheet!AI$2:AI$7967,$A111)="","",INDEX(Sheet!AI$2:AI$7967,$A111)))</f>
        <v/>
      </c>
      <c r="AG111" s="33" t="str">
        <f ca="1">IF(D111="duyệt sản xuất"," Bảo Bảo, Ngày "&amp;DAY($J$4)&amp;" Tháng "&amp;MONTH($J$4)&amp;" Năm "&amp;YEAR($J$4),IF(D111="Phê duyệt","NGƯỜI LẬP",IF(D111="Nguyễn Ngọc Thắng","NGUYỄN THỊ MAI",IF($A111="","",INDEX(Sheet!AK$2:AK$7967,$A111)))))</f>
        <v/>
      </c>
      <c r="AH111" s="58" t="str">
        <f ca="1">IF($A111="","",INDEX(Sheet!AR$2:AR$7967,$A111)&amp;" ; "&amp;INDEX(Sheet!M$2:M$7967,$A111))</f>
        <v/>
      </c>
      <c r="AI111" s="1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G111" s="35" t="str">
        <f ca="1">IFERROR(VALUE(separ(INDEX(Sheet!Q$2:Q$7967,$A111),"-",1)),"")</f>
        <v/>
      </c>
      <c r="BH111" s="35" t="str">
        <f ca="1">IFERROR(VALUE(separ(INDEX(Sheet!R$2:R$7967,$A111),"-",1)),"")</f>
        <v/>
      </c>
      <c r="BI111" s="35" t="str">
        <f ca="1">IFERROR(VALUE(separ(INDEX(Sheet!S$2:S$7967,$A111),"-",1)),"")</f>
        <v/>
      </c>
      <c r="BJ111" s="35" t="str">
        <f ca="1">IFERROR(VALUE(separ(INDEX(Sheet!T$2:T$7967,$A111),"-",1)),"")</f>
        <v/>
      </c>
      <c r="BK111" s="35" t="str">
        <f ca="1">IFERROR(VALUE(separ(INDEX(Sheet!U$2:U$7967,$A111),"-",1)),"")</f>
        <v/>
      </c>
      <c r="BL111" s="35" t="str">
        <f ca="1">IFERROR(VALUE(separ(INDEX(Sheet!V$2:V$7967,$A111),"-",1)),"")</f>
        <v/>
      </c>
      <c r="BM111" s="35" t="str">
        <f ca="1">IFERROR(VALUE(separ(INDEX(Sheet!W$2:W$7967,$A111),"-",1)),"")</f>
        <v/>
      </c>
      <c r="BN111" s="35" t="str">
        <f ca="1">IFERROR(VALUE(separ(INDEX(Sheet!X$2:X$7967,$A111),"-",1)),"")</f>
        <v/>
      </c>
      <c r="BO111" s="35" t="str">
        <f ca="1">IFERROR(VALUE(separ(INDEX(Sheet!Y$2:Y$7967,$A111),"-",1)),"")</f>
        <v/>
      </c>
      <c r="BP111" s="35" t="str">
        <f ca="1">IFERROR(VALUE(separ(INDEX(Sheet!Z$2:Z$7967,$A111),"-",1)),"")</f>
        <v/>
      </c>
      <c r="BQ111" s="35" t="str">
        <f ca="1">IFERROR(VALUE(separ(INDEX(Sheet!AA$2:AA$7967,$A111),"-",1)),"")</f>
        <v/>
      </c>
      <c r="BR111" s="35" t="str">
        <f ca="1">IFERROR(VALUE(separ(INDEX(Sheet!AB$2:AB$7967,$A111),"-",1)),"")</f>
        <v/>
      </c>
      <c r="BS111" s="35" t="str">
        <f ca="1">IFERROR(VALUE(separ(INDEX(Sheet!AC$2:AC$7967,$A111),"-",1)),"")</f>
        <v/>
      </c>
      <c r="BT111" s="35" t="str">
        <f ca="1">IFERROR(VALUE(separ(INDEX(Sheet!AD$2:AD$7967,$A111),"-",1)),"")</f>
        <v/>
      </c>
      <c r="BU111" s="35" t="str">
        <f ca="1">IFERROR(VALUE(separ(INDEX(Sheet!AE$2:AE$7967,$A111),"-",1)),"")</f>
        <v/>
      </c>
      <c r="BV111" s="35"/>
      <c r="BW111" s="35" t="str">
        <f ca="1">IFERROR((separ(INDEX(Sheet!Q$2:Q$7967,$A111),"-",2)),"")</f>
        <v/>
      </c>
      <c r="BX111" s="35" t="str">
        <f ca="1">IFERROR((separ(INDEX(Sheet!R$2:R$7967,$A111),"-",2)),"")</f>
        <v/>
      </c>
      <c r="BY111" s="35" t="str">
        <f ca="1">IFERROR((separ(INDEX(Sheet!S$2:S$7967,$A111),"-",2)),"")</f>
        <v/>
      </c>
      <c r="BZ111" s="35" t="str">
        <f ca="1">IFERROR((separ(INDEX(Sheet!T$2:T$7967,$A111),"-",2)),"")</f>
        <v/>
      </c>
      <c r="CA111" s="35" t="str">
        <f ca="1">IFERROR((separ(INDEX(Sheet!U$2:U$7967,$A111),"-",2)),"")</f>
        <v/>
      </c>
      <c r="CB111" s="35" t="str">
        <f ca="1">IFERROR((separ(INDEX(Sheet!V$2:V$7967,$A111),"-",2)),"")</f>
        <v/>
      </c>
      <c r="CC111" s="35" t="str">
        <f ca="1">IFERROR((separ(INDEX(Sheet!W$2:W$7967,$A111),"-",2)),"")</f>
        <v/>
      </c>
      <c r="CD111" s="35" t="str">
        <f ca="1">IFERROR((separ(INDEX(Sheet!X$2:X$7967,$A111),"-",2)),"")</f>
        <v/>
      </c>
      <c r="CE111" s="35" t="str">
        <f ca="1">IFERROR((separ(INDEX(Sheet!Y$2:Y$7967,$A111),"-",2)),"")</f>
        <v/>
      </c>
      <c r="CF111" s="35" t="str">
        <f ca="1">IFERROR((separ(INDEX(Sheet!Z$2:Z$7967,$A111),"-",2)),"")</f>
        <v/>
      </c>
      <c r="CG111" s="35" t="str">
        <f ca="1">IFERROR((separ(INDEX(Sheet!AA$2:AA$7967,$A111),"-",2)),"")</f>
        <v/>
      </c>
      <c r="CH111" s="35" t="str">
        <f ca="1">IFERROR((separ(INDEX(Sheet!AB$2:AB$7967,$A111),"-",2)),"")</f>
        <v/>
      </c>
      <c r="CI111" s="35" t="str">
        <f ca="1">IFERROR((separ(INDEX(Sheet!AC$2:AC$7967,$A111),"-",2)),"")</f>
        <v/>
      </c>
      <c r="CJ111" s="35" t="str">
        <f ca="1">IFERROR((separ(INDEX(Sheet!AD$2:AD$7967,$A111),"-",2)),"")</f>
        <v/>
      </c>
      <c r="CK111" s="35" t="str">
        <f ca="1">IFERROR((separ(INDEX(Sheet!AE$2:AE$7967,$A111),"-",2)),"")</f>
        <v/>
      </c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</row>
    <row r="112" spans="1:104" s="29" customFormat="1">
      <c r="A112" s="45" t="str">
        <f ca="1">IFERROR(MATCH($B$3,OFFSET(Sheet!$D$2,A111,0):'Sheet'!$D$7657,0)+A111,"")</f>
        <v/>
      </c>
      <c r="B112" s="29" t="str">
        <f ca="1">IF(ROW(A105)&lt;=COUNT($A$6:$A$800),INDEX(Sheet!$A$2:$A$7967,$A112),IF(ROW(A105)=COUNT($A$6:$A$800)+1," ",IF(ROW(A105)=COUNT($A$6:$A$800)+2,"  ","")))</f>
        <v/>
      </c>
      <c r="C112" s="67" t="str">
        <f ca="1">IF($A112="","",INDEX(Sheet!E$2:E$7967,$A112))</f>
        <v/>
      </c>
      <c r="D112" s="31" t="str">
        <f ca="1">IF(B109=" ",$AR$1,IF(B112=" ",$AQ$1,IF(A112="","",INDEX(Sheet!G$2:G$7967,$A112))))</f>
        <v/>
      </c>
      <c r="E112" s="32" t="str">
        <f ca="1">IF($A112="","",TEXT(INDEX(Sheet!J$2:J$7967,$A112),"#,#")&amp;" "&amp;INDEX(Sheet!AT$2:AT$7967,$A112))</f>
        <v/>
      </c>
      <c r="F112" s="53" t="str">
        <f ca="1">IF($A112="","",INDEX(Sheet!F$2:F$7967,$A112))</f>
        <v/>
      </c>
      <c r="G112" s="32" t="str">
        <f ca="1">IF($A112="","",INDEX(Sheet!I$2:I$7967,$A112))</f>
        <v/>
      </c>
      <c r="H112" s="32" t="str">
        <f ca="1">IF($A112="","",INDEX(Sheet!L$2:L$7967,$A112))</f>
        <v/>
      </c>
      <c r="I112" s="32" t="str">
        <f ca="1">IF($A112="","",INDEX(Sheet!N$2:N$7967,$A112))</f>
        <v/>
      </c>
      <c r="J112" s="53" t="str">
        <f ca="1">IF($A112="","",INDEX(Sheet!AS$2:AS$7967,$A112))</f>
        <v/>
      </c>
      <c r="K112" s="33" t="str">
        <f ca="1">IF($A112="","",IF(INDEX(Sheet!S$2:S$7967,$A112)="","",INDEX(Sheet!S$2:S$7967,$A112)))</f>
        <v/>
      </c>
      <c r="L112" s="33" t="str">
        <f ca="1">IF($A112="","",IF(INDEX(Sheet!R$2:R$7967,$A112)="","",INDEX(Sheet!R$2:R$7967,$A112)))</f>
        <v/>
      </c>
      <c r="M112" s="33" t="str">
        <f ca="1">IF($A112="","",IF(INDEX(Sheet!AO$2:AO$7967,$A112)="","",INDEX(Sheet!AO$2:AO$7967,$A112)))</f>
        <v/>
      </c>
      <c r="N112" s="33" t="str">
        <f ca="1">IF($A112="","",IF(INDEX(Sheet!T$2:T$7967,$A112)="","",INDEX(Sheet!T$2:T$7967,$A112)))</f>
        <v/>
      </c>
      <c r="O112" s="33" t="str">
        <f ca="1">IF($A112="","",IF(INDEX(Sheet!U$2:U$7967,$A112)="","",INDEX(Sheet!U$2:U$7967,$A112)))</f>
        <v/>
      </c>
      <c r="P112" s="33" t="str">
        <f ca="1">IF($A112="","",IF(INDEX(Sheet!W$2:W$7967,$A112)="","",INDEX(Sheet!W$2:W$7967,$A112)))</f>
        <v/>
      </c>
      <c r="Q112" s="33" t="str">
        <f ca="1">IF($A112="","",IF(INDEX(Sheet!V$2:V$7967,$A112)="","",INDEX(Sheet!V$2:V$7967,$A112)))</f>
        <v/>
      </c>
      <c r="R112" s="33" t="str">
        <f ca="1">IF($A112="","",IF(INDEX(Sheet!Z$2:Z$7967,$A112)="","",INDEX(Sheet!Z$2:Z$7967,$A112)))</f>
        <v/>
      </c>
      <c r="S112" s="33" t="str">
        <f ca="1">IF($A112="","",IF(INDEX(Sheet!Y$2:Y$7967,$A112)="","",INDEX(Sheet!Y$2:Y$7967,$A112)))</f>
        <v/>
      </c>
      <c r="T112" s="33" t="str">
        <f ca="1">IF($A112="","",IF(INDEX(Sheet!X$2:X$7967,$A112)="","",INDEX(Sheet!X$2:X$7967,$A112)))</f>
        <v/>
      </c>
      <c r="U112" s="33" t="str">
        <f ca="1">IF($A112="","",IF(INDEX(Sheet!AA$2:AA$7967,$A112)="","",INDEX(Sheet!AA$2:AA$7967,$A112)))</f>
        <v/>
      </c>
      <c r="V112" s="33" t="str">
        <f ca="1">IF($A112="","",IF(INDEX(Sheet!AB$2:AB$7967,$A112)="","",INDEX(Sheet!AB$2:AB$7967,$A112)))</f>
        <v/>
      </c>
      <c r="W112" s="33" t="str">
        <f ca="1">IF($A112="","",IF(INDEX(Sheet!AH$2:AH$7967,$A112)="","",INDEX(Sheet!AH$2:AH$7967,$A112)))</f>
        <v/>
      </c>
      <c r="X112" s="33" t="str">
        <f ca="1">IF($A112="","",IF(INDEX(Sheet!AC$2:AC$7967,$A112)="","",INDEX(Sheet!AC$2:AC$7967,$A112)))</f>
        <v/>
      </c>
      <c r="Y112" s="33" t="str">
        <f ca="1">IF($A112="","",IF(INDEX(Sheet!AD$2:AD$7967,$A112)="","",INDEX(Sheet!AD$2:AD$7967,$A112)))</f>
        <v/>
      </c>
      <c r="Z112" s="33" t="str">
        <f ca="1">IF($A112="","",IF(INDEX(Sheet!AL$2:AL$7967,$A112)="","",INDEX(Sheet!AL$2:AL$7967,$A112)))</f>
        <v/>
      </c>
      <c r="AA112" s="33" t="str">
        <f ca="1">IF($A112="","",IF(INDEX(Sheet!AE$2:AE$7967,$A112)="","",INDEX(Sheet!AE$2:AE$7967,$A112)))</f>
        <v/>
      </c>
      <c r="AB112" s="33" t="str">
        <f ca="1">IF($A112="","",IF(INDEX(Sheet!AF$2:AF$7967,$A112)="","",INDEX(Sheet!AF$2:AF$7967,$A112)))</f>
        <v/>
      </c>
      <c r="AC112" s="33" t="str">
        <f ca="1">IF($A112="","",IF(INDEX(Sheet!AG$2:AG$7967,$A112)="","",INDEX(Sheet!AG$2:AG$7967,$A112)))</f>
        <v/>
      </c>
      <c r="AD112" s="33" t="str">
        <f ca="1">IF($A112="","",IF(INDEX(Sheet!AM$2:AM$7967,$A112)="","",INDEX(Sheet!AM$2:AM$7967,$A112)))</f>
        <v/>
      </c>
      <c r="AE112" s="33" t="str">
        <f ca="1">IF($A112="","",IF(INDEX(Sheet!AJ$2:AJ$7967,$A112)="","",INDEX(Sheet!AJ$2:AJ$7967,$A112)))</f>
        <v/>
      </c>
      <c r="AF112" s="33" t="str">
        <f ca="1">IF($A112="","",IF(INDEX(Sheet!AI$2:AI$7967,$A112)="","",INDEX(Sheet!AI$2:AI$7967,$A112)))</f>
        <v/>
      </c>
      <c r="AG112" s="33" t="str">
        <f ca="1">IF(D112="duyệt sản xuất"," Bảo Bảo, Ngày "&amp;DAY($J$4)&amp;" Tháng "&amp;MONTH($J$4)&amp;" Năm "&amp;YEAR($J$4),IF(D112="Phê duyệt","NGƯỜI LẬP",IF(D112="Nguyễn Ngọc Thắng","NGUYỄN THỊ MAI",IF($A112="","",INDEX(Sheet!AK$2:AK$7967,$A112)))))</f>
        <v/>
      </c>
      <c r="AH112" s="58" t="str">
        <f ca="1">IF($A112="","",INDEX(Sheet!AR$2:AR$7967,$A112)&amp;" ; "&amp;INDEX(Sheet!M$2:M$7967,$A112))</f>
        <v/>
      </c>
      <c r="AI112" s="1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G112" s="35" t="str">
        <f ca="1">IFERROR(VALUE(separ(INDEX(Sheet!Q$2:Q$7967,$A112),"-",1)),"")</f>
        <v/>
      </c>
      <c r="BH112" s="35" t="str">
        <f ca="1">IFERROR(VALUE(separ(INDEX(Sheet!R$2:R$7967,$A112),"-",1)),"")</f>
        <v/>
      </c>
      <c r="BI112" s="35" t="str">
        <f ca="1">IFERROR(VALUE(separ(INDEX(Sheet!S$2:S$7967,$A112),"-",1)),"")</f>
        <v/>
      </c>
      <c r="BJ112" s="35" t="str">
        <f ca="1">IFERROR(VALUE(separ(INDEX(Sheet!T$2:T$7967,$A112),"-",1)),"")</f>
        <v/>
      </c>
      <c r="BK112" s="35" t="str">
        <f ca="1">IFERROR(VALUE(separ(INDEX(Sheet!U$2:U$7967,$A112),"-",1)),"")</f>
        <v/>
      </c>
      <c r="BL112" s="35" t="str">
        <f ca="1">IFERROR(VALUE(separ(INDEX(Sheet!V$2:V$7967,$A112),"-",1)),"")</f>
        <v/>
      </c>
      <c r="BM112" s="35" t="str">
        <f ca="1">IFERROR(VALUE(separ(INDEX(Sheet!W$2:W$7967,$A112),"-",1)),"")</f>
        <v/>
      </c>
      <c r="BN112" s="35" t="str">
        <f ca="1">IFERROR(VALUE(separ(INDEX(Sheet!X$2:X$7967,$A112),"-",1)),"")</f>
        <v/>
      </c>
      <c r="BO112" s="35" t="str">
        <f ca="1">IFERROR(VALUE(separ(INDEX(Sheet!Y$2:Y$7967,$A112),"-",1)),"")</f>
        <v/>
      </c>
      <c r="BP112" s="35" t="str">
        <f ca="1">IFERROR(VALUE(separ(INDEX(Sheet!Z$2:Z$7967,$A112),"-",1)),"")</f>
        <v/>
      </c>
      <c r="BQ112" s="35" t="str">
        <f ca="1">IFERROR(VALUE(separ(INDEX(Sheet!AA$2:AA$7967,$A112),"-",1)),"")</f>
        <v/>
      </c>
      <c r="BR112" s="35" t="str">
        <f ca="1">IFERROR(VALUE(separ(INDEX(Sheet!AB$2:AB$7967,$A112),"-",1)),"")</f>
        <v/>
      </c>
      <c r="BS112" s="35" t="str">
        <f ca="1">IFERROR(VALUE(separ(INDEX(Sheet!AC$2:AC$7967,$A112),"-",1)),"")</f>
        <v/>
      </c>
      <c r="BT112" s="35" t="str">
        <f ca="1">IFERROR(VALUE(separ(INDEX(Sheet!AD$2:AD$7967,$A112),"-",1)),"")</f>
        <v/>
      </c>
      <c r="BU112" s="35" t="str">
        <f ca="1">IFERROR(VALUE(separ(INDEX(Sheet!AE$2:AE$7967,$A112),"-",1)),"")</f>
        <v/>
      </c>
      <c r="BV112" s="35"/>
      <c r="BW112" s="35" t="str">
        <f ca="1">IFERROR((separ(INDEX(Sheet!Q$2:Q$7967,$A112),"-",2)),"")</f>
        <v/>
      </c>
      <c r="BX112" s="35" t="str">
        <f ca="1">IFERROR((separ(INDEX(Sheet!R$2:R$7967,$A112),"-",2)),"")</f>
        <v/>
      </c>
      <c r="BY112" s="35" t="str">
        <f ca="1">IFERROR((separ(INDEX(Sheet!S$2:S$7967,$A112),"-",2)),"")</f>
        <v/>
      </c>
      <c r="BZ112" s="35" t="str">
        <f ca="1">IFERROR((separ(INDEX(Sheet!T$2:T$7967,$A112),"-",2)),"")</f>
        <v/>
      </c>
      <c r="CA112" s="35" t="str">
        <f ca="1">IFERROR((separ(INDEX(Sheet!U$2:U$7967,$A112),"-",2)),"")</f>
        <v/>
      </c>
      <c r="CB112" s="35" t="str">
        <f ca="1">IFERROR((separ(INDEX(Sheet!V$2:V$7967,$A112),"-",2)),"")</f>
        <v/>
      </c>
      <c r="CC112" s="35" t="str">
        <f ca="1">IFERROR((separ(INDEX(Sheet!W$2:W$7967,$A112),"-",2)),"")</f>
        <v/>
      </c>
      <c r="CD112" s="35" t="str">
        <f ca="1">IFERROR((separ(INDEX(Sheet!X$2:X$7967,$A112),"-",2)),"")</f>
        <v/>
      </c>
      <c r="CE112" s="35" t="str">
        <f ca="1">IFERROR((separ(INDEX(Sheet!Y$2:Y$7967,$A112),"-",2)),"")</f>
        <v/>
      </c>
      <c r="CF112" s="35" t="str">
        <f ca="1">IFERROR((separ(INDEX(Sheet!Z$2:Z$7967,$A112),"-",2)),"")</f>
        <v/>
      </c>
      <c r="CG112" s="35" t="str">
        <f ca="1">IFERROR((separ(INDEX(Sheet!AA$2:AA$7967,$A112),"-",2)),"")</f>
        <v/>
      </c>
      <c r="CH112" s="35" t="str">
        <f ca="1">IFERROR((separ(INDEX(Sheet!AB$2:AB$7967,$A112),"-",2)),"")</f>
        <v/>
      </c>
      <c r="CI112" s="35" t="str">
        <f ca="1">IFERROR((separ(INDEX(Sheet!AC$2:AC$7967,$A112),"-",2)),"")</f>
        <v/>
      </c>
      <c r="CJ112" s="35" t="str">
        <f ca="1">IFERROR((separ(INDEX(Sheet!AD$2:AD$7967,$A112),"-",2)),"")</f>
        <v/>
      </c>
      <c r="CK112" s="35" t="str">
        <f ca="1">IFERROR((separ(INDEX(Sheet!AE$2:AE$7967,$A112),"-",2)),"")</f>
        <v/>
      </c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</row>
    <row r="113" spans="1:104" s="29" customFormat="1">
      <c r="A113" s="45" t="str">
        <f ca="1">IFERROR(MATCH($B$3,OFFSET(Sheet!$D$2,A112,0):'Sheet'!$D$7657,0)+A112,"")</f>
        <v/>
      </c>
      <c r="B113" s="29" t="str">
        <f ca="1">IF(ROW(A106)&lt;=COUNT($A$6:$A$800),INDEX(Sheet!$A$2:$A$7967,$A113),IF(ROW(A106)=COUNT($A$6:$A$800)+1," ",IF(ROW(A106)=COUNT($A$6:$A$800)+2,"  ","")))</f>
        <v/>
      </c>
      <c r="C113" s="67" t="str">
        <f ca="1">IF($A113="","",INDEX(Sheet!E$2:E$7967,$A113))</f>
        <v/>
      </c>
      <c r="D113" s="31" t="str">
        <f ca="1">IF(B110=" ",$AR$1,IF(B113=" ",$AQ$1,IF(A113="","",INDEX(Sheet!G$2:G$7967,$A113))))</f>
        <v/>
      </c>
      <c r="E113" s="32" t="str">
        <f ca="1">IF($A113="","",TEXT(INDEX(Sheet!J$2:J$7967,$A113),"#,#")&amp;" "&amp;INDEX(Sheet!AT$2:AT$7967,$A113))</f>
        <v/>
      </c>
      <c r="F113" s="53" t="str">
        <f ca="1">IF($A113="","",INDEX(Sheet!F$2:F$7967,$A113))</f>
        <v/>
      </c>
      <c r="G113" s="32" t="str">
        <f ca="1">IF($A113="","",INDEX(Sheet!I$2:I$7967,$A113))</f>
        <v/>
      </c>
      <c r="H113" s="32" t="str">
        <f ca="1">IF($A113="","",INDEX(Sheet!L$2:L$7967,$A113))</f>
        <v/>
      </c>
      <c r="I113" s="32" t="str">
        <f ca="1">IF($A113="","",INDEX(Sheet!N$2:N$7967,$A113))</f>
        <v/>
      </c>
      <c r="J113" s="53" t="str">
        <f ca="1">IF($A113="","",INDEX(Sheet!AS$2:AS$7967,$A113))</f>
        <v/>
      </c>
      <c r="K113" s="33" t="str">
        <f ca="1">IF($A113="","",IF(INDEX(Sheet!S$2:S$7967,$A113)="","",INDEX(Sheet!S$2:S$7967,$A113)))</f>
        <v/>
      </c>
      <c r="L113" s="33" t="str">
        <f ca="1">IF($A113="","",IF(INDEX(Sheet!R$2:R$7967,$A113)="","",INDEX(Sheet!R$2:R$7967,$A113)))</f>
        <v/>
      </c>
      <c r="M113" s="33" t="str">
        <f ca="1">IF($A113="","",IF(INDEX(Sheet!AO$2:AO$7967,$A113)="","",INDEX(Sheet!AO$2:AO$7967,$A113)))</f>
        <v/>
      </c>
      <c r="N113" s="33" t="str">
        <f ca="1">IF($A113="","",IF(INDEX(Sheet!T$2:T$7967,$A113)="","",INDEX(Sheet!T$2:T$7967,$A113)))</f>
        <v/>
      </c>
      <c r="O113" s="33" t="str">
        <f ca="1">IF($A113="","",IF(INDEX(Sheet!U$2:U$7967,$A113)="","",INDEX(Sheet!U$2:U$7967,$A113)))</f>
        <v/>
      </c>
      <c r="P113" s="33" t="str">
        <f ca="1">IF($A113="","",IF(INDEX(Sheet!W$2:W$7967,$A113)="","",INDEX(Sheet!W$2:W$7967,$A113)))</f>
        <v/>
      </c>
      <c r="Q113" s="33" t="str">
        <f ca="1">IF($A113="","",IF(INDEX(Sheet!V$2:V$7967,$A113)="","",INDEX(Sheet!V$2:V$7967,$A113)))</f>
        <v/>
      </c>
      <c r="R113" s="33" t="str">
        <f ca="1">IF($A113="","",IF(INDEX(Sheet!Z$2:Z$7967,$A113)="","",INDEX(Sheet!Z$2:Z$7967,$A113)))</f>
        <v/>
      </c>
      <c r="S113" s="33" t="str">
        <f ca="1">IF($A113="","",IF(INDEX(Sheet!Y$2:Y$7967,$A113)="","",INDEX(Sheet!Y$2:Y$7967,$A113)))</f>
        <v/>
      </c>
      <c r="T113" s="33" t="str">
        <f ca="1">IF($A113="","",IF(INDEX(Sheet!X$2:X$7967,$A113)="","",INDEX(Sheet!X$2:X$7967,$A113)))</f>
        <v/>
      </c>
      <c r="U113" s="33" t="str">
        <f ca="1">IF($A113="","",IF(INDEX(Sheet!AA$2:AA$7967,$A113)="","",INDEX(Sheet!AA$2:AA$7967,$A113)))</f>
        <v/>
      </c>
      <c r="V113" s="33" t="str">
        <f ca="1">IF($A113="","",IF(INDEX(Sheet!AB$2:AB$7967,$A113)="","",INDEX(Sheet!AB$2:AB$7967,$A113)))</f>
        <v/>
      </c>
      <c r="W113" s="33" t="str">
        <f ca="1">IF($A113="","",IF(INDEX(Sheet!AH$2:AH$7967,$A113)="","",INDEX(Sheet!AH$2:AH$7967,$A113)))</f>
        <v/>
      </c>
      <c r="X113" s="33" t="str">
        <f ca="1">IF($A113="","",IF(INDEX(Sheet!AC$2:AC$7967,$A113)="","",INDEX(Sheet!AC$2:AC$7967,$A113)))</f>
        <v/>
      </c>
      <c r="Y113" s="33" t="str">
        <f ca="1">IF($A113="","",IF(INDEX(Sheet!AD$2:AD$7967,$A113)="","",INDEX(Sheet!AD$2:AD$7967,$A113)))</f>
        <v/>
      </c>
      <c r="Z113" s="33" t="str">
        <f ca="1">IF($A113="","",IF(INDEX(Sheet!AL$2:AL$7967,$A113)="","",INDEX(Sheet!AL$2:AL$7967,$A113)))</f>
        <v/>
      </c>
      <c r="AA113" s="33" t="str">
        <f ca="1">IF($A113="","",IF(INDEX(Sheet!AE$2:AE$7967,$A113)="","",INDEX(Sheet!AE$2:AE$7967,$A113)))</f>
        <v/>
      </c>
      <c r="AB113" s="33" t="str">
        <f ca="1">IF($A113="","",IF(INDEX(Sheet!AF$2:AF$7967,$A113)="","",INDEX(Sheet!AF$2:AF$7967,$A113)))</f>
        <v/>
      </c>
      <c r="AC113" s="33" t="str">
        <f ca="1">IF($A113="","",IF(INDEX(Sheet!AG$2:AG$7967,$A113)="","",INDEX(Sheet!AG$2:AG$7967,$A113)))</f>
        <v/>
      </c>
      <c r="AD113" s="33" t="str">
        <f ca="1">IF($A113="","",IF(INDEX(Sheet!AM$2:AM$7967,$A113)="","",INDEX(Sheet!AM$2:AM$7967,$A113)))</f>
        <v/>
      </c>
      <c r="AE113" s="33" t="str">
        <f ca="1">IF($A113="","",IF(INDEX(Sheet!AJ$2:AJ$7967,$A113)="","",INDEX(Sheet!AJ$2:AJ$7967,$A113)))</f>
        <v/>
      </c>
      <c r="AF113" s="33" t="str">
        <f ca="1">IF($A113="","",IF(INDEX(Sheet!AI$2:AI$7967,$A113)="","",INDEX(Sheet!AI$2:AI$7967,$A113)))</f>
        <v/>
      </c>
      <c r="AG113" s="33" t="str">
        <f ca="1">IF(D113="duyệt sản xuất"," Bảo Bảo, Ngày "&amp;DAY($J$4)&amp;" Tháng "&amp;MONTH($J$4)&amp;" Năm "&amp;YEAR($J$4),IF(D113="Phê duyệt","NGƯỜI LẬP",IF(D113="Nguyễn Ngọc Thắng","NGUYỄN THỊ MAI",IF($A113="","",INDEX(Sheet!AK$2:AK$7967,$A113)))))</f>
        <v/>
      </c>
      <c r="AH113" s="58" t="str">
        <f ca="1">IF($A113="","",INDEX(Sheet!AR$2:AR$7967,$A113)&amp;" ; "&amp;INDEX(Sheet!M$2:M$7967,$A113))</f>
        <v/>
      </c>
      <c r="AI113" s="1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G113" s="35" t="str">
        <f ca="1">IFERROR(VALUE(separ(INDEX(Sheet!Q$2:Q$7967,$A113),"-",1)),"")</f>
        <v/>
      </c>
      <c r="BH113" s="35" t="str">
        <f ca="1">IFERROR(VALUE(separ(INDEX(Sheet!R$2:R$7967,$A113),"-",1)),"")</f>
        <v/>
      </c>
      <c r="BI113" s="35" t="str">
        <f ca="1">IFERROR(VALUE(separ(INDEX(Sheet!S$2:S$7967,$A113),"-",1)),"")</f>
        <v/>
      </c>
      <c r="BJ113" s="35" t="str">
        <f ca="1">IFERROR(VALUE(separ(INDEX(Sheet!T$2:T$7967,$A113),"-",1)),"")</f>
        <v/>
      </c>
      <c r="BK113" s="35" t="str">
        <f ca="1">IFERROR(VALUE(separ(INDEX(Sheet!U$2:U$7967,$A113),"-",1)),"")</f>
        <v/>
      </c>
      <c r="BL113" s="35" t="str">
        <f ca="1">IFERROR(VALUE(separ(INDEX(Sheet!V$2:V$7967,$A113),"-",1)),"")</f>
        <v/>
      </c>
      <c r="BM113" s="35" t="str">
        <f ca="1">IFERROR(VALUE(separ(INDEX(Sheet!W$2:W$7967,$A113),"-",1)),"")</f>
        <v/>
      </c>
      <c r="BN113" s="35" t="str">
        <f ca="1">IFERROR(VALUE(separ(INDEX(Sheet!X$2:X$7967,$A113),"-",1)),"")</f>
        <v/>
      </c>
      <c r="BO113" s="35" t="str">
        <f ca="1">IFERROR(VALUE(separ(INDEX(Sheet!Y$2:Y$7967,$A113),"-",1)),"")</f>
        <v/>
      </c>
      <c r="BP113" s="35" t="str">
        <f ca="1">IFERROR(VALUE(separ(INDEX(Sheet!Z$2:Z$7967,$A113),"-",1)),"")</f>
        <v/>
      </c>
      <c r="BQ113" s="35" t="str">
        <f ca="1">IFERROR(VALUE(separ(INDEX(Sheet!AA$2:AA$7967,$A113),"-",1)),"")</f>
        <v/>
      </c>
      <c r="BR113" s="35" t="str">
        <f ca="1">IFERROR(VALUE(separ(INDEX(Sheet!AB$2:AB$7967,$A113),"-",1)),"")</f>
        <v/>
      </c>
      <c r="BS113" s="35" t="str">
        <f ca="1">IFERROR(VALUE(separ(INDEX(Sheet!AC$2:AC$7967,$A113),"-",1)),"")</f>
        <v/>
      </c>
      <c r="BT113" s="35" t="str">
        <f ca="1">IFERROR(VALUE(separ(INDEX(Sheet!AD$2:AD$7967,$A113),"-",1)),"")</f>
        <v/>
      </c>
      <c r="BU113" s="35" t="str">
        <f ca="1">IFERROR(VALUE(separ(INDEX(Sheet!AE$2:AE$7967,$A113),"-",1)),"")</f>
        <v/>
      </c>
      <c r="BV113" s="35"/>
      <c r="BW113" s="35" t="str">
        <f ca="1">IFERROR((separ(INDEX(Sheet!Q$2:Q$7967,$A113),"-",2)),"")</f>
        <v/>
      </c>
      <c r="BX113" s="35" t="str">
        <f ca="1">IFERROR((separ(INDEX(Sheet!R$2:R$7967,$A113),"-",2)),"")</f>
        <v/>
      </c>
      <c r="BY113" s="35" t="str">
        <f ca="1">IFERROR((separ(INDEX(Sheet!S$2:S$7967,$A113),"-",2)),"")</f>
        <v/>
      </c>
      <c r="BZ113" s="35" t="str">
        <f ca="1">IFERROR((separ(INDEX(Sheet!T$2:T$7967,$A113),"-",2)),"")</f>
        <v/>
      </c>
      <c r="CA113" s="35" t="str">
        <f ca="1">IFERROR((separ(INDEX(Sheet!U$2:U$7967,$A113),"-",2)),"")</f>
        <v/>
      </c>
      <c r="CB113" s="35" t="str">
        <f ca="1">IFERROR((separ(INDEX(Sheet!V$2:V$7967,$A113),"-",2)),"")</f>
        <v/>
      </c>
      <c r="CC113" s="35" t="str">
        <f ca="1">IFERROR((separ(INDEX(Sheet!W$2:W$7967,$A113),"-",2)),"")</f>
        <v/>
      </c>
      <c r="CD113" s="35" t="str">
        <f ca="1">IFERROR((separ(INDEX(Sheet!X$2:X$7967,$A113),"-",2)),"")</f>
        <v/>
      </c>
      <c r="CE113" s="35" t="str">
        <f ca="1">IFERROR((separ(INDEX(Sheet!Y$2:Y$7967,$A113),"-",2)),"")</f>
        <v/>
      </c>
      <c r="CF113" s="35" t="str">
        <f ca="1">IFERROR((separ(INDEX(Sheet!Z$2:Z$7967,$A113),"-",2)),"")</f>
        <v/>
      </c>
      <c r="CG113" s="35" t="str">
        <f ca="1">IFERROR((separ(INDEX(Sheet!AA$2:AA$7967,$A113),"-",2)),"")</f>
        <v/>
      </c>
      <c r="CH113" s="35" t="str">
        <f ca="1">IFERROR((separ(INDEX(Sheet!AB$2:AB$7967,$A113),"-",2)),"")</f>
        <v/>
      </c>
      <c r="CI113" s="35" t="str">
        <f ca="1">IFERROR((separ(INDEX(Sheet!AC$2:AC$7967,$A113),"-",2)),"")</f>
        <v/>
      </c>
      <c r="CJ113" s="35" t="str">
        <f ca="1">IFERROR((separ(INDEX(Sheet!AD$2:AD$7967,$A113),"-",2)),"")</f>
        <v/>
      </c>
      <c r="CK113" s="35" t="str">
        <f ca="1">IFERROR((separ(INDEX(Sheet!AE$2:AE$7967,$A113),"-",2)),"")</f>
        <v/>
      </c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</row>
    <row r="114" spans="1:104" s="29" customFormat="1">
      <c r="A114" s="45" t="str">
        <f ca="1">IFERROR(MATCH($B$3,OFFSET(Sheet!$D$2,A113,0):'Sheet'!$D$7657,0)+A113,"")</f>
        <v/>
      </c>
      <c r="B114" s="29" t="str">
        <f ca="1">IF(ROW(A107)&lt;=COUNT($A$6:$A$800),INDEX(Sheet!$A$2:$A$7967,$A114),IF(ROW(A107)=COUNT($A$6:$A$800)+1," ",IF(ROW(A107)=COUNT($A$6:$A$800)+2,"  ","")))</f>
        <v/>
      </c>
      <c r="C114" s="67" t="str">
        <f ca="1">IF($A114="","",INDEX(Sheet!E$2:E$7967,$A114))</f>
        <v/>
      </c>
      <c r="D114" s="31" t="str">
        <f ca="1">IF(B111=" ",$AR$1,IF(B114=" ",$AQ$1,IF(A114="","",INDEX(Sheet!G$2:G$7967,$A114))))</f>
        <v/>
      </c>
      <c r="E114" s="32" t="str">
        <f ca="1">IF($A114="","",TEXT(INDEX(Sheet!J$2:J$7967,$A114),"#,#")&amp;" "&amp;INDEX(Sheet!AT$2:AT$7967,$A114))</f>
        <v/>
      </c>
      <c r="F114" s="53" t="str">
        <f ca="1">IF($A114="","",INDEX(Sheet!F$2:F$7967,$A114))</f>
        <v/>
      </c>
      <c r="G114" s="32" t="str">
        <f ca="1">IF($A114="","",INDEX(Sheet!I$2:I$7967,$A114))</f>
        <v/>
      </c>
      <c r="H114" s="32" t="str">
        <f ca="1">IF($A114="","",INDEX(Sheet!L$2:L$7967,$A114))</f>
        <v/>
      </c>
      <c r="I114" s="32" t="str">
        <f ca="1">IF($A114="","",INDEX(Sheet!N$2:N$7967,$A114))</f>
        <v/>
      </c>
      <c r="J114" s="53" t="str">
        <f ca="1">IF($A114="","",INDEX(Sheet!AS$2:AS$7967,$A114))</f>
        <v/>
      </c>
      <c r="K114" s="33" t="str">
        <f ca="1">IF($A114="","",IF(INDEX(Sheet!S$2:S$7967,$A114)="","",INDEX(Sheet!S$2:S$7967,$A114)))</f>
        <v/>
      </c>
      <c r="L114" s="33" t="str">
        <f ca="1">IF($A114="","",IF(INDEX(Sheet!R$2:R$7967,$A114)="","",INDEX(Sheet!R$2:R$7967,$A114)))</f>
        <v/>
      </c>
      <c r="M114" s="33" t="str">
        <f ca="1">IF($A114="","",IF(INDEX(Sheet!AO$2:AO$7967,$A114)="","",INDEX(Sheet!AO$2:AO$7967,$A114)))</f>
        <v/>
      </c>
      <c r="N114" s="33" t="str">
        <f ca="1">IF($A114="","",IF(INDEX(Sheet!T$2:T$7967,$A114)="","",INDEX(Sheet!T$2:T$7967,$A114)))</f>
        <v/>
      </c>
      <c r="O114" s="33" t="str">
        <f ca="1">IF($A114="","",IF(INDEX(Sheet!U$2:U$7967,$A114)="","",INDEX(Sheet!U$2:U$7967,$A114)))</f>
        <v/>
      </c>
      <c r="P114" s="33" t="str">
        <f ca="1">IF($A114="","",IF(INDEX(Sheet!W$2:W$7967,$A114)="","",INDEX(Sheet!W$2:W$7967,$A114)))</f>
        <v/>
      </c>
      <c r="Q114" s="33" t="str">
        <f ca="1">IF($A114="","",IF(INDEX(Sheet!V$2:V$7967,$A114)="","",INDEX(Sheet!V$2:V$7967,$A114)))</f>
        <v/>
      </c>
      <c r="R114" s="33" t="str">
        <f ca="1">IF($A114="","",IF(INDEX(Sheet!Z$2:Z$7967,$A114)="","",INDEX(Sheet!Z$2:Z$7967,$A114)))</f>
        <v/>
      </c>
      <c r="S114" s="33" t="str">
        <f ca="1">IF($A114="","",IF(INDEX(Sheet!Y$2:Y$7967,$A114)="","",INDEX(Sheet!Y$2:Y$7967,$A114)))</f>
        <v/>
      </c>
      <c r="T114" s="33" t="str">
        <f ca="1">IF($A114="","",IF(INDEX(Sheet!X$2:X$7967,$A114)="","",INDEX(Sheet!X$2:X$7967,$A114)))</f>
        <v/>
      </c>
      <c r="U114" s="33" t="str">
        <f ca="1">IF($A114="","",IF(INDEX(Sheet!AA$2:AA$7967,$A114)="","",INDEX(Sheet!AA$2:AA$7967,$A114)))</f>
        <v/>
      </c>
      <c r="V114" s="33" t="str">
        <f ca="1">IF($A114="","",IF(INDEX(Sheet!AB$2:AB$7967,$A114)="","",INDEX(Sheet!AB$2:AB$7967,$A114)))</f>
        <v/>
      </c>
      <c r="W114" s="33" t="str">
        <f ca="1">IF($A114="","",IF(INDEX(Sheet!AH$2:AH$7967,$A114)="","",INDEX(Sheet!AH$2:AH$7967,$A114)))</f>
        <v/>
      </c>
      <c r="X114" s="33" t="str">
        <f ca="1">IF($A114="","",IF(INDEX(Sheet!AC$2:AC$7967,$A114)="","",INDEX(Sheet!AC$2:AC$7967,$A114)))</f>
        <v/>
      </c>
      <c r="Y114" s="33" t="str">
        <f ca="1">IF($A114="","",IF(INDEX(Sheet!AD$2:AD$7967,$A114)="","",INDEX(Sheet!AD$2:AD$7967,$A114)))</f>
        <v/>
      </c>
      <c r="Z114" s="33" t="str">
        <f ca="1">IF($A114="","",IF(INDEX(Sheet!AL$2:AL$7967,$A114)="","",INDEX(Sheet!AL$2:AL$7967,$A114)))</f>
        <v/>
      </c>
      <c r="AA114" s="33" t="str">
        <f ca="1">IF($A114="","",IF(INDEX(Sheet!AE$2:AE$7967,$A114)="","",INDEX(Sheet!AE$2:AE$7967,$A114)))</f>
        <v/>
      </c>
      <c r="AB114" s="33" t="str">
        <f ca="1">IF($A114="","",IF(INDEX(Sheet!AF$2:AF$7967,$A114)="","",INDEX(Sheet!AF$2:AF$7967,$A114)))</f>
        <v/>
      </c>
      <c r="AC114" s="33" t="str">
        <f ca="1">IF($A114="","",IF(INDEX(Sheet!AG$2:AG$7967,$A114)="","",INDEX(Sheet!AG$2:AG$7967,$A114)))</f>
        <v/>
      </c>
      <c r="AD114" s="33" t="str">
        <f ca="1">IF($A114="","",IF(INDEX(Sheet!AM$2:AM$7967,$A114)="","",INDEX(Sheet!AM$2:AM$7967,$A114)))</f>
        <v/>
      </c>
      <c r="AE114" s="33" t="str">
        <f ca="1">IF($A114="","",IF(INDEX(Sheet!AJ$2:AJ$7967,$A114)="","",INDEX(Sheet!AJ$2:AJ$7967,$A114)))</f>
        <v/>
      </c>
      <c r="AF114" s="33" t="str">
        <f ca="1">IF($A114="","",IF(INDEX(Sheet!AI$2:AI$7967,$A114)="","",INDEX(Sheet!AI$2:AI$7967,$A114)))</f>
        <v/>
      </c>
      <c r="AG114" s="33" t="str">
        <f ca="1">IF(D114="duyệt sản xuất"," Bảo Bảo, Ngày "&amp;DAY($J$4)&amp;" Tháng "&amp;MONTH($J$4)&amp;" Năm "&amp;YEAR($J$4),IF(D114="Phê duyệt","NGƯỜI LẬP",IF(D114="Nguyễn Ngọc Thắng","NGUYỄN THỊ MAI",IF($A114="","",INDEX(Sheet!AK$2:AK$7967,$A114)))))</f>
        <v/>
      </c>
      <c r="AH114" s="58" t="str">
        <f ca="1">IF($A114="","",INDEX(Sheet!AR$2:AR$7967,$A114)&amp;" ; "&amp;INDEX(Sheet!M$2:M$7967,$A114))</f>
        <v/>
      </c>
      <c r="AI114" s="1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G114" s="35" t="str">
        <f ca="1">IFERROR(VALUE(separ(INDEX(Sheet!Q$2:Q$7967,$A114),"-",1)),"")</f>
        <v/>
      </c>
      <c r="BH114" s="35" t="str">
        <f ca="1">IFERROR(VALUE(separ(INDEX(Sheet!R$2:R$7967,$A114),"-",1)),"")</f>
        <v/>
      </c>
      <c r="BI114" s="35" t="str">
        <f ca="1">IFERROR(VALUE(separ(INDEX(Sheet!S$2:S$7967,$A114),"-",1)),"")</f>
        <v/>
      </c>
      <c r="BJ114" s="35" t="str">
        <f ca="1">IFERROR(VALUE(separ(INDEX(Sheet!T$2:T$7967,$A114),"-",1)),"")</f>
        <v/>
      </c>
      <c r="BK114" s="35" t="str">
        <f ca="1">IFERROR(VALUE(separ(INDEX(Sheet!U$2:U$7967,$A114),"-",1)),"")</f>
        <v/>
      </c>
      <c r="BL114" s="35" t="str">
        <f ca="1">IFERROR(VALUE(separ(INDEX(Sheet!V$2:V$7967,$A114),"-",1)),"")</f>
        <v/>
      </c>
      <c r="BM114" s="35" t="str">
        <f ca="1">IFERROR(VALUE(separ(INDEX(Sheet!W$2:W$7967,$A114),"-",1)),"")</f>
        <v/>
      </c>
      <c r="BN114" s="35" t="str">
        <f ca="1">IFERROR(VALUE(separ(INDEX(Sheet!X$2:X$7967,$A114),"-",1)),"")</f>
        <v/>
      </c>
      <c r="BO114" s="35" t="str">
        <f ca="1">IFERROR(VALUE(separ(INDEX(Sheet!Y$2:Y$7967,$A114),"-",1)),"")</f>
        <v/>
      </c>
      <c r="BP114" s="35" t="str">
        <f ca="1">IFERROR(VALUE(separ(INDEX(Sheet!Z$2:Z$7967,$A114),"-",1)),"")</f>
        <v/>
      </c>
      <c r="BQ114" s="35" t="str">
        <f ca="1">IFERROR(VALUE(separ(INDEX(Sheet!AA$2:AA$7967,$A114),"-",1)),"")</f>
        <v/>
      </c>
      <c r="BR114" s="35" t="str">
        <f ca="1">IFERROR(VALUE(separ(INDEX(Sheet!AB$2:AB$7967,$A114),"-",1)),"")</f>
        <v/>
      </c>
      <c r="BS114" s="35" t="str">
        <f ca="1">IFERROR(VALUE(separ(INDEX(Sheet!AC$2:AC$7967,$A114),"-",1)),"")</f>
        <v/>
      </c>
      <c r="BT114" s="35" t="str">
        <f ca="1">IFERROR(VALUE(separ(INDEX(Sheet!AD$2:AD$7967,$A114),"-",1)),"")</f>
        <v/>
      </c>
      <c r="BU114" s="35" t="str">
        <f ca="1">IFERROR(VALUE(separ(INDEX(Sheet!AE$2:AE$7967,$A114),"-",1)),"")</f>
        <v/>
      </c>
      <c r="BV114" s="35"/>
      <c r="BW114" s="35" t="str">
        <f ca="1">IFERROR((separ(INDEX(Sheet!Q$2:Q$7967,$A114),"-",2)),"")</f>
        <v/>
      </c>
      <c r="BX114" s="35" t="str">
        <f ca="1">IFERROR((separ(INDEX(Sheet!R$2:R$7967,$A114),"-",2)),"")</f>
        <v/>
      </c>
      <c r="BY114" s="35" t="str">
        <f ca="1">IFERROR((separ(INDEX(Sheet!S$2:S$7967,$A114),"-",2)),"")</f>
        <v/>
      </c>
      <c r="BZ114" s="35" t="str">
        <f ca="1">IFERROR((separ(INDEX(Sheet!T$2:T$7967,$A114),"-",2)),"")</f>
        <v/>
      </c>
      <c r="CA114" s="35" t="str">
        <f ca="1">IFERROR((separ(INDEX(Sheet!U$2:U$7967,$A114),"-",2)),"")</f>
        <v/>
      </c>
      <c r="CB114" s="35" t="str">
        <f ca="1">IFERROR((separ(INDEX(Sheet!V$2:V$7967,$A114),"-",2)),"")</f>
        <v/>
      </c>
      <c r="CC114" s="35" t="str">
        <f ca="1">IFERROR((separ(INDEX(Sheet!W$2:W$7967,$A114),"-",2)),"")</f>
        <v/>
      </c>
      <c r="CD114" s="35" t="str">
        <f ca="1">IFERROR((separ(INDEX(Sheet!X$2:X$7967,$A114),"-",2)),"")</f>
        <v/>
      </c>
      <c r="CE114" s="35" t="str">
        <f ca="1">IFERROR((separ(INDEX(Sheet!Y$2:Y$7967,$A114),"-",2)),"")</f>
        <v/>
      </c>
      <c r="CF114" s="35" t="str">
        <f ca="1">IFERROR((separ(INDEX(Sheet!Z$2:Z$7967,$A114),"-",2)),"")</f>
        <v/>
      </c>
      <c r="CG114" s="35" t="str">
        <f ca="1">IFERROR((separ(INDEX(Sheet!AA$2:AA$7967,$A114),"-",2)),"")</f>
        <v/>
      </c>
      <c r="CH114" s="35" t="str">
        <f ca="1">IFERROR((separ(INDEX(Sheet!AB$2:AB$7967,$A114),"-",2)),"")</f>
        <v/>
      </c>
      <c r="CI114" s="35" t="str">
        <f ca="1">IFERROR((separ(INDEX(Sheet!AC$2:AC$7967,$A114),"-",2)),"")</f>
        <v/>
      </c>
      <c r="CJ114" s="35" t="str">
        <f ca="1">IFERROR((separ(INDEX(Sheet!AD$2:AD$7967,$A114),"-",2)),"")</f>
        <v/>
      </c>
      <c r="CK114" s="35" t="str">
        <f ca="1">IFERROR((separ(INDEX(Sheet!AE$2:AE$7967,$A114),"-",2)),"")</f>
        <v/>
      </c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</row>
    <row r="115" spans="1:104" s="29" customFormat="1">
      <c r="A115" s="45" t="str">
        <f ca="1">IFERROR(MATCH($B$3,OFFSET(Sheet!$D$2,A114,0):'Sheet'!$D$7657,0)+A114,"")</f>
        <v/>
      </c>
      <c r="B115" s="29" t="str">
        <f ca="1">IF(ROW(A108)&lt;=COUNT($A$6:$A$800),INDEX(Sheet!$A$2:$A$7967,$A115),IF(ROW(A108)=COUNT($A$6:$A$800)+1," ",IF(ROW(A108)=COUNT($A$6:$A$800)+2,"  ","")))</f>
        <v/>
      </c>
      <c r="C115" s="67" t="str">
        <f ca="1">IF($A115="","",INDEX(Sheet!E$2:E$7967,$A115))</f>
        <v/>
      </c>
      <c r="D115" s="31" t="str">
        <f ca="1">IF(B112=" ",$AR$1,IF(B115=" ",$AQ$1,IF(A115="","",INDEX(Sheet!G$2:G$7967,$A115))))</f>
        <v/>
      </c>
      <c r="E115" s="32" t="str">
        <f ca="1">IF($A115="","",TEXT(INDEX(Sheet!J$2:J$7967,$A115),"#,#")&amp;" "&amp;INDEX(Sheet!AT$2:AT$7967,$A115))</f>
        <v/>
      </c>
      <c r="F115" s="53" t="str">
        <f ca="1">IF($A115="","",INDEX(Sheet!F$2:F$7967,$A115))</f>
        <v/>
      </c>
      <c r="G115" s="32" t="str">
        <f ca="1">IF($A115="","",INDEX(Sheet!I$2:I$7967,$A115))</f>
        <v/>
      </c>
      <c r="H115" s="32" t="str">
        <f ca="1">IF($A115="","",INDEX(Sheet!L$2:L$7967,$A115))</f>
        <v/>
      </c>
      <c r="I115" s="32" t="str">
        <f ca="1">IF($A115="","",INDEX(Sheet!N$2:N$7967,$A115))</f>
        <v/>
      </c>
      <c r="J115" s="53" t="str">
        <f ca="1">IF($A115="","",INDEX(Sheet!AS$2:AS$7967,$A115))</f>
        <v/>
      </c>
      <c r="K115" s="33" t="str">
        <f ca="1">IF($A115="","",IF(INDEX(Sheet!S$2:S$7967,$A115)="","",INDEX(Sheet!S$2:S$7967,$A115)))</f>
        <v/>
      </c>
      <c r="L115" s="33" t="str">
        <f ca="1">IF($A115="","",IF(INDEX(Sheet!R$2:R$7967,$A115)="","",INDEX(Sheet!R$2:R$7967,$A115)))</f>
        <v/>
      </c>
      <c r="M115" s="33" t="str">
        <f ca="1">IF($A115="","",IF(INDEX(Sheet!AO$2:AO$7967,$A115)="","",INDEX(Sheet!AO$2:AO$7967,$A115)))</f>
        <v/>
      </c>
      <c r="N115" s="33" t="str">
        <f ca="1">IF($A115="","",IF(INDEX(Sheet!T$2:T$7967,$A115)="","",INDEX(Sheet!T$2:T$7967,$A115)))</f>
        <v/>
      </c>
      <c r="O115" s="33" t="str">
        <f ca="1">IF($A115="","",IF(INDEX(Sheet!U$2:U$7967,$A115)="","",INDEX(Sheet!U$2:U$7967,$A115)))</f>
        <v/>
      </c>
      <c r="P115" s="33" t="str">
        <f ca="1">IF($A115="","",IF(INDEX(Sheet!W$2:W$7967,$A115)="","",INDEX(Sheet!W$2:W$7967,$A115)))</f>
        <v/>
      </c>
      <c r="Q115" s="33" t="str">
        <f ca="1">IF($A115="","",IF(INDEX(Sheet!V$2:V$7967,$A115)="","",INDEX(Sheet!V$2:V$7967,$A115)))</f>
        <v/>
      </c>
      <c r="R115" s="33" t="str">
        <f ca="1">IF($A115="","",IF(INDEX(Sheet!Z$2:Z$7967,$A115)="","",INDEX(Sheet!Z$2:Z$7967,$A115)))</f>
        <v/>
      </c>
      <c r="S115" s="33" t="str">
        <f ca="1">IF($A115="","",IF(INDEX(Sheet!Y$2:Y$7967,$A115)="","",INDEX(Sheet!Y$2:Y$7967,$A115)))</f>
        <v/>
      </c>
      <c r="T115" s="33" t="str">
        <f ca="1">IF($A115="","",IF(INDEX(Sheet!X$2:X$7967,$A115)="","",INDEX(Sheet!X$2:X$7967,$A115)))</f>
        <v/>
      </c>
      <c r="U115" s="33" t="str">
        <f ca="1">IF($A115="","",IF(INDEX(Sheet!AA$2:AA$7967,$A115)="","",INDEX(Sheet!AA$2:AA$7967,$A115)))</f>
        <v/>
      </c>
      <c r="V115" s="33" t="str">
        <f ca="1">IF($A115="","",IF(INDEX(Sheet!AB$2:AB$7967,$A115)="","",INDEX(Sheet!AB$2:AB$7967,$A115)))</f>
        <v/>
      </c>
      <c r="W115" s="33" t="str">
        <f ca="1">IF($A115="","",IF(INDEX(Sheet!AH$2:AH$7967,$A115)="","",INDEX(Sheet!AH$2:AH$7967,$A115)))</f>
        <v/>
      </c>
      <c r="X115" s="33" t="str">
        <f ca="1">IF($A115="","",IF(INDEX(Sheet!AC$2:AC$7967,$A115)="","",INDEX(Sheet!AC$2:AC$7967,$A115)))</f>
        <v/>
      </c>
      <c r="Y115" s="33" t="str">
        <f ca="1">IF($A115="","",IF(INDEX(Sheet!AD$2:AD$7967,$A115)="","",INDEX(Sheet!AD$2:AD$7967,$A115)))</f>
        <v/>
      </c>
      <c r="Z115" s="33" t="str">
        <f ca="1">IF($A115="","",IF(INDEX(Sheet!AL$2:AL$7967,$A115)="","",INDEX(Sheet!AL$2:AL$7967,$A115)))</f>
        <v/>
      </c>
      <c r="AA115" s="33" t="str">
        <f ca="1">IF($A115="","",IF(INDEX(Sheet!AE$2:AE$7967,$A115)="","",INDEX(Sheet!AE$2:AE$7967,$A115)))</f>
        <v/>
      </c>
      <c r="AB115" s="33" t="str">
        <f ca="1">IF($A115="","",IF(INDEX(Sheet!AF$2:AF$7967,$A115)="","",INDEX(Sheet!AF$2:AF$7967,$A115)))</f>
        <v/>
      </c>
      <c r="AC115" s="33" t="str">
        <f ca="1">IF($A115="","",IF(INDEX(Sheet!AG$2:AG$7967,$A115)="","",INDEX(Sheet!AG$2:AG$7967,$A115)))</f>
        <v/>
      </c>
      <c r="AD115" s="33" t="str">
        <f ca="1">IF($A115="","",IF(INDEX(Sheet!AM$2:AM$7967,$A115)="","",INDEX(Sheet!AM$2:AM$7967,$A115)))</f>
        <v/>
      </c>
      <c r="AE115" s="33" t="str">
        <f ca="1">IF($A115="","",IF(INDEX(Sheet!AJ$2:AJ$7967,$A115)="","",INDEX(Sheet!AJ$2:AJ$7967,$A115)))</f>
        <v/>
      </c>
      <c r="AF115" s="33" t="str">
        <f ca="1">IF($A115="","",IF(INDEX(Sheet!AI$2:AI$7967,$A115)="","",INDEX(Sheet!AI$2:AI$7967,$A115)))</f>
        <v/>
      </c>
      <c r="AG115" s="33" t="str">
        <f ca="1">IF(D115="duyệt sản xuất"," Bảo Bảo, Ngày "&amp;DAY($J$4)&amp;" Tháng "&amp;MONTH($J$4)&amp;" Năm "&amp;YEAR($J$4),IF(D115="Phê duyệt","NGƯỜI LẬP",IF(D115="Nguyễn Ngọc Thắng","NGUYỄN THỊ MAI",IF($A115="","",INDEX(Sheet!AK$2:AK$7967,$A115)))))</f>
        <v/>
      </c>
      <c r="AH115" s="58" t="str">
        <f ca="1">IF($A115="","",INDEX(Sheet!AR$2:AR$7967,$A115)&amp;" ; "&amp;INDEX(Sheet!M$2:M$7967,$A115))</f>
        <v/>
      </c>
      <c r="AI115" s="1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G115" s="35" t="str">
        <f ca="1">IFERROR(VALUE(separ(INDEX(Sheet!Q$2:Q$7967,$A115),"-",1)),"")</f>
        <v/>
      </c>
      <c r="BH115" s="35" t="str">
        <f ca="1">IFERROR(VALUE(separ(INDEX(Sheet!R$2:R$7967,$A115),"-",1)),"")</f>
        <v/>
      </c>
      <c r="BI115" s="35" t="str">
        <f ca="1">IFERROR(VALUE(separ(INDEX(Sheet!S$2:S$7967,$A115),"-",1)),"")</f>
        <v/>
      </c>
      <c r="BJ115" s="35" t="str">
        <f ca="1">IFERROR(VALUE(separ(INDEX(Sheet!T$2:T$7967,$A115),"-",1)),"")</f>
        <v/>
      </c>
      <c r="BK115" s="35" t="str">
        <f ca="1">IFERROR(VALUE(separ(INDEX(Sheet!U$2:U$7967,$A115),"-",1)),"")</f>
        <v/>
      </c>
      <c r="BL115" s="35" t="str">
        <f ca="1">IFERROR(VALUE(separ(INDEX(Sheet!V$2:V$7967,$A115),"-",1)),"")</f>
        <v/>
      </c>
      <c r="BM115" s="35" t="str">
        <f ca="1">IFERROR(VALUE(separ(INDEX(Sheet!W$2:W$7967,$A115),"-",1)),"")</f>
        <v/>
      </c>
      <c r="BN115" s="35" t="str">
        <f ca="1">IFERROR(VALUE(separ(INDEX(Sheet!X$2:X$7967,$A115),"-",1)),"")</f>
        <v/>
      </c>
      <c r="BO115" s="35" t="str">
        <f ca="1">IFERROR(VALUE(separ(INDEX(Sheet!Y$2:Y$7967,$A115),"-",1)),"")</f>
        <v/>
      </c>
      <c r="BP115" s="35" t="str">
        <f ca="1">IFERROR(VALUE(separ(INDEX(Sheet!Z$2:Z$7967,$A115),"-",1)),"")</f>
        <v/>
      </c>
      <c r="BQ115" s="35" t="str">
        <f ca="1">IFERROR(VALUE(separ(INDEX(Sheet!AA$2:AA$7967,$A115),"-",1)),"")</f>
        <v/>
      </c>
      <c r="BR115" s="35" t="str">
        <f ca="1">IFERROR(VALUE(separ(INDEX(Sheet!AB$2:AB$7967,$A115),"-",1)),"")</f>
        <v/>
      </c>
      <c r="BS115" s="35" t="str">
        <f ca="1">IFERROR(VALUE(separ(INDEX(Sheet!AC$2:AC$7967,$A115),"-",1)),"")</f>
        <v/>
      </c>
      <c r="BT115" s="35" t="str">
        <f ca="1">IFERROR(VALUE(separ(INDEX(Sheet!AD$2:AD$7967,$A115),"-",1)),"")</f>
        <v/>
      </c>
      <c r="BU115" s="35" t="str">
        <f ca="1">IFERROR(VALUE(separ(INDEX(Sheet!AE$2:AE$7967,$A115),"-",1)),"")</f>
        <v/>
      </c>
      <c r="BV115" s="35"/>
      <c r="BW115" s="35" t="str">
        <f ca="1">IFERROR((separ(INDEX(Sheet!Q$2:Q$7967,$A115),"-",2)),"")</f>
        <v/>
      </c>
      <c r="BX115" s="35" t="str">
        <f ca="1">IFERROR((separ(INDEX(Sheet!R$2:R$7967,$A115),"-",2)),"")</f>
        <v/>
      </c>
      <c r="BY115" s="35" t="str">
        <f ca="1">IFERROR((separ(INDEX(Sheet!S$2:S$7967,$A115),"-",2)),"")</f>
        <v/>
      </c>
      <c r="BZ115" s="35" t="str">
        <f ca="1">IFERROR((separ(INDEX(Sheet!T$2:T$7967,$A115),"-",2)),"")</f>
        <v/>
      </c>
      <c r="CA115" s="35" t="str">
        <f ca="1">IFERROR((separ(INDEX(Sheet!U$2:U$7967,$A115),"-",2)),"")</f>
        <v/>
      </c>
      <c r="CB115" s="35" t="str">
        <f ca="1">IFERROR((separ(INDEX(Sheet!V$2:V$7967,$A115),"-",2)),"")</f>
        <v/>
      </c>
      <c r="CC115" s="35" t="str">
        <f ca="1">IFERROR((separ(INDEX(Sheet!W$2:W$7967,$A115),"-",2)),"")</f>
        <v/>
      </c>
      <c r="CD115" s="35" t="str">
        <f ca="1">IFERROR((separ(INDEX(Sheet!X$2:X$7967,$A115),"-",2)),"")</f>
        <v/>
      </c>
      <c r="CE115" s="35" t="str">
        <f ca="1">IFERROR((separ(INDEX(Sheet!Y$2:Y$7967,$A115),"-",2)),"")</f>
        <v/>
      </c>
      <c r="CF115" s="35" t="str">
        <f ca="1">IFERROR((separ(INDEX(Sheet!Z$2:Z$7967,$A115),"-",2)),"")</f>
        <v/>
      </c>
      <c r="CG115" s="35" t="str">
        <f ca="1">IFERROR((separ(INDEX(Sheet!AA$2:AA$7967,$A115),"-",2)),"")</f>
        <v/>
      </c>
      <c r="CH115" s="35" t="str">
        <f ca="1">IFERROR((separ(INDEX(Sheet!AB$2:AB$7967,$A115),"-",2)),"")</f>
        <v/>
      </c>
      <c r="CI115" s="35" t="str">
        <f ca="1">IFERROR((separ(INDEX(Sheet!AC$2:AC$7967,$A115),"-",2)),"")</f>
        <v/>
      </c>
      <c r="CJ115" s="35" t="str">
        <f ca="1">IFERROR((separ(INDEX(Sheet!AD$2:AD$7967,$A115),"-",2)),"")</f>
        <v/>
      </c>
      <c r="CK115" s="35" t="str">
        <f ca="1">IFERROR((separ(INDEX(Sheet!AE$2:AE$7967,$A115),"-",2)),"")</f>
        <v/>
      </c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</row>
    <row r="116" spans="1:104" s="29" customFormat="1">
      <c r="A116" s="45" t="str">
        <f ca="1">IFERROR(MATCH($B$3,OFFSET(Sheet!$D$2,A115,0):'Sheet'!$D$7657,0)+A115,"")</f>
        <v/>
      </c>
      <c r="B116" s="29" t="str">
        <f ca="1">IF(ROW(A109)&lt;=COUNT($A$6:$A$800),INDEX(Sheet!$A$2:$A$7967,$A116),IF(ROW(A109)=COUNT($A$6:$A$800)+1," ",IF(ROW(A109)=COUNT($A$6:$A$800)+2,"  ","")))</f>
        <v/>
      </c>
      <c r="C116" s="67" t="str">
        <f ca="1">IF($A116="","",INDEX(Sheet!E$2:E$7967,$A116))</f>
        <v/>
      </c>
      <c r="D116" s="31" t="str">
        <f ca="1">IF(B113=" ",$AR$1,IF(B116=" ",$AQ$1,IF(A116="","",INDEX(Sheet!G$2:G$7967,$A116))))</f>
        <v/>
      </c>
      <c r="E116" s="32" t="str">
        <f ca="1">IF($A116="","",TEXT(INDEX(Sheet!J$2:J$7967,$A116),"#,#")&amp;" "&amp;INDEX(Sheet!AT$2:AT$7967,$A116))</f>
        <v/>
      </c>
      <c r="F116" s="53" t="str">
        <f ca="1">IF($A116="","",INDEX(Sheet!F$2:F$7967,$A116))</f>
        <v/>
      </c>
      <c r="G116" s="32" t="str">
        <f ca="1">IF($A116="","",INDEX(Sheet!I$2:I$7967,$A116))</f>
        <v/>
      </c>
      <c r="H116" s="32" t="str">
        <f ca="1">IF($A116="","",INDEX(Sheet!L$2:L$7967,$A116))</f>
        <v/>
      </c>
      <c r="I116" s="32" t="str">
        <f ca="1">IF($A116="","",INDEX(Sheet!N$2:N$7967,$A116))</f>
        <v/>
      </c>
      <c r="J116" s="53" t="str">
        <f ca="1">IF($A116="","",INDEX(Sheet!AS$2:AS$7967,$A116))</f>
        <v/>
      </c>
      <c r="K116" s="33" t="str">
        <f ca="1">IF($A116="","",IF(INDEX(Sheet!S$2:S$7967,$A116)="","",INDEX(Sheet!S$2:S$7967,$A116)))</f>
        <v/>
      </c>
      <c r="L116" s="33" t="str">
        <f ca="1">IF($A116="","",IF(INDEX(Sheet!R$2:R$7967,$A116)="","",INDEX(Sheet!R$2:R$7967,$A116)))</f>
        <v/>
      </c>
      <c r="M116" s="33" t="str">
        <f ca="1">IF($A116="","",IF(INDEX(Sheet!AO$2:AO$7967,$A116)="","",INDEX(Sheet!AO$2:AO$7967,$A116)))</f>
        <v/>
      </c>
      <c r="N116" s="33" t="str">
        <f ca="1">IF($A116="","",IF(INDEX(Sheet!T$2:T$7967,$A116)="","",INDEX(Sheet!T$2:T$7967,$A116)))</f>
        <v/>
      </c>
      <c r="O116" s="33" t="str">
        <f ca="1">IF($A116="","",IF(INDEX(Sheet!U$2:U$7967,$A116)="","",INDEX(Sheet!U$2:U$7967,$A116)))</f>
        <v/>
      </c>
      <c r="P116" s="33" t="str">
        <f ca="1">IF($A116="","",IF(INDEX(Sheet!W$2:W$7967,$A116)="","",INDEX(Sheet!W$2:W$7967,$A116)))</f>
        <v/>
      </c>
      <c r="Q116" s="33" t="str">
        <f ca="1">IF($A116="","",IF(INDEX(Sheet!V$2:V$7967,$A116)="","",INDEX(Sheet!V$2:V$7967,$A116)))</f>
        <v/>
      </c>
      <c r="R116" s="33" t="str">
        <f ca="1">IF($A116="","",IF(INDEX(Sheet!Z$2:Z$7967,$A116)="","",INDEX(Sheet!Z$2:Z$7967,$A116)))</f>
        <v/>
      </c>
      <c r="S116" s="33" t="str">
        <f ca="1">IF($A116="","",IF(INDEX(Sheet!Y$2:Y$7967,$A116)="","",INDEX(Sheet!Y$2:Y$7967,$A116)))</f>
        <v/>
      </c>
      <c r="T116" s="33" t="str">
        <f ca="1">IF($A116="","",IF(INDEX(Sheet!X$2:X$7967,$A116)="","",INDEX(Sheet!X$2:X$7967,$A116)))</f>
        <v/>
      </c>
      <c r="U116" s="33" t="str">
        <f ca="1">IF($A116="","",IF(INDEX(Sheet!AA$2:AA$7967,$A116)="","",INDEX(Sheet!AA$2:AA$7967,$A116)))</f>
        <v/>
      </c>
      <c r="V116" s="33" t="str">
        <f ca="1">IF($A116="","",IF(INDEX(Sheet!AB$2:AB$7967,$A116)="","",INDEX(Sheet!AB$2:AB$7967,$A116)))</f>
        <v/>
      </c>
      <c r="W116" s="33" t="str">
        <f ca="1">IF($A116="","",IF(INDEX(Sheet!AH$2:AH$7967,$A116)="","",INDEX(Sheet!AH$2:AH$7967,$A116)))</f>
        <v/>
      </c>
      <c r="X116" s="33" t="str">
        <f ca="1">IF($A116="","",IF(INDEX(Sheet!AC$2:AC$7967,$A116)="","",INDEX(Sheet!AC$2:AC$7967,$A116)))</f>
        <v/>
      </c>
      <c r="Y116" s="33" t="str">
        <f ca="1">IF($A116="","",IF(INDEX(Sheet!AD$2:AD$7967,$A116)="","",INDEX(Sheet!AD$2:AD$7967,$A116)))</f>
        <v/>
      </c>
      <c r="Z116" s="33" t="str">
        <f ca="1">IF($A116="","",IF(INDEX(Sheet!AL$2:AL$7967,$A116)="","",INDEX(Sheet!AL$2:AL$7967,$A116)))</f>
        <v/>
      </c>
      <c r="AA116" s="33" t="str">
        <f ca="1">IF($A116="","",IF(INDEX(Sheet!AE$2:AE$7967,$A116)="","",INDEX(Sheet!AE$2:AE$7967,$A116)))</f>
        <v/>
      </c>
      <c r="AB116" s="33" t="str">
        <f ca="1">IF($A116="","",IF(INDEX(Sheet!AF$2:AF$7967,$A116)="","",INDEX(Sheet!AF$2:AF$7967,$A116)))</f>
        <v/>
      </c>
      <c r="AC116" s="33" t="str">
        <f ca="1">IF($A116="","",IF(INDEX(Sheet!AG$2:AG$7967,$A116)="","",INDEX(Sheet!AG$2:AG$7967,$A116)))</f>
        <v/>
      </c>
      <c r="AD116" s="33" t="str">
        <f ca="1">IF($A116="","",IF(INDEX(Sheet!AM$2:AM$7967,$A116)="","",INDEX(Sheet!AM$2:AM$7967,$A116)))</f>
        <v/>
      </c>
      <c r="AE116" s="33" t="str">
        <f ca="1">IF($A116="","",IF(INDEX(Sheet!AJ$2:AJ$7967,$A116)="","",INDEX(Sheet!AJ$2:AJ$7967,$A116)))</f>
        <v/>
      </c>
      <c r="AF116" s="33" t="str">
        <f ca="1">IF($A116="","",IF(INDEX(Sheet!AI$2:AI$7967,$A116)="","",INDEX(Sheet!AI$2:AI$7967,$A116)))</f>
        <v/>
      </c>
      <c r="AG116" s="33" t="str">
        <f ca="1">IF(D116="duyệt sản xuất"," Bảo Bảo, Ngày "&amp;DAY($J$4)&amp;" Tháng "&amp;MONTH($J$4)&amp;" Năm "&amp;YEAR($J$4),IF(D116="Phê duyệt","NGƯỜI LẬP",IF(D116="Nguyễn Ngọc Thắng","NGUYỄN THỊ MAI",IF($A116="","",INDEX(Sheet!AK$2:AK$7967,$A116)))))</f>
        <v/>
      </c>
      <c r="AH116" s="58" t="str">
        <f ca="1">IF($A116="","",INDEX(Sheet!AR$2:AR$7967,$A116)&amp;" ; "&amp;INDEX(Sheet!M$2:M$7967,$A116))</f>
        <v/>
      </c>
      <c r="AI116" s="1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G116" s="35" t="str">
        <f ca="1">IFERROR(VALUE(separ(INDEX(Sheet!Q$2:Q$7967,$A116),"-",1)),"")</f>
        <v/>
      </c>
      <c r="BH116" s="35" t="str">
        <f ca="1">IFERROR(VALUE(separ(INDEX(Sheet!R$2:R$7967,$A116),"-",1)),"")</f>
        <v/>
      </c>
      <c r="BI116" s="35" t="str">
        <f ca="1">IFERROR(VALUE(separ(INDEX(Sheet!S$2:S$7967,$A116),"-",1)),"")</f>
        <v/>
      </c>
      <c r="BJ116" s="35" t="str">
        <f ca="1">IFERROR(VALUE(separ(INDEX(Sheet!T$2:T$7967,$A116),"-",1)),"")</f>
        <v/>
      </c>
      <c r="BK116" s="35" t="str">
        <f ca="1">IFERROR(VALUE(separ(INDEX(Sheet!U$2:U$7967,$A116),"-",1)),"")</f>
        <v/>
      </c>
      <c r="BL116" s="35" t="str">
        <f ca="1">IFERROR(VALUE(separ(INDEX(Sheet!V$2:V$7967,$A116),"-",1)),"")</f>
        <v/>
      </c>
      <c r="BM116" s="35" t="str">
        <f ca="1">IFERROR(VALUE(separ(INDEX(Sheet!W$2:W$7967,$A116),"-",1)),"")</f>
        <v/>
      </c>
      <c r="BN116" s="35" t="str">
        <f ca="1">IFERROR(VALUE(separ(INDEX(Sheet!X$2:X$7967,$A116),"-",1)),"")</f>
        <v/>
      </c>
      <c r="BO116" s="35" t="str">
        <f ca="1">IFERROR(VALUE(separ(INDEX(Sheet!Y$2:Y$7967,$A116),"-",1)),"")</f>
        <v/>
      </c>
      <c r="BP116" s="35" t="str">
        <f ca="1">IFERROR(VALUE(separ(INDEX(Sheet!Z$2:Z$7967,$A116),"-",1)),"")</f>
        <v/>
      </c>
      <c r="BQ116" s="35" t="str">
        <f ca="1">IFERROR(VALUE(separ(INDEX(Sheet!AA$2:AA$7967,$A116),"-",1)),"")</f>
        <v/>
      </c>
      <c r="BR116" s="35" t="str">
        <f ca="1">IFERROR(VALUE(separ(INDEX(Sheet!AB$2:AB$7967,$A116),"-",1)),"")</f>
        <v/>
      </c>
      <c r="BS116" s="35" t="str">
        <f ca="1">IFERROR(VALUE(separ(INDEX(Sheet!AC$2:AC$7967,$A116),"-",1)),"")</f>
        <v/>
      </c>
      <c r="BT116" s="35" t="str">
        <f ca="1">IFERROR(VALUE(separ(INDEX(Sheet!AD$2:AD$7967,$A116),"-",1)),"")</f>
        <v/>
      </c>
      <c r="BU116" s="35" t="str">
        <f ca="1">IFERROR(VALUE(separ(INDEX(Sheet!AE$2:AE$7967,$A116),"-",1)),"")</f>
        <v/>
      </c>
      <c r="BV116" s="35"/>
      <c r="BW116" s="35" t="str">
        <f ca="1">IFERROR((separ(INDEX(Sheet!Q$2:Q$7967,$A116),"-",2)),"")</f>
        <v/>
      </c>
      <c r="BX116" s="35" t="str">
        <f ca="1">IFERROR((separ(INDEX(Sheet!R$2:R$7967,$A116),"-",2)),"")</f>
        <v/>
      </c>
      <c r="BY116" s="35" t="str">
        <f ca="1">IFERROR((separ(INDEX(Sheet!S$2:S$7967,$A116),"-",2)),"")</f>
        <v/>
      </c>
      <c r="BZ116" s="35" t="str">
        <f ca="1">IFERROR((separ(INDEX(Sheet!T$2:T$7967,$A116),"-",2)),"")</f>
        <v/>
      </c>
      <c r="CA116" s="35" t="str">
        <f ca="1">IFERROR((separ(INDEX(Sheet!U$2:U$7967,$A116),"-",2)),"")</f>
        <v/>
      </c>
      <c r="CB116" s="35" t="str">
        <f ca="1">IFERROR((separ(INDEX(Sheet!V$2:V$7967,$A116),"-",2)),"")</f>
        <v/>
      </c>
      <c r="CC116" s="35" t="str">
        <f ca="1">IFERROR((separ(INDEX(Sheet!W$2:W$7967,$A116),"-",2)),"")</f>
        <v/>
      </c>
      <c r="CD116" s="35" t="str">
        <f ca="1">IFERROR((separ(INDEX(Sheet!X$2:X$7967,$A116),"-",2)),"")</f>
        <v/>
      </c>
      <c r="CE116" s="35" t="str">
        <f ca="1">IFERROR((separ(INDEX(Sheet!Y$2:Y$7967,$A116),"-",2)),"")</f>
        <v/>
      </c>
      <c r="CF116" s="35" t="str">
        <f ca="1">IFERROR((separ(INDEX(Sheet!Z$2:Z$7967,$A116),"-",2)),"")</f>
        <v/>
      </c>
      <c r="CG116" s="35" t="str">
        <f ca="1">IFERROR((separ(INDEX(Sheet!AA$2:AA$7967,$A116),"-",2)),"")</f>
        <v/>
      </c>
      <c r="CH116" s="35" t="str">
        <f ca="1">IFERROR((separ(INDEX(Sheet!AB$2:AB$7967,$A116),"-",2)),"")</f>
        <v/>
      </c>
      <c r="CI116" s="35" t="str">
        <f ca="1">IFERROR((separ(INDEX(Sheet!AC$2:AC$7967,$A116),"-",2)),"")</f>
        <v/>
      </c>
      <c r="CJ116" s="35" t="str">
        <f ca="1">IFERROR((separ(INDEX(Sheet!AD$2:AD$7967,$A116),"-",2)),"")</f>
        <v/>
      </c>
      <c r="CK116" s="35" t="str">
        <f ca="1">IFERROR((separ(INDEX(Sheet!AE$2:AE$7967,$A116),"-",2)),"")</f>
        <v/>
      </c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</row>
    <row r="117" spans="1:104" s="29" customFormat="1">
      <c r="A117" s="45" t="str">
        <f ca="1">IFERROR(MATCH($B$3,OFFSET(Sheet!$D$2,A116,0):'Sheet'!$D$7657,0)+A116,"")</f>
        <v/>
      </c>
      <c r="B117" s="29" t="str">
        <f ca="1">IF(ROW(A110)&lt;=COUNT($A$6:$A$800),INDEX(Sheet!$A$2:$A$7967,$A117),IF(ROW(A110)=COUNT($A$6:$A$800)+1," ",IF(ROW(A110)=COUNT($A$6:$A$800)+2,"  ","")))</f>
        <v/>
      </c>
      <c r="C117" s="67" t="str">
        <f ca="1">IF($A117="","",INDEX(Sheet!E$2:E$7967,$A117))</f>
        <v/>
      </c>
      <c r="D117" s="31" t="str">
        <f ca="1">IF(B114=" ",$AR$1,IF(B117=" ",$AQ$1,IF(A117="","",INDEX(Sheet!G$2:G$7967,$A117))))</f>
        <v/>
      </c>
      <c r="E117" s="32" t="str">
        <f ca="1">IF($A117="","",TEXT(INDEX(Sheet!J$2:J$7967,$A117),"#,#")&amp;" "&amp;INDEX(Sheet!AT$2:AT$7967,$A117))</f>
        <v/>
      </c>
      <c r="F117" s="53" t="str">
        <f ca="1">IF($A117="","",INDEX(Sheet!F$2:F$7967,$A117))</f>
        <v/>
      </c>
      <c r="G117" s="32" t="str">
        <f ca="1">IF($A117="","",INDEX(Sheet!I$2:I$7967,$A117))</f>
        <v/>
      </c>
      <c r="H117" s="32" t="str">
        <f ca="1">IF($A117="","",INDEX(Sheet!L$2:L$7967,$A117))</f>
        <v/>
      </c>
      <c r="I117" s="32" t="str">
        <f ca="1">IF($A117="","",INDEX(Sheet!N$2:N$7967,$A117))</f>
        <v/>
      </c>
      <c r="J117" s="53" t="str">
        <f ca="1">IF($A117="","",INDEX(Sheet!AS$2:AS$7967,$A117))</f>
        <v/>
      </c>
      <c r="K117" s="33" t="str">
        <f ca="1">IF($A117="","",IF(INDEX(Sheet!S$2:S$7967,$A117)="","",INDEX(Sheet!S$2:S$7967,$A117)))</f>
        <v/>
      </c>
      <c r="L117" s="33" t="str">
        <f ca="1">IF($A117="","",IF(INDEX(Sheet!R$2:R$7967,$A117)="","",INDEX(Sheet!R$2:R$7967,$A117)))</f>
        <v/>
      </c>
      <c r="M117" s="33" t="str">
        <f ca="1">IF($A117="","",IF(INDEX(Sheet!AO$2:AO$7967,$A117)="","",INDEX(Sheet!AO$2:AO$7967,$A117)))</f>
        <v/>
      </c>
      <c r="N117" s="33" t="str">
        <f ca="1">IF($A117="","",IF(INDEX(Sheet!T$2:T$7967,$A117)="","",INDEX(Sheet!T$2:T$7967,$A117)))</f>
        <v/>
      </c>
      <c r="O117" s="33" t="str">
        <f ca="1">IF($A117="","",IF(INDEX(Sheet!U$2:U$7967,$A117)="","",INDEX(Sheet!U$2:U$7967,$A117)))</f>
        <v/>
      </c>
      <c r="P117" s="33" t="str">
        <f ca="1">IF($A117="","",IF(INDEX(Sheet!W$2:W$7967,$A117)="","",INDEX(Sheet!W$2:W$7967,$A117)))</f>
        <v/>
      </c>
      <c r="Q117" s="33" t="str">
        <f ca="1">IF($A117="","",IF(INDEX(Sheet!V$2:V$7967,$A117)="","",INDEX(Sheet!V$2:V$7967,$A117)))</f>
        <v/>
      </c>
      <c r="R117" s="33" t="str">
        <f ca="1">IF($A117="","",IF(INDEX(Sheet!Z$2:Z$7967,$A117)="","",INDEX(Sheet!Z$2:Z$7967,$A117)))</f>
        <v/>
      </c>
      <c r="S117" s="33" t="str">
        <f ca="1">IF($A117="","",IF(INDEX(Sheet!Y$2:Y$7967,$A117)="","",INDEX(Sheet!Y$2:Y$7967,$A117)))</f>
        <v/>
      </c>
      <c r="T117" s="33" t="str">
        <f ca="1">IF($A117="","",IF(INDEX(Sheet!X$2:X$7967,$A117)="","",INDEX(Sheet!X$2:X$7967,$A117)))</f>
        <v/>
      </c>
      <c r="U117" s="33" t="str">
        <f ca="1">IF($A117="","",IF(INDEX(Sheet!AA$2:AA$7967,$A117)="","",INDEX(Sheet!AA$2:AA$7967,$A117)))</f>
        <v/>
      </c>
      <c r="V117" s="33" t="str">
        <f ca="1">IF($A117="","",IF(INDEX(Sheet!AB$2:AB$7967,$A117)="","",INDEX(Sheet!AB$2:AB$7967,$A117)))</f>
        <v/>
      </c>
      <c r="W117" s="33" t="str">
        <f ca="1">IF($A117="","",IF(INDEX(Sheet!AH$2:AH$7967,$A117)="","",INDEX(Sheet!AH$2:AH$7967,$A117)))</f>
        <v/>
      </c>
      <c r="X117" s="33" t="str">
        <f ca="1">IF($A117="","",IF(INDEX(Sheet!AC$2:AC$7967,$A117)="","",INDEX(Sheet!AC$2:AC$7967,$A117)))</f>
        <v/>
      </c>
      <c r="Y117" s="33" t="str">
        <f ca="1">IF($A117="","",IF(INDEX(Sheet!AD$2:AD$7967,$A117)="","",INDEX(Sheet!AD$2:AD$7967,$A117)))</f>
        <v/>
      </c>
      <c r="Z117" s="33" t="str">
        <f ca="1">IF($A117="","",IF(INDEX(Sheet!AL$2:AL$7967,$A117)="","",INDEX(Sheet!AL$2:AL$7967,$A117)))</f>
        <v/>
      </c>
      <c r="AA117" s="33" t="str">
        <f ca="1">IF($A117="","",IF(INDEX(Sheet!AE$2:AE$7967,$A117)="","",INDEX(Sheet!AE$2:AE$7967,$A117)))</f>
        <v/>
      </c>
      <c r="AB117" s="33" t="str">
        <f ca="1">IF($A117="","",IF(INDEX(Sheet!AF$2:AF$7967,$A117)="","",INDEX(Sheet!AF$2:AF$7967,$A117)))</f>
        <v/>
      </c>
      <c r="AC117" s="33" t="str">
        <f ca="1">IF($A117="","",IF(INDEX(Sheet!AG$2:AG$7967,$A117)="","",INDEX(Sheet!AG$2:AG$7967,$A117)))</f>
        <v/>
      </c>
      <c r="AD117" s="33" t="str">
        <f ca="1">IF($A117="","",IF(INDEX(Sheet!AM$2:AM$7967,$A117)="","",INDEX(Sheet!AM$2:AM$7967,$A117)))</f>
        <v/>
      </c>
      <c r="AE117" s="33" t="str">
        <f ca="1">IF($A117="","",IF(INDEX(Sheet!AJ$2:AJ$7967,$A117)="","",INDEX(Sheet!AJ$2:AJ$7967,$A117)))</f>
        <v/>
      </c>
      <c r="AF117" s="33" t="str">
        <f ca="1">IF($A117="","",IF(INDEX(Sheet!AI$2:AI$7967,$A117)="","",INDEX(Sheet!AI$2:AI$7967,$A117)))</f>
        <v/>
      </c>
      <c r="AG117" s="33" t="str">
        <f ca="1">IF(D117="duyệt sản xuất"," Bảo Bảo, Ngày "&amp;DAY($J$4)&amp;" Tháng "&amp;MONTH($J$4)&amp;" Năm "&amp;YEAR($J$4),IF(D117="Phê duyệt","NGƯỜI LẬP",IF(D117="Nguyễn Ngọc Thắng","NGUYỄN THỊ MAI",IF($A117="","",INDEX(Sheet!AK$2:AK$7967,$A117)))))</f>
        <v/>
      </c>
      <c r="AH117" s="58" t="str">
        <f ca="1">IF($A117="","",INDEX(Sheet!AR$2:AR$7967,$A117)&amp;" ; "&amp;INDEX(Sheet!M$2:M$7967,$A117))</f>
        <v/>
      </c>
      <c r="AI117" s="1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G117" s="35" t="str">
        <f ca="1">IFERROR(VALUE(separ(INDEX(Sheet!Q$2:Q$7967,$A117),"-",1)),"")</f>
        <v/>
      </c>
      <c r="BH117" s="35" t="str">
        <f ca="1">IFERROR(VALUE(separ(INDEX(Sheet!R$2:R$7967,$A117),"-",1)),"")</f>
        <v/>
      </c>
      <c r="BI117" s="35" t="str">
        <f ca="1">IFERROR(VALUE(separ(INDEX(Sheet!S$2:S$7967,$A117),"-",1)),"")</f>
        <v/>
      </c>
      <c r="BJ117" s="35" t="str">
        <f ca="1">IFERROR(VALUE(separ(INDEX(Sheet!T$2:T$7967,$A117),"-",1)),"")</f>
        <v/>
      </c>
      <c r="BK117" s="35" t="str">
        <f ca="1">IFERROR(VALUE(separ(INDEX(Sheet!U$2:U$7967,$A117),"-",1)),"")</f>
        <v/>
      </c>
      <c r="BL117" s="35" t="str">
        <f ca="1">IFERROR(VALUE(separ(INDEX(Sheet!V$2:V$7967,$A117),"-",1)),"")</f>
        <v/>
      </c>
      <c r="BM117" s="35" t="str">
        <f ca="1">IFERROR(VALUE(separ(INDEX(Sheet!W$2:W$7967,$A117),"-",1)),"")</f>
        <v/>
      </c>
      <c r="BN117" s="35" t="str">
        <f ca="1">IFERROR(VALUE(separ(INDEX(Sheet!X$2:X$7967,$A117),"-",1)),"")</f>
        <v/>
      </c>
      <c r="BO117" s="35" t="str">
        <f ca="1">IFERROR(VALUE(separ(INDEX(Sheet!Y$2:Y$7967,$A117),"-",1)),"")</f>
        <v/>
      </c>
      <c r="BP117" s="35" t="str">
        <f ca="1">IFERROR(VALUE(separ(INDEX(Sheet!Z$2:Z$7967,$A117),"-",1)),"")</f>
        <v/>
      </c>
      <c r="BQ117" s="35" t="str">
        <f ca="1">IFERROR(VALUE(separ(INDEX(Sheet!AA$2:AA$7967,$A117),"-",1)),"")</f>
        <v/>
      </c>
      <c r="BR117" s="35" t="str">
        <f ca="1">IFERROR(VALUE(separ(INDEX(Sheet!AB$2:AB$7967,$A117),"-",1)),"")</f>
        <v/>
      </c>
      <c r="BS117" s="35" t="str">
        <f ca="1">IFERROR(VALUE(separ(INDEX(Sheet!AC$2:AC$7967,$A117),"-",1)),"")</f>
        <v/>
      </c>
      <c r="BT117" s="35" t="str">
        <f ca="1">IFERROR(VALUE(separ(INDEX(Sheet!AD$2:AD$7967,$A117),"-",1)),"")</f>
        <v/>
      </c>
      <c r="BU117" s="35" t="str">
        <f ca="1">IFERROR(VALUE(separ(INDEX(Sheet!AE$2:AE$7967,$A117),"-",1)),"")</f>
        <v/>
      </c>
      <c r="BV117" s="35"/>
      <c r="BW117" s="35" t="str">
        <f ca="1">IFERROR((separ(INDEX(Sheet!Q$2:Q$7967,$A117),"-",2)),"")</f>
        <v/>
      </c>
      <c r="BX117" s="35" t="str">
        <f ca="1">IFERROR((separ(INDEX(Sheet!R$2:R$7967,$A117),"-",2)),"")</f>
        <v/>
      </c>
      <c r="BY117" s="35" t="str">
        <f ca="1">IFERROR((separ(INDEX(Sheet!S$2:S$7967,$A117),"-",2)),"")</f>
        <v/>
      </c>
      <c r="BZ117" s="35" t="str">
        <f ca="1">IFERROR((separ(INDEX(Sheet!T$2:T$7967,$A117),"-",2)),"")</f>
        <v/>
      </c>
      <c r="CA117" s="35" t="str">
        <f ca="1">IFERROR((separ(INDEX(Sheet!U$2:U$7967,$A117),"-",2)),"")</f>
        <v/>
      </c>
      <c r="CB117" s="35" t="str">
        <f ca="1">IFERROR((separ(INDEX(Sheet!V$2:V$7967,$A117),"-",2)),"")</f>
        <v/>
      </c>
      <c r="CC117" s="35" t="str">
        <f ca="1">IFERROR((separ(INDEX(Sheet!W$2:W$7967,$A117),"-",2)),"")</f>
        <v/>
      </c>
      <c r="CD117" s="35" t="str">
        <f ca="1">IFERROR((separ(INDEX(Sheet!X$2:X$7967,$A117),"-",2)),"")</f>
        <v/>
      </c>
      <c r="CE117" s="35" t="str">
        <f ca="1">IFERROR((separ(INDEX(Sheet!Y$2:Y$7967,$A117),"-",2)),"")</f>
        <v/>
      </c>
      <c r="CF117" s="35" t="str">
        <f ca="1">IFERROR((separ(INDEX(Sheet!Z$2:Z$7967,$A117),"-",2)),"")</f>
        <v/>
      </c>
      <c r="CG117" s="35" t="str">
        <f ca="1">IFERROR((separ(INDEX(Sheet!AA$2:AA$7967,$A117),"-",2)),"")</f>
        <v/>
      </c>
      <c r="CH117" s="35" t="str">
        <f ca="1">IFERROR((separ(INDEX(Sheet!AB$2:AB$7967,$A117),"-",2)),"")</f>
        <v/>
      </c>
      <c r="CI117" s="35" t="str">
        <f ca="1">IFERROR((separ(INDEX(Sheet!AC$2:AC$7967,$A117),"-",2)),"")</f>
        <v/>
      </c>
      <c r="CJ117" s="35" t="str">
        <f ca="1">IFERROR((separ(INDEX(Sheet!AD$2:AD$7967,$A117),"-",2)),"")</f>
        <v/>
      </c>
      <c r="CK117" s="35" t="str">
        <f ca="1">IFERROR((separ(INDEX(Sheet!AE$2:AE$7967,$A117),"-",2)),"")</f>
        <v/>
      </c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</row>
    <row r="118" spans="1:104" s="29" customFormat="1">
      <c r="A118" s="45" t="str">
        <f ca="1">IFERROR(MATCH($B$3,OFFSET(Sheet!$D$2,A117,0):'Sheet'!$D$7657,0)+A117,"")</f>
        <v/>
      </c>
      <c r="B118" s="29" t="str">
        <f ca="1">IF(ROW(A111)&lt;=COUNT($A$6:$A$800),INDEX(Sheet!$A$2:$A$7967,$A118),IF(ROW(A111)=COUNT($A$6:$A$800)+1," ",IF(ROW(A111)=COUNT($A$6:$A$800)+2,"  ","")))</f>
        <v/>
      </c>
      <c r="C118" s="67" t="str">
        <f ca="1">IF($A118="","",INDEX(Sheet!E$2:E$7967,$A118))</f>
        <v/>
      </c>
      <c r="D118" s="31" t="str">
        <f ca="1">IF(B115=" ",$AR$1,IF(B118=" ",$AQ$1,IF(A118="","",INDEX(Sheet!G$2:G$7967,$A118))))</f>
        <v/>
      </c>
      <c r="E118" s="32" t="str">
        <f ca="1">IF($A118="","",TEXT(INDEX(Sheet!J$2:J$7967,$A118),"#,#")&amp;" "&amp;INDEX(Sheet!AT$2:AT$7967,$A118))</f>
        <v/>
      </c>
      <c r="F118" s="53" t="str">
        <f ca="1">IF($A118="","",INDEX(Sheet!F$2:F$7967,$A118))</f>
        <v/>
      </c>
      <c r="G118" s="32" t="str">
        <f ca="1">IF($A118="","",INDEX(Sheet!I$2:I$7967,$A118))</f>
        <v/>
      </c>
      <c r="H118" s="32" t="str">
        <f ca="1">IF($A118="","",INDEX(Sheet!L$2:L$7967,$A118))</f>
        <v/>
      </c>
      <c r="I118" s="32" t="str">
        <f ca="1">IF($A118="","",INDEX(Sheet!N$2:N$7967,$A118))</f>
        <v/>
      </c>
      <c r="J118" s="53" t="str">
        <f ca="1">IF($A118="","",INDEX(Sheet!AS$2:AS$7967,$A118))</f>
        <v/>
      </c>
      <c r="K118" s="33" t="str">
        <f ca="1">IF($A118="","",IF(INDEX(Sheet!S$2:S$7967,$A118)="","",INDEX(Sheet!S$2:S$7967,$A118)))</f>
        <v/>
      </c>
      <c r="L118" s="33" t="str">
        <f ca="1">IF($A118="","",IF(INDEX(Sheet!R$2:R$7967,$A118)="","",INDEX(Sheet!R$2:R$7967,$A118)))</f>
        <v/>
      </c>
      <c r="M118" s="33" t="str">
        <f ca="1">IF($A118="","",IF(INDEX(Sheet!AO$2:AO$7967,$A118)="","",INDEX(Sheet!AO$2:AO$7967,$A118)))</f>
        <v/>
      </c>
      <c r="N118" s="33" t="str">
        <f ca="1">IF($A118="","",IF(INDEX(Sheet!T$2:T$7967,$A118)="","",INDEX(Sheet!T$2:T$7967,$A118)))</f>
        <v/>
      </c>
      <c r="O118" s="33" t="str">
        <f ca="1">IF($A118="","",IF(INDEX(Sheet!U$2:U$7967,$A118)="","",INDEX(Sheet!U$2:U$7967,$A118)))</f>
        <v/>
      </c>
      <c r="P118" s="33" t="str">
        <f ca="1">IF($A118="","",IF(INDEX(Sheet!W$2:W$7967,$A118)="","",INDEX(Sheet!W$2:W$7967,$A118)))</f>
        <v/>
      </c>
      <c r="Q118" s="33" t="str">
        <f ca="1">IF($A118="","",IF(INDEX(Sheet!V$2:V$7967,$A118)="","",INDEX(Sheet!V$2:V$7967,$A118)))</f>
        <v/>
      </c>
      <c r="R118" s="33" t="str">
        <f ca="1">IF($A118="","",IF(INDEX(Sheet!Z$2:Z$7967,$A118)="","",INDEX(Sheet!Z$2:Z$7967,$A118)))</f>
        <v/>
      </c>
      <c r="S118" s="33" t="str">
        <f ca="1">IF($A118="","",IF(INDEX(Sheet!Y$2:Y$7967,$A118)="","",INDEX(Sheet!Y$2:Y$7967,$A118)))</f>
        <v/>
      </c>
      <c r="T118" s="33" t="str">
        <f ca="1">IF($A118="","",IF(INDEX(Sheet!X$2:X$7967,$A118)="","",INDEX(Sheet!X$2:X$7967,$A118)))</f>
        <v/>
      </c>
      <c r="U118" s="33" t="str">
        <f ca="1">IF($A118="","",IF(INDEX(Sheet!AA$2:AA$7967,$A118)="","",INDEX(Sheet!AA$2:AA$7967,$A118)))</f>
        <v/>
      </c>
      <c r="V118" s="33" t="str">
        <f ca="1">IF($A118="","",IF(INDEX(Sheet!AB$2:AB$7967,$A118)="","",INDEX(Sheet!AB$2:AB$7967,$A118)))</f>
        <v/>
      </c>
      <c r="W118" s="33" t="str">
        <f ca="1">IF($A118="","",IF(INDEX(Sheet!AH$2:AH$7967,$A118)="","",INDEX(Sheet!AH$2:AH$7967,$A118)))</f>
        <v/>
      </c>
      <c r="X118" s="33" t="str">
        <f ca="1">IF($A118="","",IF(INDEX(Sheet!AC$2:AC$7967,$A118)="","",INDEX(Sheet!AC$2:AC$7967,$A118)))</f>
        <v/>
      </c>
      <c r="Y118" s="33" t="str">
        <f ca="1">IF($A118="","",IF(INDEX(Sheet!AD$2:AD$7967,$A118)="","",INDEX(Sheet!AD$2:AD$7967,$A118)))</f>
        <v/>
      </c>
      <c r="Z118" s="33" t="str">
        <f ca="1">IF($A118="","",IF(INDEX(Sheet!AL$2:AL$7967,$A118)="","",INDEX(Sheet!AL$2:AL$7967,$A118)))</f>
        <v/>
      </c>
      <c r="AA118" s="33" t="str">
        <f ca="1">IF($A118="","",IF(INDEX(Sheet!AE$2:AE$7967,$A118)="","",INDEX(Sheet!AE$2:AE$7967,$A118)))</f>
        <v/>
      </c>
      <c r="AB118" s="33" t="str">
        <f ca="1">IF($A118="","",IF(INDEX(Sheet!AF$2:AF$7967,$A118)="","",INDEX(Sheet!AF$2:AF$7967,$A118)))</f>
        <v/>
      </c>
      <c r="AC118" s="33" t="str">
        <f ca="1">IF($A118="","",IF(INDEX(Sheet!AG$2:AG$7967,$A118)="","",INDEX(Sheet!AG$2:AG$7967,$A118)))</f>
        <v/>
      </c>
      <c r="AD118" s="33" t="str">
        <f ca="1">IF($A118="","",IF(INDEX(Sheet!AM$2:AM$7967,$A118)="","",INDEX(Sheet!AM$2:AM$7967,$A118)))</f>
        <v/>
      </c>
      <c r="AE118" s="33" t="str">
        <f ca="1">IF($A118="","",IF(INDEX(Sheet!AJ$2:AJ$7967,$A118)="","",INDEX(Sheet!AJ$2:AJ$7967,$A118)))</f>
        <v/>
      </c>
      <c r="AF118" s="33" t="str">
        <f ca="1">IF($A118="","",IF(INDEX(Sheet!AI$2:AI$7967,$A118)="","",INDEX(Sheet!AI$2:AI$7967,$A118)))</f>
        <v/>
      </c>
      <c r="AG118" s="33" t="str">
        <f ca="1">IF(D118="duyệt sản xuất"," Bảo Bảo, Ngày "&amp;DAY($J$4)&amp;" Tháng "&amp;MONTH($J$4)&amp;" Năm "&amp;YEAR($J$4),IF(D118="Phê duyệt","NGƯỜI LẬP",IF(D118="Nguyễn Ngọc Thắng","NGUYỄN THỊ MAI",IF($A118="","",INDEX(Sheet!AK$2:AK$7967,$A118)))))</f>
        <v/>
      </c>
      <c r="AH118" s="58" t="str">
        <f ca="1">IF($A118="","",INDEX(Sheet!AR$2:AR$7967,$A118)&amp;" ; "&amp;INDEX(Sheet!M$2:M$7967,$A118))</f>
        <v/>
      </c>
      <c r="AI118" s="1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G118" s="35" t="str">
        <f ca="1">IFERROR(VALUE(separ(INDEX(Sheet!Q$2:Q$7967,$A118),"-",1)),"")</f>
        <v/>
      </c>
      <c r="BH118" s="35" t="str">
        <f ca="1">IFERROR(VALUE(separ(INDEX(Sheet!R$2:R$7967,$A118),"-",1)),"")</f>
        <v/>
      </c>
      <c r="BI118" s="35" t="str">
        <f ca="1">IFERROR(VALUE(separ(INDEX(Sheet!S$2:S$7967,$A118),"-",1)),"")</f>
        <v/>
      </c>
      <c r="BJ118" s="35" t="str">
        <f ca="1">IFERROR(VALUE(separ(INDEX(Sheet!T$2:T$7967,$A118),"-",1)),"")</f>
        <v/>
      </c>
      <c r="BK118" s="35" t="str">
        <f ca="1">IFERROR(VALUE(separ(INDEX(Sheet!U$2:U$7967,$A118),"-",1)),"")</f>
        <v/>
      </c>
      <c r="BL118" s="35" t="str">
        <f ca="1">IFERROR(VALUE(separ(INDEX(Sheet!V$2:V$7967,$A118),"-",1)),"")</f>
        <v/>
      </c>
      <c r="BM118" s="35" t="str">
        <f ca="1">IFERROR(VALUE(separ(INDEX(Sheet!W$2:W$7967,$A118),"-",1)),"")</f>
        <v/>
      </c>
      <c r="BN118" s="35" t="str">
        <f ca="1">IFERROR(VALUE(separ(INDEX(Sheet!X$2:X$7967,$A118),"-",1)),"")</f>
        <v/>
      </c>
      <c r="BO118" s="35" t="str">
        <f ca="1">IFERROR(VALUE(separ(INDEX(Sheet!Y$2:Y$7967,$A118),"-",1)),"")</f>
        <v/>
      </c>
      <c r="BP118" s="35" t="str">
        <f ca="1">IFERROR(VALUE(separ(INDEX(Sheet!Z$2:Z$7967,$A118),"-",1)),"")</f>
        <v/>
      </c>
      <c r="BQ118" s="35" t="str">
        <f ca="1">IFERROR(VALUE(separ(INDEX(Sheet!AA$2:AA$7967,$A118),"-",1)),"")</f>
        <v/>
      </c>
      <c r="BR118" s="35" t="str">
        <f ca="1">IFERROR(VALUE(separ(INDEX(Sheet!AB$2:AB$7967,$A118),"-",1)),"")</f>
        <v/>
      </c>
      <c r="BS118" s="35" t="str">
        <f ca="1">IFERROR(VALUE(separ(INDEX(Sheet!AC$2:AC$7967,$A118),"-",1)),"")</f>
        <v/>
      </c>
      <c r="BT118" s="35" t="str">
        <f ca="1">IFERROR(VALUE(separ(INDEX(Sheet!AD$2:AD$7967,$A118),"-",1)),"")</f>
        <v/>
      </c>
      <c r="BU118" s="35" t="str">
        <f ca="1">IFERROR(VALUE(separ(INDEX(Sheet!AE$2:AE$7967,$A118),"-",1)),"")</f>
        <v/>
      </c>
      <c r="BV118" s="35"/>
      <c r="BW118" s="35" t="str">
        <f ca="1">IFERROR((separ(INDEX(Sheet!Q$2:Q$7967,$A118),"-",2)),"")</f>
        <v/>
      </c>
      <c r="BX118" s="35" t="str">
        <f ca="1">IFERROR((separ(INDEX(Sheet!R$2:R$7967,$A118),"-",2)),"")</f>
        <v/>
      </c>
      <c r="BY118" s="35" t="str">
        <f ca="1">IFERROR((separ(INDEX(Sheet!S$2:S$7967,$A118),"-",2)),"")</f>
        <v/>
      </c>
      <c r="BZ118" s="35" t="str">
        <f ca="1">IFERROR((separ(INDEX(Sheet!T$2:T$7967,$A118),"-",2)),"")</f>
        <v/>
      </c>
      <c r="CA118" s="35" t="str">
        <f ca="1">IFERROR((separ(INDEX(Sheet!U$2:U$7967,$A118),"-",2)),"")</f>
        <v/>
      </c>
      <c r="CB118" s="35" t="str">
        <f ca="1">IFERROR((separ(INDEX(Sheet!V$2:V$7967,$A118),"-",2)),"")</f>
        <v/>
      </c>
      <c r="CC118" s="35" t="str">
        <f ca="1">IFERROR((separ(INDEX(Sheet!W$2:W$7967,$A118),"-",2)),"")</f>
        <v/>
      </c>
      <c r="CD118" s="35" t="str">
        <f ca="1">IFERROR((separ(INDEX(Sheet!X$2:X$7967,$A118),"-",2)),"")</f>
        <v/>
      </c>
      <c r="CE118" s="35" t="str">
        <f ca="1">IFERROR((separ(INDEX(Sheet!Y$2:Y$7967,$A118),"-",2)),"")</f>
        <v/>
      </c>
      <c r="CF118" s="35" t="str">
        <f ca="1">IFERROR((separ(INDEX(Sheet!Z$2:Z$7967,$A118),"-",2)),"")</f>
        <v/>
      </c>
      <c r="CG118" s="35" t="str">
        <f ca="1">IFERROR((separ(INDEX(Sheet!AA$2:AA$7967,$A118),"-",2)),"")</f>
        <v/>
      </c>
      <c r="CH118" s="35" t="str">
        <f ca="1">IFERROR((separ(INDEX(Sheet!AB$2:AB$7967,$A118),"-",2)),"")</f>
        <v/>
      </c>
      <c r="CI118" s="35" t="str">
        <f ca="1">IFERROR((separ(INDEX(Sheet!AC$2:AC$7967,$A118),"-",2)),"")</f>
        <v/>
      </c>
      <c r="CJ118" s="35" t="str">
        <f ca="1">IFERROR((separ(INDEX(Sheet!AD$2:AD$7967,$A118),"-",2)),"")</f>
        <v/>
      </c>
      <c r="CK118" s="35" t="str">
        <f ca="1">IFERROR((separ(INDEX(Sheet!AE$2:AE$7967,$A118),"-",2)),"")</f>
        <v/>
      </c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</row>
    <row r="119" spans="1:104" s="29" customFormat="1">
      <c r="A119" s="45" t="str">
        <f ca="1">IFERROR(MATCH($B$3,OFFSET(Sheet!$D$2,A118,0):'Sheet'!$D$7657,0)+A118,"")</f>
        <v/>
      </c>
      <c r="B119" s="29" t="str">
        <f ca="1">IF(ROW(A112)&lt;=COUNT($A$6:$A$800),INDEX(Sheet!$A$2:$A$7967,$A119),IF(ROW(A112)=COUNT($A$6:$A$800)+1," ",IF(ROW(A112)=COUNT($A$6:$A$800)+2,"  ","")))</f>
        <v/>
      </c>
      <c r="C119" s="67" t="str">
        <f ca="1">IF($A119="","",INDEX(Sheet!E$2:E$7967,$A119))</f>
        <v/>
      </c>
      <c r="D119" s="31" t="str">
        <f ca="1">IF(B116=" ",$AR$1,IF(B119=" ",$AQ$1,IF(A119="","",INDEX(Sheet!G$2:G$7967,$A119))))</f>
        <v/>
      </c>
      <c r="E119" s="32" t="str">
        <f ca="1">IF($A119="","",TEXT(INDEX(Sheet!J$2:J$7967,$A119),"#,#")&amp;" "&amp;INDEX(Sheet!AT$2:AT$7967,$A119))</f>
        <v/>
      </c>
      <c r="F119" s="53" t="str">
        <f ca="1">IF($A119="","",INDEX(Sheet!F$2:F$7967,$A119))</f>
        <v/>
      </c>
      <c r="G119" s="32" t="str">
        <f ca="1">IF($A119="","",INDEX(Sheet!I$2:I$7967,$A119))</f>
        <v/>
      </c>
      <c r="H119" s="32" t="str">
        <f ca="1">IF($A119="","",INDEX(Sheet!L$2:L$7967,$A119))</f>
        <v/>
      </c>
      <c r="I119" s="32" t="str">
        <f ca="1">IF($A119="","",INDEX(Sheet!N$2:N$7967,$A119))</f>
        <v/>
      </c>
      <c r="J119" s="53" t="str">
        <f ca="1">IF($A119="","",INDEX(Sheet!AS$2:AS$7967,$A119))</f>
        <v/>
      </c>
      <c r="K119" s="33" t="str">
        <f ca="1">IF($A119="","",IF(INDEX(Sheet!S$2:S$7967,$A119)="","",INDEX(Sheet!S$2:S$7967,$A119)))</f>
        <v/>
      </c>
      <c r="L119" s="33" t="str">
        <f ca="1">IF($A119="","",IF(INDEX(Sheet!R$2:R$7967,$A119)="","",INDEX(Sheet!R$2:R$7967,$A119)))</f>
        <v/>
      </c>
      <c r="M119" s="33" t="str">
        <f ca="1">IF($A119="","",IF(INDEX(Sheet!AO$2:AO$7967,$A119)="","",INDEX(Sheet!AO$2:AO$7967,$A119)))</f>
        <v/>
      </c>
      <c r="N119" s="33" t="str">
        <f ca="1">IF($A119="","",IF(INDEX(Sheet!T$2:T$7967,$A119)="","",INDEX(Sheet!T$2:T$7967,$A119)))</f>
        <v/>
      </c>
      <c r="O119" s="33" t="str">
        <f ca="1">IF($A119="","",IF(INDEX(Sheet!U$2:U$7967,$A119)="","",INDEX(Sheet!U$2:U$7967,$A119)))</f>
        <v/>
      </c>
      <c r="P119" s="33" t="str">
        <f ca="1">IF($A119="","",IF(INDEX(Sheet!W$2:W$7967,$A119)="","",INDEX(Sheet!W$2:W$7967,$A119)))</f>
        <v/>
      </c>
      <c r="Q119" s="33" t="str">
        <f ca="1">IF($A119="","",IF(INDEX(Sheet!V$2:V$7967,$A119)="","",INDEX(Sheet!V$2:V$7967,$A119)))</f>
        <v/>
      </c>
      <c r="R119" s="33" t="str">
        <f ca="1">IF($A119="","",IF(INDEX(Sheet!Z$2:Z$7967,$A119)="","",INDEX(Sheet!Z$2:Z$7967,$A119)))</f>
        <v/>
      </c>
      <c r="S119" s="33" t="str">
        <f ca="1">IF($A119="","",IF(INDEX(Sheet!Y$2:Y$7967,$A119)="","",INDEX(Sheet!Y$2:Y$7967,$A119)))</f>
        <v/>
      </c>
      <c r="T119" s="33" t="str">
        <f ca="1">IF($A119="","",IF(INDEX(Sheet!X$2:X$7967,$A119)="","",INDEX(Sheet!X$2:X$7967,$A119)))</f>
        <v/>
      </c>
      <c r="U119" s="33" t="str">
        <f ca="1">IF($A119="","",IF(INDEX(Sheet!AA$2:AA$7967,$A119)="","",INDEX(Sheet!AA$2:AA$7967,$A119)))</f>
        <v/>
      </c>
      <c r="V119" s="33" t="str">
        <f ca="1">IF($A119="","",IF(INDEX(Sheet!AB$2:AB$7967,$A119)="","",INDEX(Sheet!AB$2:AB$7967,$A119)))</f>
        <v/>
      </c>
      <c r="W119" s="33" t="str">
        <f ca="1">IF($A119="","",IF(INDEX(Sheet!AH$2:AH$7967,$A119)="","",INDEX(Sheet!AH$2:AH$7967,$A119)))</f>
        <v/>
      </c>
      <c r="X119" s="33" t="str">
        <f ca="1">IF($A119="","",IF(INDEX(Sheet!AC$2:AC$7967,$A119)="","",INDEX(Sheet!AC$2:AC$7967,$A119)))</f>
        <v/>
      </c>
      <c r="Y119" s="33" t="str">
        <f ca="1">IF($A119="","",IF(INDEX(Sheet!AD$2:AD$7967,$A119)="","",INDEX(Sheet!AD$2:AD$7967,$A119)))</f>
        <v/>
      </c>
      <c r="Z119" s="33" t="str">
        <f ca="1">IF($A119="","",IF(INDEX(Sheet!AL$2:AL$7967,$A119)="","",INDEX(Sheet!AL$2:AL$7967,$A119)))</f>
        <v/>
      </c>
      <c r="AA119" s="33" t="str">
        <f ca="1">IF($A119="","",IF(INDEX(Sheet!AE$2:AE$7967,$A119)="","",INDEX(Sheet!AE$2:AE$7967,$A119)))</f>
        <v/>
      </c>
      <c r="AB119" s="33" t="str">
        <f ca="1">IF($A119="","",IF(INDEX(Sheet!AF$2:AF$7967,$A119)="","",INDEX(Sheet!AF$2:AF$7967,$A119)))</f>
        <v/>
      </c>
      <c r="AC119" s="33" t="str">
        <f ca="1">IF($A119="","",IF(INDEX(Sheet!AG$2:AG$7967,$A119)="","",INDEX(Sheet!AG$2:AG$7967,$A119)))</f>
        <v/>
      </c>
      <c r="AD119" s="33" t="str">
        <f ca="1">IF($A119="","",IF(INDEX(Sheet!AM$2:AM$7967,$A119)="","",INDEX(Sheet!AM$2:AM$7967,$A119)))</f>
        <v/>
      </c>
      <c r="AE119" s="33" t="str">
        <f ca="1">IF($A119="","",IF(INDEX(Sheet!AJ$2:AJ$7967,$A119)="","",INDEX(Sheet!AJ$2:AJ$7967,$A119)))</f>
        <v/>
      </c>
      <c r="AF119" s="33" t="str">
        <f ca="1">IF($A119="","",IF(INDEX(Sheet!AI$2:AI$7967,$A119)="","",INDEX(Sheet!AI$2:AI$7967,$A119)))</f>
        <v/>
      </c>
      <c r="AG119" s="33" t="str">
        <f ca="1">IF(D119="duyệt sản xuất"," Bảo Bảo, Ngày "&amp;DAY($J$4)&amp;" Tháng "&amp;MONTH($J$4)&amp;" Năm "&amp;YEAR($J$4),IF(D119="Phê duyệt","NGƯỜI LẬP",IF(D119="Nguyễn Ngọc Thắng","NGUYỄN THỊ MAI",IF($A119="","",INDEX(Sheet!AK$2:AK$7967,$A119)))))</f>
        <v/>
      </c>
      <c r="AH119" s="58" t="str">
        <f ca="1">IF($A119="","",INDEX(Sheet!AR$2:AR$7967,$A119)&amp;" ; "&amp;INDEX(Sheet!M$2:M$7967,$A119))</f>
        <v/>
      </c>
      <c r="AI119" s="1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G119" s="35" t="str">
        <f ca="1">IFERROR(VALUE(separ(INDEX(Sheet!Q$2:Q$7967,$A119),"-",1)),"")</f>
        <v/>
      </c>
      <c r="BH119" s="35" t="str">
        <f ca="1">IFERROR(VALUE(separ(INDEX(Sheet!R$2:R$7967,$A119),"-",1)),"")</f>
        <v/>
      </c>
      <c r="BI119" s="35" t="str">
        <f ca="1">IFERROR(VALUE(separ(INDEX(Sheet!S$2:S$7967,$A119),"-",1)),"")</f>
        <v/>
      </c>
      <c r="BJ119" s="35" t="str">
        <f ca="1">IFERROR(VALUE(separ(INDEX(Sheet!T$2:T$7967,$A119),"-",1)),"")</f>
        <v/>
      </c>
      <c r="BK119" s="35" t="str">
        <f ca="1">IFERROR(VALUE(separ(INDEX(Sheet!U$2:U$7967,$A119),"-",1)),"")</f>
        <v/>
      </c>
      <c r="BL119" s="35" t="str">
        <f ca="1">IFERROR(VALUE(separ(INDEX(Sheet!V$2:V$7967,$A119),"-",1)),"")</f>
        <v/>
      </c>
      <c r="BM119" s="35" t="str">
        <f ca="1">IFERROR(VALUE(separ(INDEX(Sheet!W$2:W$7967,$A119),"-",1)),"")</f>
        <v/>
      </c>
      <c r="BN119" s="35" t="str">
        <f ca="1">IFERROR(VALUE(separ(INDEX(Sheet!X$2:X$7967,$A119),"-",1)),"")</f>
        <v/>
      </c>
      <c r="BO119" s="35" t="str">
        <f ca="1">IFERROR(VALUE(separ(INDEX(Sheet!Y$2:Y$7967,$A119),"-",1)),"")</f>
        <v/>
      </c>
      <c r="BP119" s="35" t="str">
        <f ca="1">IFERROR(VALUE(separ(INDEX(Sheet!Z$2:Z$7967,$A119),"-",1)),"")</f>
        <v/>
      </c>
      <c r="BQ119" s="35" t="str">
        <f ca="1">IFERROR(VALUE(separ(INDEX(Sheet!AA$2:AA$7967,$A119),"-",1)),"")</f>
        <v/>
      </c>
      <c r="BR119" s="35" t="str">
        <f ca="1">IFERROR(VALUE(separ(INDEX(Sheet!AB$2:AB$7967,$A119),"-",1)),"")</f>
        <v/>
      </c>
      <c r="BS119" s="35" t="str">
        <f ca="1">IFERROR(VALUE(separ(INDEX(Sheet!AC$2:AC$7967,$A119),"-",1)),"")</f>
        <v/>
      </c>
      <c r="BT119" s="35" t="str">
        <f ca="1">IFERROR(VALUE(separ(INDEX(Sheet!AD$2:AD$7967,$A119),"-",1)),"")</f>
        <v/>
      </c>
      <c r="BU119" s="35" t="str">
        <f ca="1">IFERROR(VALUE(separ(INDEX(Sheet!AE$2:AE$7967,$A119),"-",1)),"")</f>
        <v/>
      </c>
      <c r="BV119" s="35"/>
      <c r="BW119" s="35" t="str">
        <f ca="1">IFERROR((separ(INDEX(Sheet!Q$2:Q$7967,$A119),"-",2)),"")</f>
        <v/>
      </c>
      <c r="BX119" s="35" t="str">
        <f ca="1">IFERROR((separ(INDEX(Sheet!R$2:R$7967,$A119),"-",2)),"")</f>
        <v/>
      </c>
      <c r="BY119" s="35" t="str">
        <f ca="1">IFERROR((separ(INDEX(Sheet!S$2:S$7967,$A119),"-",2)),"")</f>
        <v/>
      </c>
      <c r="BZ119" s="35" t="str">
        <f ca="1">IFERROR((separ(INDEX(Sheet!T$2:T$7967,$A119),"-",2)),"")</f>
        <v/>
      </c>
      <c r="CA119" s="35" t="str">
        <f ca="1">IFERROR((separ(INDEX(Sheet!U$2:U$7967,$A119),"-",2)),"")</f>
        <v/>
      </c>
      <c r="CB119" s="35" t="str">
        <f ca="1">IFERROR((separ(INDEX(Sheet!V$2:V$7967,$A119),"-",2)),"")</f>
        <v/>
      </c>
      <c r="CC119" s="35" t="str">
        <f ca="1">IFERROR((separ(INDEX(Sheet!W$2:W$7967,$A119),"-",2)),"")</f>
        <v/>
      </c>
      <c r="CD119" s="35" t="str">
        <f ca="1">IFERROR((separ(INDEX(Sheet!X$2:X$7967,$A119),"-",2)),"")</f>
        <v/>
      </c>
      <c r="CE119" s="35" t="str">
        <f ca="1">IFERROR((separ(INDEX(Sheet!Y$2:Y$7967,$A119),"-",2)),"")</f>
        <v/>
      </c>
      <c r="CF119" s="35" t="str">
        <f ca="1">IFERROR((separ(INDEX(Sheet!Z$2:Z$7967,$A119),"-",2)),"")</f>
        <v/>
      </c>
      <c r="CG119" s="35" t="str">
        <f ca="1">IFERROR((separ(INDEX(Sheet!AA$2:AA$7967,$A119),"-",2)),"")</f>
        <v/>
      </c>
      <c r="CH119" s="35" t="str">
        <f ca="1">IFERROR((separ(INDEX(Sheet!AB$2:AB$7967,$A119),"-",2)),"")</f>
        <v/>
      </c>
      <c r="CI119" s="35" t="str">
        <f ca="1">IFERROR((separ(INDEX(Sheet!AC$2:AC$7967,$A119),"-",2)),"")</f>
        <v/>
      </c>
      <c r="CJ119" s="35" t="str">
        <f ca="1">IFERROR((separ(INDEX(Sheet!AD$2:AD$7967,$A119),"-",2)),"")</f>
        <v/>
      </c>
      <c r="CK119" s="35" t="str">
        <f ca="1">IFERROR((separ(INDEX(Sheet!AE$2:AE$7967,$A119),"-",2)),"")</f>
        <v/>
      </c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</row>
    <row r="120" spans="1:104" s="29" customFormat="1">
      <c r="A120" s="45" t="str">
        <f ca="1">IFERROR(MATCH($B$3,OFFSET(Sheet!$D$2,A119,0):'Sheet'!$D$7657,0)+A119,"")</f>
        <v/>
      </c>
      <c r="B120" s="29" t="str">
        <f ca="1">IF(ROW(A113)&lt;=COUNT($A$6:$A$800),INDEX(Sheet!$A$2:$A$7967,$A120),IF(ROW(A113)=COUNT($A$6:$A$800)+1," ",IF(ROW(A113)=COUNT($A$6:$A$800)+2,"  ","")))</f>
        <v/>
      </c>
      <c r="C120" s="67" t="str">
        <f ca="1">IF($A120="","",INDEX(Sheet!E$2:E$7967,$A120))</f>
        <v/>
      </c>
      <c r="D120" s="31" t="str">
        <f ca="1">IF(B117=" ",$AR$1,IF(B120=" ",$AQ$1,IF(A120="","",INDEX(Sheet!G$2:G$7967,$A120))))</f>
        <v/>
      </c>
      <c r="E120" s="32" t="str">
        <f ca="1">IF($A120="","",TEXT(INDEX(Sheet!J$2:J$7967,$A120),"#,#")&amp;" "&amp;INDEX(Sheet!AT$2:AT$7967,$A120))</f>
        <v/>
      </c>
      <c r="F120" s="53" t="str">
        <f ca="1">IF($A120="","",INDEX(Sheet!F$2:F$7967,$A120))</f>
        <v/>
      </c>
      <c r="G120" s="32" t="str">
        <f ca="1">IF($A120="","",INDEX(Sheet!I$2:I$7967,$A120))</f>
        <v/>
      </c>
      <c r="H120" s="32" t="str">
        <f ca="1">IF($A120="","",INDEX(Sheet!L$2:L$7967,$A120))</f>
        <v/>
      </c>
      <c r="I120" s="32" t="str">
        <f ca="1">IF($A120="","",INDEX(Sheet!N$2:N$7967,$A120))</f>
        <v/>
      </c>
      <c r="J120" s="53" t="str">
        <f ca="1">IF($A120="","",INDEX(Sheet!AS$2:AS$7967,$A120))</f>
        <v/>
      </c>
      <c r="K120" s="33" t="str">
        <f ca="1">IF($A120="","",IF(INDEX(Sheet!S$2:S$7967,$A120)="","",INDEX(Sheet!S$2:S$7967,$A120)))</f>
        <v/>
      </c>
      <c r="L120" s="33" t="str">
        <f ca="1">IF($A120="","",IF(INDEX(Sheet!R$2:R$7967,$A120)="","",INDEX(Sheet!R$2:R$7967,$A120)))</f>
        <v/>
      </c>
      <c r="M120" s="33" t="str">
        <f ca="1">IF($A120="","",IF(INDEX(Sheet!AO$2:AO$7967,$A120)="","",INDEX(Sheet!AO$2:AO$7967,$A120)))</f>
        <v/>
      </c>
      <c r="N120" s="33" t="str">
        <f ca="1">IF($A120="","",IF(INDEX(Sheet!T$2:T$7967,$A120)="","",INDEX(Sheet!T$2:T$7967,$A120)))</f>
        <v/>
      </c>
      <c r="O120" s="33" t="str">
        <f ca="1">IF($A120="","",IF(INDEX(Sheet!U$2:U$7967,$A120)="","",INDEX(Sheet!U$2:U$7967,$A120)))</f>
        <v/>
      </c>
      <c r="P120" s="33" t="str">
        <f ca="1">IF($A120="","",IF(INDEX(Sheet!W$2:W$7967,$A120)="","",INDEX(Sheet!W$2:W$7967,$A120)))</f>
        <v/>
      </c>
      <c r="Q120" s="33" t="str">
        <f ca="1">IF($A120="","",IF(INDEX(Sheet!V$2:V$7967,$A120)="","",INDEX(Sheet!V$2:V$7967,$A120)))</f>
        <v/>
      </c>
      <c r="R120" s="33" t="str">
        <f ca="1">IF($A120="","",IF(INDEX(Sheet!Z$2:Z$7967,$A120)="","",INDEX(Sheet!Z$2:Z$7967,$A120)))</f>
        <v/>
      </c>
      <c r="S120" s="33" t="str">
        <f ca="1">IF($A120="","",IF(INDEX(Sheet!Y$2:Y$7967,$A120)="","",INDEX(Sheet!Y$2:Y$7967,$A120)))</f>
        <v/>
      </c>
      <c r="T120" s="33" t="str">
        <f ca="1">IF($A120="","",IF(INDEX(Sheet!X$2:X$7967,$A120)="","",INDEX(Sheet!X$2:X$7967,$A120)))</f>
        <v/>
      </c>
      <c r="U120" s="33" t="str">
        <f ca="1">IF($A120="","",IF(INDEX(Sheet!AA$2:AA$7967,$A120)="","",INDEX(Sheet!AA$2:AA$7967,$A120)))</f>
        <v/>
      </c>
      <c r="V120" s="33" t="str">
        <f ca="1">IF($A120="","",IF(INDEX(Sheet!AB$2:AB$7967,$A120)="","",INDEX(Sheet!AB$2:AB$7967,$A120)))</f>
        <v/>
      </c>
      <c r="W120" s="33" t="str">
        <f ca="1">IF($A120="","",IF(INDEX(Sheet!AH$2:AH$7967,$A120)="","",INDEX(Sheet!AH$2:AH$7967,$A120)))</f>
        <v/>
      </c>
      <c r="X120" s="33" t="str">
        <f ca="1">IF($A120="","",IF(INDEX(Sheet!AC$2:AC$7967,$A120)="","",INDEX(Sheet!AC$2:AC$7967,$A120)))</f>
        <v/>
      </c>
      <c r="Y120" s="33" t="str">
        <f ca="1">IF($A120="","",IF(INDEX(Sheet!AD$2:AD$7967,$A120)="","",INDEX(Sheet!AD$2:AD$7967,$A120)))</f>
        <v/>
      </c>
      <c r="Z120" s="33" t="str">
        <f ca="1">IF($A120="","",IF(INDEX(Sheet!AL$2:AL$7967,$A120)="","",INDEX(Sheet!AL$2:AL$7967,$A120)))</f>
        <v/>
      </c>
      <c r="AA120" s="33" t="str">
        <f ca="1">IF($A120="","",IF(INDEX(Sheet!AE$2:AE$7967,$A120)="","",INDEX(Sheet!AE$2:AE$7967,$A120)))</f>
        <v/>
      </c>
      <c r="AB120" s="33" t="str">
        <f ca="1">IF($A120="","",IF(INDEX(Sheet!AF$2:AF$7967,$A120)="","",INDEX(Sheet!AF$2:AF$7967,$A120)))</f>
        <v/>
      </c>
      <c r="AC120" s="33" t="str">
        <f ca="1">IF($A120="","",IF(INDEX(Sheet!AG$2:AG$7967,$A120)="","",INDEX(Sheet!AG$2:AG$7967,$A120)))</f>
        <v/>
      </c>
      <c r="AD120" s="33" t="str">
        <f ca="1">IF($A120="","",IF(INDEX(Sheet!AM$2:AM$7967,$A120)="","",INDEX(Sheet!AM$2:AM$7967,$A120)))</f>
        <v/>
      </c>
      <c r="AE120" s="33" t="str">
        <f ca="1">IF($A120="","",IF(INDEX(Sheet!AJ$2:AJ$7967,$A120)="","",INDEX(Sheet!AJ$2:AJ$7967,$A120)))</f>
        <v/>
      </c>
      <c r="AF120" s="33" t="str">
        <f ca="1">IF($A120="","",IF(INDEX(Sheet!AI$2:AI$7967,$A120)="","",INDEX(Sheet!AI$2:AI$7967,$A120)))</f>
        <v/>
      </c>
      <c r="AG120" s="33" t="str">
        <f ca="1">IF(D120="duyệt sản xuất"," Bảo Bảo, Ngày "&amp;DAY($J$4)&amp;" Tháng "&amp;MONTH($J$4)&amp;" Năm "&amp;YEAR($J$4),IF(D120="Phê duyệt","NGƯỜI LẬP",IF(D120="Nguyễn Ngọc Thắng","NGUYỄN THỊ MAI",IF($A120="","",INDEX(Sheet!AK$2:AK$7967,$A120)))))</f>
        <v/>
      </c>
      <c r="AH120" s="58" t="str">
        <f ca="1">IF($A120="","",INDEX(Sheet!AR$2:AR$7967,$A120)&amp;" ; "&amp;INDEX(Sheet!M$2:M$7967,$A120))</f>
        <v/>
      </c>
      <c r="AI120" s="1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G120" s="35" t="str">
        <f ca="1">IFERROR(VALUE(separ(INDEX(Sheet!Q$2:Q$7967,$A120),"-",1)),"")</f>
        <v/>
      </c>
      <c r="BH120" s="35" t="str">
        <f ca="1">IFERROR(VALUE(separ(INDEX(Sheet!R$2:R$7967,$A120),"-",1)),"")</f>
        <v/>
      </c>
      <c r="BI120" s="35" t="str">
        <f ca="1">IFERROR(VALUE(separ(INDEX(Sheet!S$2:S$7967,$A120),"-",1)),"")</f>
        <v/>
      </c>
      <c r="BJ120" s="35" t="str">
        <f ca="1">IFERROR(VALUE(separ(INDEX(Sheet!T$2:T$7967,$A120),"-",1)),"")</f>
        <v/>
      </c>
      <c r="BK120" s="35" t="str">
        <f ca="1">IFERROR(VALUE(separ(INDEX(Sheet!U$2:U$7967,$A120),"-",1)),"")</f>
        <v/>
      </c>
      <c r="BL120" s="35" t="str">
        <f ca="1">IFERROR(VALUE(separ(INDEX(Sheet!V$2:V$7967,$A120),"-",1)),"")</f>
        <v/>
      </c>
      <c r="BM120" s="35" t="str">
        <f ca="1">IFERROR(VALUE(separ(INDEX(Sheet!W$2:W$7967,$A120),"-",1)),"")</f>
        <v/>
      </c>
      <c r="BN120" s="35" t="str">
        <f ca="1">IFERROR(VALUE(separ(INDEX(Sheet!X$2:X$7967,$A120),"-",1)),"")</f>
        <v/>
      </c>
      <c r="BO120" s="35" t="str">
        <f ca="1">IFERROR(VALUE(separ(INDEX(Sheet!Y$2:Y$7967,$A120),"-",1)),"")</f>
        <v/>
      </c>
      <c r="BP120" s="35" t="str">
        <f ca="1">IFERROR(VALUE(separ(INDEX(Sheet!Z$2:Z$7967,$A120),"-",1)),"")</f>
        <v/>
      </c>
      <c r="BQ120" s="35" t="str">
        <f ca="1">IFERROR(VALUE(separ(INDEX(Sheet!AA$2:AA$7967,$A120),"-",1)),"")</f>
        <v/>
      </c>
      <c r="BR120" s="35" t="str">
        <f ca="1">IFERROR(VALUE(separ(INDEX(Sheet!AB$2:AB$7967,$A120),"-",1)),"")</f>
        <v/>
      </c>
      <c r="BS120" s="35" t="str">
        <f ca="1">IFERROR(VALUE(separ(INDEX(Sheet!AC$2:AC$7967,$A120),"-",1)),"")</f>
        <v/>
      </c>
      <c r="BT120" s="35" t="str">
        <f ca="1">IFERROR(VALUE(separ(INDEX(Sheet!AD$2:AD$7967,$A120),"-",1)),"")</f>
        <v/>
      </c>
      <c r="BU120" s="35" t="str">
        <f ca="1">IFERROR(VALUE(separ(INDEX(Sheet!AE$2:AE$7967,$A120),"-",1)),"")</f>
        <v/>
      </c>
      <c r="BV120" s="35"/>
      <c r="BW120" s="35" t="str">
        <f ca="1">IFERROR((separ(INDEX(Sheet!Q$2:Q$7967,$A120),"-",2)),"")</f>
        <v/>
      </c>
      <c r="BX120" s="35" t="str">
        <f ca="1">IFERROR((separ(INDEX(Sheet!R$2:R$7967,$A120),"-",2)),"")</f>
        <v/>
      </c>
      <c r="BY120" s="35" t="str">
        <f ca="1">IFERROR((separ(INDEX(Sheet!S$2:S$7967,$A120),"-",2)),"")</f>
        <v/>
      </c>
      <c r="BZ120" s="35" t="str">
        <f ca="1">IFERROR((separ(INDEX(Sheet!T$2:T$7967,$A120),"-",2)),"")</f>
        <v/>
      </c>
      <c r="CA120" s="35" t="str">
        <f ca="1">IFERROR((separ(INDEX(Sheet!U$2:U$7967,$A120),"-",2)),"")</f>
        <v/>
      </c>
      <c r="CB120" s="35" t="str">
        <f ca="1">IFERROR((separ(INDEX(Sheet!V$2:V$7967,$A120),"-",2)),"")</f>
        <v/>
      </c>
      <c r="CC120" s="35" t="str">
        <f ca="1">IFERROR((separ(INDEX(Sheet!W$2:W$7967,$A120),"-",2)),"")</f>
        <v/>
      </c>
      <c r="CD120" s="35" t="str">
        <f ca="1">IFERROR((separ(INDEX(Sheet!X$2:X$7967,$A120),"-",2)),"")</f>
        <v/>
      </c>
      <c r="CE120" s="35" t="str">
        <f ca="1">IFERROR((separ(INDEX(Sheet!Y$2:Y$7967,$A120),"-",2)),"")</f>
        <v/>
      </c>
      <c r="CF120" s="35" t="str">
        <f ca="1">IFERROR((separ(INDEX(Sheet!Z$2:Z$7967,$A120),"-",2)),"")</f>
        <v/>
      </c>
      <c r="CG120" s="35" t="str">
        <f ca="1">IFERROR((separ(INDEX(Sheet!AA$2:AA$7967,$A120),"-",2)),"")</f>
        <v/>
      </c>
      <c r="CH120" s="35" t="str">
        <f ca="1">IFERROR((separ(INDEX(Sheet!AB$2:AB$7967,$A120),"-",2)),"")</f>
        <v/>
      </c>
      <c r="CI120" s="35" t="str">
        <f ca="1">IFERROR((separ(INDEX(Sheet!AC$2:AC$7967,$A120),"-",2)),"")</f>
        <v/>
      </c>
      <c r="CJ120" s="35" t="str">
        <f ca="1">IFERROR((separ(INDEX(Sheet!AD$2:AD$7967,$A120),"-",2)),"")</f>
        <v/>
      </c>
      <c r="CK120" s="35" t="str">
        <f ca="1">IFERROR((separ(INDEX(Sheet!AE$2:AE$7967,$A120),"-",2)),"")</f>
        <v/>
      </c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</row>
    <row r="121" spans="1:104" s="29" customFormat="1">
      <c r="A121" s="45" t="str">
        <f ca="1">IFERROR(MATCH($B$3,OFFSET(Sheet!$D$2,A120,0):'Sheet'!$D$7657,0)+A120,"")</f>
        <v/>
      </c>
      <c r="B121" s="29" t="str">
        <f ca="1">IF(ROW(A114)&lt;=COUNT($A$6:$A$800),INDEX(Sheet!$A$2:$A$7967,$A121),IF(ROW(A114)=COUNT($A$6:$A$800)+1," ",IF(ROW(A114)=COUNT($A$6:$A$800)+2,"  ","")))</f>
        <v/>
      </c>
      <c r="C121" s="67" t="str">
        <f ca="1">IF($A121="","",INDEX(Sheet!E$2:E$7967,$A121))</f>
        <v/>
      </c>
      <c r="D121" s="31" t="str">
        <f ca="1">IF(B118=" ",$AR$1,IF(B121=" ",$AQ$1,IF(A121="","",INDEX(Sheet!G$2:G$7967,$A121))))</f>
        <v/>
      </c>
      <c r="E121" s="32" t="str">
        <f ca="1">IF($A121="","",TEXT(INDEX(Sheet!J$2:J$7967,$A121),"#,#")&amp;" "&amp;INDEX(Sheet!AT$2:AT$7967,$A121))</f>
        <v/>
      </c>
      <c r="F121" s="53" t="str">
        <f ca="1">IF($A121="","",INDEX(Sheet!F$2:F$7967,$A121))</f>
        <v/>
      </c>
      <c r="G121" s="32" t="str">
        <f ca="1">IF($A121="","",INDEX(Sheet!I$2:I$7967,$A121))</f>
        <v/>
      </c>
      <c r="H121" s="32" t="str">
        <f ca="1">IF($A121="","",INDEX(Sheet!L$2:L$7967,$A121))</f>
        <v/>
      </c>
      <c r="I121" s="32" t="str">
        <f ca="1">IF($A121="","",INDEX(Sheet!N$2:N$7967,$A121))</f>
        <v/>
      </c>
      <c r="J121" s="53" t="str">
        <f ca="1">IF($A121="","",INDEX(Sheet!AS$2:AS$7967,$A121))</f>
        <v/>
      </c>
      <c r="K121" s="33" t="str">
        <f ca="1">IF($A121="","",IF(INDEX(Sheet!S$2:S$7967,$A121)="","",INDEX(Sheet!S$2:S$7967,$A121)))</f>
        <v/>
      </c>
      <c r="L121" s="33" t="str">
        <f ca="1">IF($A121="","",IF(INDEX(Sheet!R$2:R$7967,$A121)="","",INDEX(Sheet!R$2:R$7967,$A121)))</f>
        <v/>
      </c>
      <c r="M121" s="33" t="str">
        <f ca="1">IF($A121="","",IF(INDEX(Sheet!AO$2:AO$7967,$A121)="","",INDEX(Sheet!AO$2:AO$7967,$A121)))</f>
        <v/>
      </c>
      <c r="N121" s="33" t="str">
        <f ca="1">IF($A121="","",IF(INDEX(Sheet!T$2:T$7967,$A121)="","",INDEX(Sheet!T$2:T$7967,$A121)))</f>
        <v/>
      </c>
      <c r="O121" s="33" t="str">
        <f ca="1">IF($A121="","",IF(INDEX(Sheet!U$2:U$7967,$A121)="","",INDEX(Sheet!U$2:U$7967,$A121)))</f>
        <v/>
      </c>
      <c r="P121" s="33" t="str">
        <f ca="1">IF($A121="","",IF(INDEX(Sheet!W$2:W$7967,$A121)="","",INDEX(Sheet!W$2:W$7967,$A121)))</f>
        <v/>
      </c>
      <c r="Q121" s="33" t="str">
        <f ca="1">IF($A121="","",IF(INDEX(Sheet!V$2:V$7967,$A121)="","",INDEX(Sheet!V$2:V$7967,$A121)))</f>
        <v/>
      </c>
      <c r="R121" s="33" t="str">
        <f ca="1">IF($A121="","",IF(INDEX(Sheet!Z$2:Z$7967,$A121)="","",INDEX(Sheet!Z$2:Z$7967,$A121)))</f>
        <v/>
      </c>
      <c r="S121" s="33" t="str">
        <f ca="1">IF($A121="","",IF(INDEX(Sheet!Y$2:Y$7967,$A121)="","",INDEX(Sheet!Y$2:Y$7967,$A121)))</f>
        <v/>
      </c>
      <c r="T121" s="33" t="str">
        <f ca="1">IF($A121="","",IF(INDEX(Sheet!X$2:X$7967,$A121)="","",INDEX(Sheet!X$2:X$7967,$A121)))</f>
        <v/>
      </c>
      <c r="U121" s="33" t="str">
        <f ca="1">IF($A121="","",IF(INDEX(Sheet!AA$2:AA$7967,$A121)="","",INDEX(Sheet!AA$2:AA$7967,$A121)))</f>
        <v/>
      </c>
      <c r="V121" s="33" t="str">
        <f ca="1">IF($A121="","",IF(INDEX(Sheet!AB$2:AB$7967,$A121)="","",INDEX(Sheet!AB$2:AB$7967,$A121)))</f>
        <v/>
      </c>
      <c r="W121" s="33" t="str">
        <f ca="1">IF($A121="","",IF(INDEX(Sheet!AH$2:AH$7967,$A121)="","",INDEX(Sheet!AH$2:AH$7967,$A121)))</f>
        <v/>
      </c>
      <c r="X121" s="33" t="str">
        <f ca="1">IF($A121="","",IF(INDEX(Sheet!AC$2:AC$7967,$A121)="","",INDEX(Sheet!AC$2:AC$7967,$A121)))</f>
        <v/>
      </c>
      <c r="Y121" s="33" t="str">
        <f ca="1">IF($A121="","",IF(INDEX(Sheet!AD$2:AD$7967,$A121)="","",INDEX(Sheet!AD$2:AD$7967,$A121)))</f>
        <v/>
      </c>
      <c r="Z121" s="33" t="str">
        <f ca="1">IF($A121="","",IF(INDEX(Sheet!AL$2:AL$7967,$A121)="","",INDEX(Sheet!AL$2:AL$7967,$A121)))</f>
        <v/>
      </c>
      <c r="AA121" s="33" t="str">
        <f ca="1">IF($A121="","",IF(INDEX(Sheet!AE$2:AE$7967,$A121)="","",INDEX(Sheet!AE$2:AE$7967,$A121)))</f>
        <v/>
      </c>
      <c r="AB121" s="33" t="str">
        <f ca="1">IF($A121="","",IF(INDEX(Sheet!AF$2:AF$7967,$A121)="","",INDEX(Sheet!AF$2:AF$7967,$A121)))</f>
        <v/>
      </c>
      <c r="AC121" s="33" t="str">
        <f ca="1">IF($A121="","",IF(INDEX(Sheet!AG$2:AG$7967,$A121)="","",INDEX(Sheet!AG$2:AG$7967,$A121)))</f>
        <v/>
      </c>
      <c r="AD121" s="33" t="str">
        <f ca="1">IF($A121="","",IF(INDEX(Sheet!AM$2:AM$7967,$A121)="","",INDEX(Sheet!AM$2:AM$7967,$A121)))</f>
        <v/>
      </c>
      <c r="AE121" s="33" t="str">
        <f ca="1">IF($A121="","",IF(INDEX(Sheet!AJ$2:AJ$7967,$A121)="","",INDEX(Sheet!AJ$2:AJ$7967,$A121)))</f>
        <v/>
      </c>
      <c r="AF121" s="33" t="str">
        <f ca="1">IF($A121="","",IF(INDEX(Sheet!AI$2:AI$7967,$A121)="","",INDEX(Sheet!AI$2:AI$7967,$A121)))</f>
        <v/>
      </c>
      <c r="AG121" s="33" t="str">
        <f ca="1">IF(D121="duyệt sản xuất"," Bảo Bảo, Ngày "&amp;DAY($J$4)&amp;" Tháng "&amp;MONTH($J$4)&amp;" Năm "&amp;YEAR($J$4),IF(D121="Phê duyệt","NGƯỜI LẬP",IF(D121="Nguyễn Ngọc Thắng","NGUYỄN THỊ MAI",IF($A121="","",INDEX(Sheet!AK$2:AK$7967,$A121)))))</f>
        <v/>
      </c>
      <c r="AH121" s="58" t="str">
        <f ca="1">IF($A121="","",INDEX(Sheet!AR$2:AR$7967,$A121)&amp;" ; "&amp;INDEX(Sheet!M$2:M$7967,$A121))</f>
        <v/>
      </c>
      <c r="AI121" s="1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G121" s="35" t="str">
        <f ca="1">IFERROR(VALUE(separ(INDEX(Sheet!Q$2:Q$7967,$A121),"-",1)),"")</f>
        <v/>
      </c>
      <c r="BH121" s="35" t="str">
        <f ca="1">IFERROR(VALUE(separ(INDEX(Sheet!R$2:R$7967,$A121),"-",1)),"")</f>
        <v/>
      </c>
      <c r="BI121" s="35" t="str">
        <f ca="1">IFERROR(VALUE(separ(INDEX(Sheet!S$2:S$7967,$A121),"-",1)),"")</f>
        <v/>
      </c>
      <c r="BJ121" s="35" t="str">
        <f ca="1">IFERROR(VALUE(separ(INDEX(Sheet!T$2:T$7967,$A121),"-",1)),"")</f>
        <v/>
      </c>
      <c r="BK121" s="35" t="str">
        <f ca="1">IFERROR(VALUE(separ(INDEX(Sheet!U$2:U$7967,$A121),"-",1)),"")</f>
        <v/>
      </c>
      <c r="BL121" s="35" t="str">
        <f ca="1">IFERROR(VALUE(separ(INDEX(Sheet!V$2:V$7967,$A121),"-",1)),"")</f>
        <v/>
      </c>
      <c r="BM121" s="35" t="str">
        <f ca="1">IFERROR(VALUE(separ(INDEX(Sheet!W$2:W$7967,$A121),"-",1)),"")</f>
        <v/>
      </c>
      <c r="BN121" s="35" t="str">
        <f ca="1">IFERROR(VALUE(separ(INDEX(Sheet!X$2:X$7967,$A121),"-",1)),"")</f>
        <v/>
      </c>
      <c r="BO121" s="35" t="str">
        <f ca="1">IFERROR(VALUE(separ(INDEX(Sheet!Y$2:Y$7967,$A121),"-",1)),"")</f>
        <v/>
      </c>
      <c r="BP121" s="35" t="str">
        <f ca="1">IFERROR(VALUE(separ(INDEX(Sheet!Z$2:Z$7967,$A121),"-",1)),"")</f>
        <v/>
      </c>
      <c r="BQ121" s="35" t="str">
        <f ca="1">IFERROR(VALUE(separ(INDEX(Sheet!AA$2:AA$7967,$A121),"-",1)),"")</f>
        <v/>
      </c>
      <c r="BR121" s="35" t="str">
        <f ca="1">IFERROR(VALUE(separ(INDEX(Sheet!AB$2:AB$7967,$A121),"-",1)),"")</f>
        <v/>
      </c>
      <c r="BS121" s="35" t="str">
        <f ca="1">IFERROR(VALUE(separ(INDEX(Sheet!AC$2:AC$7967,$A121),"-",1)),"")</f>
        <v/>
      </c>
      <c r="BT121" s="35" t="str">
        <f ca="1">IFERROR(VALUE(separ(INDEX(Sheet!AD$2:AD$7967,$A121),"-",1)),"")</f>
        <v/>
      </c>
      <c r="BU121" s="35" t="str">
        <f ca="1">IFERROR(VALUE(separ(INDEX(Sheet!AE$2:AE$7967,$A121),"-",1)),"")</f>
        <v/>
      </c>
      <c r="BV121" s="35"/>
      <c r="BW121" s="35" t="str">
        <f ca="1">IFERROR((separ(INDEX(Sheet!Q$2:Q$7967,$A121),"-",2)),"")</f>
        <v/>
      </c>
      <c r="BX121" s="35" t="str">
        <f ca="1">IFERROR((separ(INDEX(Sheet!R$2:R$7967,$A121),"-",2)),"")</f>
        <v/>
      </c>
      <c r="BY121" s="35" t="str">
        <f ca="1">IFERROR((separ(INDEX(Sheet!S$2:S$7967,$A121),"-",2)),"")</f>
        <v/>
      </c>
      <c r="BZ121" s="35" t="str">
        <f ca="1">IFERROR((separ(INDEX(Sheet!T$2:T$7967,$A121),"-",2)),"")</f>
        <v/>
      </c>
      <c r="CA121" s="35" t="str">
        <f ca="1">IFERROR((separ(INDEX(Sheet!U$2:U$7967,$A121),"-",2)),"")</f>
        <v/>
      </c>
      <c r="CB121" s="35" t="str">
        <f ca="1">IFERROR((separ(INDEX(Sheet!V$2:V$7967,$A121),"-",2)),"")</f>
        <v/>
      </c>
      <c r="CC121" s="35" t="str">
        <f ca="1">IFERROR((separ(INDEX(Sheet!W$2:W$7967,$A121),"-",2)),"")</f>
        <v/>
      </c>
      <c r="CD121" s="35" t="str">
        <f ca="1">IFERROR((separ(INDEX(Sheet!X$2:X$7967,$A121),"-",2)),"")</f>
        <v/>
      </c>
      <c r="CE121" s="35" t="str">
        <f ca="1">IFERROR((separ(INDEX(Sheet!Y$2:Y$7967,$A121),"-",2)),"")</f>
        <v/>
      </c>
      <c r="CF121" s="35" t="str">
        <f ca="1">IFERROR((separ(INDEX(Sheet!Z$2:Z$7967,$A121),"-",2)),"")</f>
        <v/>
      </c>
      <c r="CG121" s="35" t="str">
        <f ca="1">IFERROR((separ(INDEX(Sheet!AA$2:AA$7967,$A121),"-",2)),"")</f>
        <v/>
      </c>
      <c r="CH121" s="35" t="str">
        <f ca="1">IFERROR((separ(INDEX(Sheet!AB$2:AB$7967,$A121),"-",2)),"")</f>
        <v/>
      </c>
      <c r="CI121" s="35" t="str">
        <f ca="1">IFERROR((separ(INDEX(Sheet!AC$2:AC$7967,$A121),"-",2)),"")</f>
        <v/>
      </c>
      <c r="CJ121" s="35" t="str">
        <f ca="1">IFERROR((separ(INDEX(Sheet!AD$2:AD$7967,$A121),"-",2)),"")</f>
        <v/>
      </c>
      <c r="CK121" s="35" t="str">
        <f ca="1">IFERROR((separ(INDEX(Sheet!AE$2:AE$7967,$A121),"-",2)),"")</f>
        <v/>
      </c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</row>
    <row r="122" spans="1:104" s="29" customFormat="1">
      <c r="A122" s="45" t="str">
        <f ca="1">IFERROR(MATCH($B$3,OFFSET(Sheet!$D$2,A121,0):'Sheet'!$D$7657,0)+A121,"")</f>
        <v/>
      </c>
      <c r="B122" s="29" t="str">
        <f ca="1">IF(ROW(A115)&lt;=COUNT($A$6:$A$800),INDEX(Sheet!$A$2:$A$7967,$A122),IF(ROW(A115)=COUNT($A$6:$A$800)+1," ",IF(ROW(A115)=COUNT($A$6:$A$800)+2,"  ","")))</f>
        <v/>
      </c>
      <c r="C122" s="67" t="str">
        <f ca="1">IF($A122="","",INDEX(Sheet!E$2:E$7967,$A122))</f>
        <v/>
      </c>
      <c r="D122" s="31" t="str">
        <f ca="1">IF(B119=" ",$AR$1,IF(B122=" ",$AQ$1,IF(A122="","",INDEX(Sheet!G$2:G$7967,$A122))))</f>
        <v/>
      </c>
      <c r="E122" s="32" t="str">
        <f ca="1">IF($A122="","",TEXT(INDEX(Sheet!J$2:J$7967,$A122),"#,#")&amp;" "&amp;INDEX(Sheet!AT$2:AT$7967,$A122))</f>
        <v/>
      </c>
      <c r="F122" s="53" t="str">
        <f ca="1">IF($A122="","",INDEX(Sheet!F$2:F$7967,$A122))</f>
        <v/>
      </c>
      <c r="G122" s="32" t="str">
        <f ca="1">IF($A122="","",INDEX(Sheet!I$2:I$7967,$A122))</f>
        <v/>
      </c>
      <c r="H122" s="32" t="str">
        <f ca="1">IF($A122="","",INDEX(Sheet!L$2:L$7967,$A122))</f>
        <v/>
      </c>
      <c r="I122" s="32" t="str">
        <f ca="1">IF($A122="","",INDEX(Sheet!N$2:N$7967,$A122))</f>
        <v/>
      </c>
      <c r="J122" s="53" t="str">
        <f ca="1">IF($A122="","",INDEX(Sheet!AS$2:AS$7967,$A122))</f>
        <v/>
      </c>
      <c r="K122" s="33" t="str">
        <f ca="1">IF($A122="","",IF(INDEX(Sheet!S$2:S$7967,$A122)="","",INDEX(Sheet!S$2:S$7967,$A122)))</f>
        <v/>
      </c>
      <c r="L122" s="33" t="str">
        <f ca="1">IF($A122="","",IF(INDEX(Sheet!R$2:R$7967,$A122)="","",INDEX(Sheet!R$2:R$7967,$A122)))</f>
        <v/>
      </c>
      <c r="M122" s="33" t="str">
        <f ca="1">IF($A122="","",IF(INDEX(Sheet!AO$2:AO$7967,$A122)="","",INDEX(Sheet!AO$2:AO$7967,$A122)))</f>
        <v/>
      </c>
      <c r="N122" s="33" t="str">
        <f ca="1">IF($A122="","",IF(INDEX(Sheet!T$2:T$7967,$A122)="","",INDEX(Sheet!T$2:T$7967,$A122)))</f>
        <v/>
      </c>
      <c r="O122" s="33" t="str">
        <f ca="1">IF($A122="","",IF(INDEX(Sheet!U$2:U$7967,$A122)="","",INDEX(Sheet!U$2:U$7967,$A122)))</f>
        <v/>
      </c>
      <c r="P122" s="33" t="str">
        <f ca="1">IF($A122="","",IF(INDEX(Sheet!W$2:W$7967,$A122)="","",INDEX(Sheet!W$2:W$7967,$A122)))</f>
        <v/>
      </c>
      <c r="Q122" s="33" t="str">
        <f ca="1">IF($A122="","",IF(INDEX(Sheet!V$2:V$7967,$A122)="","",INDEX(Sheet!V$2:V$7967,$A122)))</f>
        <v/>
      </c>
      <c r="R122" s="33" t="str">
        <f ca="1">IF($A122="","",IF(INDEX(Sheet!Z$2:Z$7967,$A122)="","",INDEX(Sheet!Z$2:Z$7967,$A122)))</f>
        <v/>
      </c>
      <c r="S122" s="33" t="str">
        <f ca="1">IF($A122="","",IF(INDEX(Sheet!Y$2:Y$7967,$A122)="","",INDEX(Sheet!Y$2:Y$7967,$A122)))</f>
        <v/>
      </c>
      <c r="T122" s="33" t="str">
        <f ca="1">IF($A122="","",IF(INDEX(Sheet!X$2:X$7967,$A122)="","",INDEX(Sheet!X$2:X$7967,$A122)))</f>
        <v/>
      </c>
      <c r="U122" s="33" t="str">
        <f ca="1">IF($A122="","",IF(INDEX(Sheet!AA$2:AA$7967,$A122)="","",INDEX(Sheet!AA$2:AA$7967,$A122)))</f>
        <v/>
      </c>
      <c r="V122" s="33" t="str">
        <f ca="1">IF($A122="","",IF(INDEX(Sheet!AB$2:AB$7967,$A122)="","",INDEX(Sheet!AB$2:AB$7967,$A122)))</f>
        <v/>
      </c>
      <c r="W122" s="33" t="str">
        <f ca="1">IF($A122="","",IF(INDEX(Sheet!AH$2:AH$7967,$A122)="","",INDEX(Sheet!AH$2:AH$7967,$A122)))</f>
        <v/>
      </c>
      <c r="X122" s="33" t="str">
        <f ca="1">IF($A122="","",IF(INDEX(Sheet!AC$2:AC$7967,$A122)="","",INDEX(Sheet!AC$2:AC$7967,$A122)))</f>
        <v/>
      </c>
      <c r="Y122" s="33" t="str">
        <f ca="1">IF($A122="","",IF(INDEX(Sheet!AD$2:AD$7967,$A122)="","",INDEX(Sheet!AD$2:AD$7967,$A122)))</f>
        <v/>
      </c>
      <c r="Z122" s="33" t="str">
        <f ca="1">IF($A122="","",IF(INDEX(Sheet!AL$2:AL$7967,$A122)="","",INDEX(Sheet!AL$2:AL$7967,$A122)))</f>
        <v/>
      </c>
      <c r="AA122" s="33" t="str">
        <f ca="1">IF($A122="","",IF(INDEX(Sheet!AE$2:AE$7967,$A122)="","",INDEX(Sheet!AE$2:AE$7967,$A122)))</f>
        <v/>
      </c>
      <c r="AB122" s="33" t="str">
        <f ca="1">IF($A122="","",IF(INDEX(Sheet!AF$2:AF$7967,$A122)="","",INDEX(Sheet!AF$2:AF$7967,$A122)))</f>
        <v/>
      </c>
      <c r="AC122" s="33" t="str">
        <f ca="1">IF($A122="","",IF(INDEX(Sheet!AG$2:AG$7967,$A122)="","",INDEX(Sheet!AG$2:AG$7967,$A122)))</f>
        <v/>
      </c>
      <c r="AD122" s="33" t="str">
        <f ca="1">IF($A122="","",IF(INDEX(Sheet!AM$2:AM$7967,$A122)="","",INDEX(Sheet!AM$2:AM$7967,$A122)))</f>
        <v/>
      </c>
      <c r="AE122" s="33" t="str">
        <f ca="1">IF($A122="","",IF(INDEX(Sheet!AJ$2:AJ$7967,$A122)="","",INDEX(Sheet!AJ$2:AJ$7967,$A122)))</f>
        <v/>
      </c>
      <c r="AF122" s="33" t="str">
        <f ca="1">IF($A122="","",IF(INDEX(Sheet!AI$2:AI$7967,$A122)="","",INDEX(Sheet!AI$2:AI$7967,$A122)))</f>
        <v/>
      </c>
      <c r="AG122" s="33" t="str">
        <f ca="1">IF(D122="duyệt sản xuất"," Bảo Bảo, Ngày "&amp;DAY($J$4)&amp;" Tháng "&amp;MONTH($J$4)&amp;" Năm "&amp;YEAR($J$4),IF(D122="Phê duyệt","NGƯỜI LẬP",IF(D122="Nguyễn Ngọc Thắng","NGUYỄN THỊ MAI",IF($A122="","",INDEX(Sheet!AK$2:AK$7967,$A122)))))</f>
        <v/>
      </c>
      <c r="AH122" s="58" t="str">
        <f ca="1">IF($A122="","",INDEX(Sheet!AR$2:AR$7967,$A122)&amp;" ; "&amp;INDEX(Sheet!M$2:M$7967,$A122))</f>
        <v/>
      </c>
      <c r="AI122" s="1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G122" s="35" t="str">
        <f ca="1">IFERROR(VALUE(separ(INDEX(Sheet!Q$2:Q$7967,$A122),"-",1)),"")</f>
        <v/>
      </c>
      <c r="BH122" s="35" t="str">
        <f ca="1">IFERROR(VALUE(separ(INDEX(Sheet!R$2:R$7967,$A122),"-",1)),"")</f>
        <v/>
      </c>
      <c r="BI122" s="35" t="str">
        <f ca="1">IFERROR(VALUE(separ(INDEX(Sheet!S$2:S$7967,$A122),"-",1)),"")</f>
        <v/>
      </c>
      <c r="BJ122" s="35" t="str">
        <f ca="1">IFERROR(VALUE(separ(INDEX(Sheet!T$2:T$7967,$A122),"-",1)),"")</f>
        <v/>
      </c>
      <c r="BK122" s="35" t="str">
        <f ca="1">IFERROR(VALUE(separ(INDEX(Sheet!U$2:U$7967,$A122),"-",1)),"")</f>
        <v/>
      </c>
      <c r="BL122" s="35" t="str">
        <f ca="1">IFERROR(VALUE(separ(INDEX(Sheet!V$2:V$7967,$A122),"-",1)),"")</f>
        <v/>
      </c>
      <c r="BM122" s="35" t="str">
        <f ca="1">IFERROR(VALUE(separ(INDEX(Sheet!W$2:W$7967,$A122),"-",1)),"")</f>
        <v/>
      </c>
      <c r="BN122" s="35" t="str">
        <f ca="1">IFERROR(VALUE(separ(INDEX(Sheet!X$2:X$7967,$A122),"-",1)),"")</f>
        <v/>
      </c>
      <c r="BO122" s="35" t="str">
        <f ca="1">IFERROR(VALUE(separ(INDEX(Sheet!Y$2:Y$7967,$A122),"-",1)),"")</f>
        <v/>
      </c>
      <c r="BP122" s="35" t="str">
        <f ca="1">IFERROR(VALUE(separ(INDEX(Sheet!Z$2:Z$7967,$A122),"-",1)),"")</f>
        <v/>
      </c>
      <c r="BQ122" s="35" t="str">
        <f ca="1">IFERROR(VALUE(separ(INDEX(Sheet!AA$2:AA$7967,$A122),"-",1)),"")</f>
        <v/>
      </c>
      <c r="BR122" s="35" t="str">
        <f ca="1">IFERROR(VALUE(separ(INDEX(Sheet!AB$2:AB$7967,$A122),"-",1)),"")</f>
        <v/>
      </c>
      <c r="BS122" s="35" t="str">
        <f ca="1">IFERROR(VALUE(separ(INDEX(Sheet!AC$2:AC$7967,$A122),"-",1)),"")</f>
        <v/>
      </c>
      <c r="BT122" s="35" t="str">
        <f ca="1">IFERROR(VALUE(separ(INDEX(Sheet!AD$2:AD$7967,$A122),"-",1)),"")</f>
        <v/>
      </c>
      <c r="BU122" s="35" t="str">
        <f ca="1">IFERROR(VALUE(separ(INDEX(Sheet!AE$2:AE$7967,$A122),"-",1)),"")</f>
        <v/>
      </c>
      <c r="BV122" s="35"/>
      <c r="BW122" s="35" t="str">
        <f ca="1">IFERROR((separ(INDEX(Sheet!Q$2:Q$7967,$A122),"-",2)),"")</f>
        <v/>
      </c>
      <c r="BX122" s="35" t="str">
        <f ca="1">IFERROR((separ(INDEX(Sheet!R$2:R$7967,$A122),"-",2)),"")</f>
        <v/>
      </c>
      <c r="BY122" s="35" t="str">
        <f ca="1">IFERROR((separ(INDEX(Sheet!S$2:S$7967,$A122),"-",2)),"")</f>
        <v/>
      </c>
      <c r="BZ122" s="35" t="str">
        <f ca="1">IFERROR((separ(INDEX(Sheet!T$2:T$7967,$A122),"-",2)),"")</f>
        <v/>
      </c>
      <c r="CA122" s="35" t="str">
        <f ca="1">IFERROR((separ(INDEX(Sheet!U$2:U$7967,$A122),"-",2)),"")</f>
        <v/>
      </c>
      <c r="CB122" s="35" t="str">
        <f ca="1">IFERROR((separ(INDEX(Sheet!V$2:V$7967,$A122),"-",2)),"")</f>
        <v/>
      </c>
      <c r="CC122" s="35" t="str">
        <f ca="1">IFERROR((separ(INDEX(Sheet!W$2:W$7967,$A122),"-",2)),"")</f>
        <v/>
      </c>
      <c r="CD122" s="35" t="str">
        <f ca="1">IFERROR((separ(INDEX(Sheet!X$2:X$7967,$A122),"-",2)),"")</f>
        <v/>
      </c>
      <c r="CE122" s="35" t="str">
        <f ca="1">IFERROR((separ(INDEX(Sheet!Y$2:Y$7967,$A122),"-",2)),"")</f>
        <v/>
      </c>
      <c r="CF122" s="35" t="str">
        <f ca="1">IFERROR((separ(INDEX(Sheet!Z$2:Z$7967,$A122),"-",2)),"")</f>
        <v/>
      </c>
      <c r="CG122" s="35" t="str">
        <f ca="1">IFERROR((separ(INDEX(Sheet!AA$2:AA$7967,$A122),"-",2)),"")</f>
        <v/>
      </c>
      <c r="CH122" s="35" t="str">
        <f ca="1">IFERROR((separ(INDEX(Sheet!AB$2:AB$7967,$A122),"-",2)),"")</f>
        <v/>
      </c>
      <c r="CI122" s="35" t="str">
        <f ca="1">IFERROR((separ(INDEX(Sheet!AC$2:AC$7967,$A122),"-",2)),"")</f>
        <v/>
      </c>
      <c r="CJ122" s="35" t="str">
        <f ca="1">IFERROR((separ(INDEX(Sheet!AD$2:AD$7967,$A122),"-",2)),"")</f>
        <v/>
      </c>
      <c r="CK122" s="35" t="str">
        <f ca="1">IFERROR((separ(INDEX(Sheet!AE$2:AE$7967,$A122),"-",2)),"")</f>
        <v/>
      </c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</row>
    <row r="123" spans="1:104" s="29" customFormat="1">
      <c r="A123" s="45" t="str">
        <f ca="1">IFERROR(MATCH($B$3,OFFSET(Sheet!$D$2,A122,0):'Sheet'!$D$7657,0)+A122,"")</f>
        <v/>
      </c>
      <c r="B123" s="29" t="str">
        <f ca="1">IF(ROW(A116)&lt;=COUNT($A$6:$A$800),INDEX(Sheet!$A$2:$A$7967,$A123),IF(ROW(A116)=COUNT($A$6:$A$800)+1," ",IF(ROW(A116)=COUNT($A$6:$A$800)+2,"  ","")))</f>
        <v/>
      </c>
      <c r="C123" s="67" t="str">
        <f ca="1">IF($A123="","",INDEX(Sheet!E$2:E$7967,$A123))</f>
        <v/>
      </c>
      <c r="D123" s="31" t="str">
        <f ca="1">IF(B120=" ",$AR$1,IF(B123=" ",$AQ$1,IF(A123="","",INDEX(Sheet!G$2:G$7967,$A123))))</f>
        <v/>
      </c>
      <c r="E123" s="32" t="str">
        <f ca="1">IF($A123="","",TEXT(INDEX(Sheet!J$2:J$7967,$A123),"#,#")&amp;" "&amp;INDEX(Sheet!AT$2:AT$7967,$A123))</f>
        <v/>
      </c>
      <c r="F123" s="53" t="str">
        <f ca="1">IF($A123="","",INDEX(Sheet!F$2:F$7967,$A123))</f>
        <v/>
      </c>
      <c r="G123" s="32" t="str">
        <f ca="1">IF($A123="","",INDEX(Sheet!I$2:I$7967,$A123))</f>
        <v/>
      </c>
      <c r="H123" s="32" t="str">
        <f ca="1">IF($A123="","",INDEX(Sheet!L$2:L$7967,$A123))</f>
        <v/>
      </c>
      <c r="I123" s="32" t="str">
        <f ca="1">IF($A123="","",INDEX(Sheet!N$2:N$7967,$A123))</f>
        <v/>
      </c>
      <c r="J123" s="53" t="str">
        <f ca="1">IF($A123="","",INDEX(Sheet!AS$2:AS$7967,$A123))</f>
        <v/>
      </c>
      <c r="K123" s="33" t="str">
        <f ca="1">IF($A123="","",IF(INDEX(Sheet!S$2:S$7967,$A123)="","",INDEX(Sheet!S$2:S$7967,$A123)))</f>
        <v/>
      </c>
      <c r="L123" s="33" t="str">
        <f ca="1">IF($A123="","",IF(INDEX(Sheet!R$2:R$7967,$A123)="","",INDEX(Sheet!R$2:R$7967,$A123)))</f>
        <v/>
      </c>
      <c r="M123" s="33" t="str">
        <f ca="1">IF($A123="","",IF(INDEX(Sheet!AO$2:AO$7967,$A123)="","",INDEX(Sheet!AO$2:AO$7967,$A123)))</f>
        <v/>
      </c>
      <c r="N123" s="33" t="str">
        <f ca="1">IF($A123="","",IF(INDEX(Sheet!T$2:T$7967,$A123)="","",INDEX(Sheet!T$2:T$7967,$A123)))</f>
        <v/>
      </c>
      <c r="O123" s="33" t="str">
        <f ca="1">IF($A123="","",IF(INDEX(Sheet!U$2:U$7967,$A123)="","",INDEX(Sheet!U$2:U$7967,$A123)))</f>
        <v/>
      </c>
      <c r="P123" s="33" t="str">
        <f ca="1">IF($A123="","",IF(INDEX(Sheet!W$2:W$7967,$A123)="","",INDEX(Sheet!W$2:W$7967,$A123)))</f>
        <v/>
      </c>
      <c r="Q123" s="33" t="str">
        <f ca="1">IF($A123="","",IF(INDEX(Sheet!V$2:V$7967,$A123)="","",INDEX(Sheet!V$2:V$7967,$A123)))</f>
        <v/>
      </c>
      <c r="R123" s="33" t="str">
        <f ca="1">IF($A123="","",IF(INDEX(Sheet!Z$2:Z$7967,$A123)="","",INDEX(Sheet!Z$2:Z$7967,$A123)))</f>
        <v/>
      </c>
      <c r="S123" s="33" t="str">
        <f ca="1">IF($A123="","",IF(INDEX(Sheet!Y$2:Y$7967,$A123)="","",INDEX(Sheet!Y$2:Y$7967,$A123)))</f>
        <v/>
      </c>
      <c r="T123" s="33" t="str">
        <f ca="1">IF($A123="","",IF(INDEX(Sheet!X$2:X$7967,$A123)="","",INDEX(Sheet!X$2:X$7967,$A123)))</f>
        <v/>
      </c>
      <c r="U123" s="33" t="str">
        <f ca="1">IF($A123="","",IF(INDEX(Sheet!AA$2:AA$7967,$A123)="","",INDEX(Sheet!AA$2:AA$7967,$A123)))</f>
        <v/>
      </c>
      <c r="V123" s="33" t="str">
        <f ca="1">IF($A123="","",IF(INDEX(Sheet!AB$2:AB$7967,$A123)="","",INDEX(Sheet!AB$2:AB$7967,$A123)))</f>
        <v/>
      </c>
      <c r="W123" s="33" t="str">
        <f ca="1">IF($A123="","",IF(INDEX(Sheet!AH$2:AH$7967,$A123)="","",INDEX(Sheet!AH$2:AH$7967,$A123)))</f>
        <v/>
      </c>
      <c r="X123" s="33" t="str">
        <f ca="1">IF($A123="","",IF(INDEX(Sheet!AC$2:AC$7967,$A123)="","",INDEX(Sheet!AC$2:AC$7967,$A123)))</f>
        <v/>
      </c>
      <c r="Y123" s="33" t="str">
        <f ca="1">IF($A123="","",IF(INDEX(Sheet!AD$2:AD$7967,$A123)="","",INDEX(Sheet!AD$2:AD$7967,$A123)))</f>
        <v/>
      </c>
      <c r="Z123" s="33" t="str">
        <f ca="1">IF($A123="","",IF(INDEX(Sheet!AL$2:AL$7967,$A123)="","",INDEX(Sheet!AL$2:AL$7967,$A123)))</f>
        <v/>
      </c>
      <c r="AA123" s="33" t="str">
        <f ca="1">IF($A123="","",IF(INDEX(Sheet!AE$2:AE$7967,$A123)="","",INDEX(Sheet!AE$2:AE$7967,$A123)))</f>
        <v/>
      </c>
      <c r="AB123" s="33" t="str">
        <f ca="1">IF($A123="","",IF(INDEX(Sheet!AF$2:AF$7967,$A123)="","",INDEX(Sheet!AF$2:AF$7967,$A123)))</f>
        <v/>
      </c>
      <c r="AC123" s="33" t="str">
        <f ca="1">IF($A123="","",IF(INDEX(Sheet!AG$2:AG$7967,$A123)="","",INDEX(Sheet!AG$2:AG$7967,$A123)))</f>
        <v/>
      </c>
      <c r="AD123" s="33" t="str">
        <f ca="1">IF($A123="","",IF(INDEX(Sheet!AM$2:AM$7967,$A123)="","",INDEX(Sheet!AM$2:AM$7967,$A123)))</f>
        <v/>
      </c>
      <c r="AE123" s="33" t="str">
        <f ca="1">IF($A123="","",IF(INDEX(Sheet!AJ$2:AJ$7967,$A123)="","",INDEX(Sheet!AJ$2:AJ$7967,$A123)))</f>
        <v/>
      </c>
      <c r="AF123" s="33" t="str">
        <f ca="1">IF($A123="","",IF(INDEX(Sheet!AI$2:AI$7967,$A123)="","",INDEX(Sheet!AI$2:AI$7967,$A123)))</f>
        <v/>
      </c>
      <c r="AG123" s="33" t="str">
        <f ca="1">IF(D123="duyệt sản xuất"," Bảo Bảo, Ngày "&amp;DAY($J$4)&amp;" Tháng "&amp;MONTH($J$4)&amp;" Năm "&amp;YEAR($J$4),IF(D123="Phê duyệt","NGƯỜI LẬP",IF(D123="Nguyễn Ngọc Thắng","NGUYỄN THỊ MAI",IF($A123="","",INDEX(Sheet!AK$2:AK$7967,$A123)))))</f>
        <v/>
      </c>
      <c r="AH123" s="58" t="str">
        <f ca="1">IF($A123="","",INDEX(Sheet!AR$2:AR$7967,$A123)&amp;" ; "&amp;INDEX(Sheet!M$2:M$7967,$A123))</f>
        <v/>
      </c>
      <c r="AI123" s="1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G123" s="35" t="str">
        <f ca="1">IFERROR(VALUE(separ(INDEX(Sheet!Q$2:Q$7967,$A123),"-",1)),"")</f>
        <v/>
      </c>
      <c r="BH123" s="35" t="str">
        <f ca="1">IFERROR(VALUE(separ(INDEX(Sheet!R$2:R$7967,$A123),"-",1)),"")</f>
        <v/>
      </c>
      <c r="BI123" s="35" t="str">
        <f ca="1">IFERROR(VALUE(separ(INDEX(Sheet!S$2:S$7967,$A123),"-",1)),"")</f>
        <v/>
      </c>
      <c r="BJ123" s="35" t="str">
        <f ca="1">IFERROR(VALUE(separ(INDEX(Sheet!T$2:T$7967,$A123),"-",1)),"")</f>
        <v/>
      </c>
      <c r="BK123" s="35" t="str">
        <f ca="1">IFERROR(VALUE(separ(INDEX(Sheet!U$2:U$7967,$A123),"-",1)),"")</f>
        <v/>
      </c>
      <c r="BL123" s="35" t="str">
        <f ca="1">IFERROR(VALUE(separ(INDEX(Sheet!V$2:V$7967,$A123),"-",1)),"")</f>
        <v/>
      </c>
      <c r="BM123" s="35" t="str">
        <f ca="1">IFERROR(VALUE(separ(INDEX(Sheet!W$2:W$7967,$A123),"-",1)),"")</f>
        <v/>
      </c>
      <c r="BN123" s="35" t="str">
        <f ca="1">IFERROR(VALUE(separ(INDEX(Sheet!X$2:X$7967,$A123),"-",1)),"")</f>
        <v/>
      </c>
      <c r="BO123" s="35" t="str">
        <f ca="1">IFERROR(VALUE(separ(INDEX(Sheet!Y$2:Y$7967,$A123),"-",1)),"")</f>
        <v/>
      </c>
      <c r="BP123" s="35" t="str">
        <f ca="1">IFERROR(VALUE(separ(INDEX(Sheet!Z$2:Z$7967,$A123),"-",1)),"")</f>
        <v/>
      </c>
      <c r="BQ123" s="35" t="str">
        <f ca="1">IFERROR(VALUE(separ(INDEX(Sheet!AA$2:AA$7967,$A123),"-",1)),"")</f>
        <v/>
      </c>
      <c r="BR123" s="35" t="str">
        <f ca="1">IFERROR(VALUE(separ(INDEX(Sheet!AB$2:AB$7967,$A123),"-",1)),"")</f>
        <v/>
      </c>
      <c r="BS123" s="35" t="str">
        <f ca="1">IFERROR(VALUE(separ(INDEX(Sheet!AC$2:AC$7967,$A123),"-",1)),"")</f>
        <v/>
      </c>
      <c r="BT123" s="35" t="str">
        <f ca="1">IFERROR(VALUE(separ(INDEX(Sheet!AD$2:AD$7967,$A123),"-",1)),"")</f>
        <v/>
      </c>
      <c r="BU123" s="35" t="str">
        <f ca="1">IFERROR(VALUE(separ(INDEX(Sheet!AE$2:AE$7967,$A123),"-",1)),"")</f>
        <v/>
      </c>
      <c r="BV123" s="35"/>
      <c r="BW123" s="35" t="str">
        <f ca="1">IFERROR((separ(INDEX(Sheet!Q$2:Q$7967,$A123),"-",2)),"")</f>
        <v/>
      </c>
      <c r="BX123" s="35" t="str">
        <f ca="1">IFERROR((separ(INDEX(Sheet!R$2:R$7967,$A123),"-",2)),"")</f>
        <v/>
      </c>
      <c r="BY123" s="35" t="str">
        <f ca="1">IFERROR((separ(INDEX(Sheet!S$2:S$7967,$A123),"-",2)),"")</f>
        <v/>
      </c>
      <c r="BZ123" s="35" t="str">
        <f ca="1">IFERROR((separ(INDEX(Sheet!T$2:T$7967,$A123),"-",2)),"")</f>
        <v/>
      </c>
      <c r="CA123" s="35" t="str">
        <f ca="1">IFERROR((separ(INDEX(Sheet!U$2:U$7967,$A123),"-",2)),"")</f>
        <v/>
      </c>
      <c r="CB123" s="35" t="str">
        <f ca="1">IFERROR((separ(INDEX(Sheet!V$2:V$7967,$A123),"-",2)),"")</f>
        <v/>
      </c>
      <c r="CC123" s="35" t="str">
        <f ca="1">IFERROR((separ(INDEX(Sheet!W$2:W$7967,$A123),"-",2)),"")</f>
        <v/>
      </c>
      <c r="CD123" s="35" t="str">
        <f ca="1">IFERROR((separ(INDEX(Sheet!X$2:X$7967,$A123),"-",2)),"")</f>
        <v/>
      </c>
      <c r="CE123" s="35" t="str">
        <f ca="1">IFERROR((separ(INDEX(Sheet!Y$2:Y$7967,$A123),"-",2)),"")</f>
        <v/>
      </c>
      <c r="CF123" s="35" t="str">
        <f ca="1">IFERROR((separ(INDEX(Sheet!Z$2:Z$7967,$A123),"-",2)),"")</f>
        <v/>
      </c>
      <c r="CG123" s="35" t="str">
        <f ca="1">IFERROR((separ(INDEX(Sheet!AA$2:AA$7967,$A123),"-",2)),"")</f>
        <v/>
      </c>
      <c r="CH123" s="35" t="str">
        <f ca="1">IFERROR((separ(INDEX(Sheet!AB$2:AB$7967,$A123),"-",2)),"")</f>
        <v/>
      </c>
      <c r="CI123" s="35" t="str">
        <f ca="1">IFERROR((separ(INDEX(Sheet!AC$2:AC$7967,$A123),"-",2)),"")</f>
        <v/>
      </c>
      <c r="CJ123" s="35" t="str">
        <f ca="1">IFERROR((separ(INDEX(Sheet!AD$2:AD$7967,$A123),"-",2)),"")</f>
        <v/>
      </c>
      <c r="CK123" s="35" t="str">
        <f ca="1">IFERROR((separ(INDEX(Sheet!AE$2:AE$7967,$A123),"-",2)),"")</f>
        <v/>
      </c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</row>
    <row r="124" spans="1:104" s="29" customFormat="1">
      <c r="A124" s="45" t="str">
        <f ca="1">IFERROR(MATCH($B$3,OFFSET(Sheet!$D$2,A123,0):'Sheet'!$D$7657,0)+A123,"")</f>
        <v/>
      </c>
      <c r="B124" s="29" t="str">
        <f ca="1">IF(ROW(A117)&lt;=COUNT($A$6:$A$800),INDEX(Sheet!$A$2:$A$7967,$A124),IF(ROW(A117)=COUNT($A$6:$A$800)+1," ",IF(ROW(A117)=COUNT($A$6:$A$800)+2,"  ","")))</f>
        <v/>
      </c>
      <c r="C124" s="67" t="str">
        <f ca="1">IF($A124="","",INDEX(Sheet!E$2:E$7967,$A124))</f>
        <v/>
      </c>
      <c r="D124" s="31" t="str">
        <f ca="1">IF(B121=" ",$AR$1,IF(B124=" ",$AQ$1,IF(A124="","",INDEX(Sheet!G$2:G$7967,$A124))))</f>
        <v/>
      </c>
      <c r="E124" s="32" t="str">
        <f ca="1">IF($A124="","",TEXT(INDEX(Sheet!J$2:J$7967,$A124),"#,#")&amp;" "&amp;INDEX(Sheet!AT$2:AT$7967,$A124))</f>
        <v/>
      </c>
      <c r="F124" s="53" t="str">
        <f ca="1">IF($A124="","",INDEX(Sheet!F$2:F$7967,$A124))</f>
        <v/>
      </c>
      <c r="G124" s="32" t="str">
        <f ca="1">IF($A124="","",INDEX(Sheet!I$2:I$7967,$A124))</f>
        <v/>
      </c>
      <c r="H124" s="32" t="str">
        <f ca="1">IF($A124="","",INDEX(Sheet!L$2:L$7967,$A124))</f>
        <v/>
      </c>
      <c r="I124" s="32" t="str">
        <f ca="1">IF($A124="","",INDEX(Sheet!N$2:N$7967,$A124))</f>
        <v/>
      </c>
      <c r="J124" s="53" t="str">
        <f ca="1">IF($A124="","",INDEX(Sheet!AS$2:AS$7967,$A124))</f>
        <v/>
      </c>
      <c r="K124" s="33" t="str">
        <f ca="1">IF($A124="","",IF(INDEX(Sheet!S$2:S$7967,$A124)="","",INDEX(Sheet!S$2:S$7967,$A124)))</f>
        <v/>
      </c>
      <c r="L124" s="33" t="str">
        <f ca="1">IF($A124="","",IF(INDEX(Sheet!R$2:R$7967,$A124)="","",INDEX(Sheet!R$2:R$7967,$A124)))</f>
        <v/>
      </c>
      <c r="M124" s="33" t="str">
        <f ca="1">IF($A124="","",IF(INDEX(Sheet!AO$2:AO$7967,$A124)="","",INDEX(Sheet!AO$2:AO$7967,$A124)))</f>
        <v/>
      </c>
      <c r="N124" s="33" t="str">
        <f ca="1">IF($A124="","",IF(INDEX(Sheet!T$2:T$7967,$A124)="","",INDEX(Sheet!T$2:T$7967,$A124)))</f>
        <v/>
      </c>
      <c r="O124" s="33" t="str">
        <f ca="1">IF($A124="","",IF(INDEX(Sheet!U$2:U$7967,$A124)="","",INDEX(Sheet!U$2:U$7967,$A124)))</f>
        <v/>
      </c>
      <c r="P124" s="33" t="str">
        <f ca="1">IF($A124="","",IF(INDEX(Sheet!W$2:W$7967,$A124)="","",INDEX(Sheet!W$2:W$7967,$A124)))</f>
        <v/>
      </c>
      <c r="Q124" s="33" t="str">
        <f ca="1">IF($A124="","",IF(INDEX(Sheet!V$2:V$7967,$A124)="","",INDEX(Sheet!V$2:V$7967,$A124)))</f>
        <v/>
      </c>
      <c r="R124" s="33" t="str">
        <f ca="1">IF($A124="","",IF(INDEX(Sheet!Z$2:Z$7967,$A124)="","",INDEX(Sheet!Z$2:Z$7967,$A124)))</f>
        <v/>
      </c>
      <c r="S124" s="33" t="str">
        <f ca="1">IF($A124="","",IF(INDEX(Sheet!Y$2:Y$7967,$A124)="","",INDEX(Sheet!Y$2:Y$7967,$A124)))</f>
        <v/>
      </c>
      <c r="T124" s="33" t="str">
        <f ca="1">IF($A124="","",IF(INDEX(Sheet!X$2:X$7967,$A124)="","",INDEX(Sheet!X$2:X$7967,$A124)))</f>
        <v/>
      </c>
      <c r="U124" s="33" t="str">
        <f ca="1">IF($A124="","",IF(INDEX(Sheet!AA$2:AA$7967,$A124)="","",INDEX(Sheet!AA$2:AA$7967,$A124)))</f>
        <v/>
      </c>
      <c r="V124" s="33" t="str">
        <f ca="1">IF($A124="","",IF(INDEX(Sheet!AB$2:AB$7967,$A124)="","",INDEX(Sheet!AB$2:AB$7967,$A124)))</f>
        <v/>
      </c>
      <c r="W124" s="33" t="str">
        <f ca="1">IF($A124="","",IF(INDEX(Sheet!AH$2:AH$7967,$A124)="","",INDEX(Sheet!AH$2:AH$7967,$A124)))</f>
        <v/>
      </c>
      <c r="X124" s="33" t="str">
        <f ca="1">IF($A124="","",IF(INDEX(Sheet!AC$2:AC$7967,$A124)="","",INDEX(Sheet!AC$2:AC$7967,$A124)))</f>
        <v/>
      </c>
      <c r="Y124" s="33" t="str">
        <f ca="1">IF($A124="","",IF(INDEX(Sheet!AD$2:AD$7967,$A124)="","",INDEX(Sheet!AD$2:AD$7967,$A124)))</f>
        <v/>
      </c>
      <c r="Z124" s="33" t="str">
        <f ca="1">IF($A124="","",IF(INDEX(Sheet!AL$2:AL$7967,$A124)="","",INDEX(Sheet!AL$2:AL$7967,$A124)))</f>
        <v/>
      </c>
      <c r="AA124" s="33" t="str">
        <f ca="1">IF($A124="","",IF(INDEX(Sheet!AE$2:AE$7967,$A124)="","",INDEX(Sheet!AE$2:AE$7967,$A124)))</f>
        <v/>
      </c>
      <c r="AB124" s="33" t="str">
        <f ca="1">IF($A124="","",IF(INDEX(Sheet!AF$2:AF$7967,$A124)="","",INDEX(Sheet!AF$2:AF$7967,$A124)))</f>
        <v/>
      </c>
      <c r="AC124" s="33" t="str">
        <f ca="1">IF($A124="","",IF(INDEX(Sheet!AG$2:AG$7967,$A124)="","",INDEX(Sheet!AG$2:AG$7967,$A124)))</f>
        <v/>
      </c>
      <c r="AD124" s="33" t="str">
        <f ca="1">IF($A124="","",IF(INDEX(Sheet!AM$2:AM$7967,$A124)="","",INDEX(Sheet!AM$2:AM$7967,$A124)))</f>
        <v/>
      </c>
      <c r="AE124" s="33" t="str">
        <f ca="1">IF($A124="","",IF(INDEX(Sheet!AJ$2:AJ$7967,$A124)="","",INDEX(Sheet!AJ$2:AJ$7967,$A124)))</f>
        <v/>
      </c>
      <c r="AF124" s="33" t="str">
        <f ca="1">IF($A124="","",IF(INDEX(Sheet!AI$2:AI$7967,$A124)="","",INDEX(Sheet!AI$2:AI$7967,$A124)))</f>
        <v/>
      </c>
      <c r="AG124" s="33" t="str">
        <f ca="1">IF(D124="duyệt sản xuất"," Bảo Bảo, Ngày "&amp;DAY($J$4)&amp;" Tháng "&amp;MONTH($J$4)&amp;" Năm "&amp;YEAR($J$4),IF(D124="Phê duyệt","NGƯỜI LẬP",IF(D124="Nguyễn Ngọc Thắng","NGUYỄN THỊ MAI",IF($A124="","",INDEX(Sheet!AK$2:AK$7967,$A124)))))</f>
        <v/>
      </c>
      <c r="AH124" s="58" t="str">
        <f ca="1">IF($A124="","",INDEX(Sheet!AR$2:AR$7967,$A124)&amp;" ; "&amp;INDEX(Sheet!M$2:M$7967,$A124))</f>
        <v/>
      </c>
      <c r="AI124" s="1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G124" s="35" t="str">
        <f ca="1">IFERROR(VALUE(separ(INDEX(Sheet!Q$2:Q$7967,$A124),"-",1)),"")</f>
        <v/>
      </c>
      <c r="BH124" s="35" t="str">
        <f ca="1">IFERROR(VALUE(separ(INDEX(Sheet!R$2:R$7967,$A124),"-",1)),"")</f>
        <v/>
      </c>
      <c r="BI124" s="35" t="str">
        <f ca="1">IFERROR(VALUE(separ(INDEX(Sheet!S$2:S$7967,$A124),"-",1)),"")</f>
        <v/>
      </c>
      <c r="BJ124" s="35" t="str">
        <f ca="1">IFERROR(VALUE(separ(INDEX(Sheet!T$2:T$7967,$A124),"-",1)),"")</f>
        <v/>
      </c>
      <c r="BK124" s="35" t="str">
        <f ca="1">IFERROR(VALUE(separ(INDEX(Sheet!U$2:U$7967,$A124),"-",1)),"")</f>
        <v/>
      </c>
      <c r="BL124" s="35" t="str">
        <f ca="1">IFERROR(VALUE(separ(INDEX(Sheet!V$2:V$7967,$A124),"-",1)),"")</f>
        <v/>
      </c>
      <c r="BM124" s="35" t="str">
        <f ca="1">IFERROR(VALUE(separ(INDEX(Sheet!W$2:W$7967,$A124),"-",1)),"")</f>
        <v/>
      </c>
      <c r="BN124" s="35" t="str">
        <f ca="1">IFERROR(VALUE(separ(INDEX(Sheet!X$2:X$7967,$A124),"-",1)),"")</f>
        <v/>
      </c>
      <c r="BO124" s="35" t="str">
        <f ca="1">IFERROR(VALUE(separ(INDEX(Sheet!Y$2:Y$7967,$A124),"-",1)),"")</f>
        <v/>
      </c>
      <c r="BP124" s="35" t="str">
        <f ca="1">IFERROR(VALUE(separ(INDEX(Sheet!Z$2:Z$7967,$A124),"-",1)),"")</f>
        <v/>
      </c>
      <c r="BQ124" s="35" t="str">
        <f ca="1">IFERROR(VALUE(separ(INDEX(Sheet!AA$2:AA$7967,$A124),"-",1)),"")</f>
        <v/>
      </c>
      <c r="BR124" s="35" t="str">
        <f ca="1">IFERROR(VALUE(separ(INDEX(Sheet!AB$2:AB$7967,$A124),"-",1)),"")</f>
        <v/>
      </c>
      <c r="BS124" s="35" t="str">
        <f ca="1">IFERROR(VALUE(separ(INDEX(Sheet!AC$2:AC$7967,$A124),"-",1)),"")</f>
        <v/>
      </c>
      <c r="BT124" s="35" t="str">
        <f ca="1">IFERROR(VALUE(separ(INDEX(Sheet!AD$2:AD$7967,$A124),"-",1)),"")</f>
        <v/>
      </c>
      <c r="BU124" s="35" t="str">
        <f ca="1">IFERROR(VALUE(separ(INDEX(Sheet!AE$2:AE$7967,$A124),"-",1)),"")</f>
        <v/>
      </c>
      <c r="BV124" s="35"/>
      <c r="BW124" s="35" t="str">
        <f ca="1">IFERROR((separ(INDEX(Sheet!Q$2:Q$7967,$A124),"-",2)),"")</f>
        <v/>
      </c>
      <c r="BX124" s="35" t="str">
        <f ca="1">IFERROR((separ(INDEX(Sheet!R$2:R$7967,$A124),"-",2)),"")</f>
        <v/>
      </c>
      <c r="BY124" s="35" t="str">
        <f ca="1">IFERROR((separ(INDEX(Sheet!S$2:S$7967,$A124),"-",2)),"")</f>
        <v/>
      </c>
      <c r="BZ124" s="35" t="str">
        <f ca="1">IFERROR((separ(INDEX(Sheet!T$2:T$7967,$A124),"-",2)),"")</f>
        <v/>
      </c>
      <c r="CA124" s="35" t="str">
        <f ca="1">IFERROR((separ(INDEX(Sheet!U$2:U$7967,$A124),"-",2)),"")</f>
        <v/>
      </c>
      <c r="CB124" s="35" t="str">
        <f ca="1">IFERROR((separ(INDEX(Sheet!V$2:V$7967,$A124),"-",2)),"")</f>
        <v/>
      </c>
      <c r="CC124" s="35" t="str">
        <f ca="1">IFERROR((separ(INDEX(Sheet!W$2:W$7967,$A124),"-",2)),"")</f>
        <v/>
      </c>
      <c r="CD124" s="35" t="str">
        <f ca="1">IFERROR((separ(INDEX(Sheet!X$2:X$7967,$A124),"-",2)),"")</f>
        <v/>
      </c>
      <c r="CE124" s="35" t="str">
        <f ca="1">IFERROR((separ(INDEX(Sheet!Y$2:Y$7967,$A124),"-",2)),"")</f>
        <v/>
      </c>
      <c r="CF124" s="35" t="str">
        <f ca="1">IFERROR((separ(INDEX(Sheet!Z$2:Z$7967,$A124),"-",2)),"")</f>
        <v/>
      </c>
      <c r="CG124" s="35" t="str">
        <f ca="1">IFERROR((separ(INDEX(Sheet!AA$2:AA$7967,$A124),"-",2)),"")</f>
        <v/>
      </c>
      <c r="CH124" s="35" t="str">
        <f ca="1">IFERROR((separ(INDEX(Sheet!AB$2:AB$7967,$A124),"-",2)),"")</f>
        <v/>
      </c>
      <c r="CI124" s="35" t="str">
        <f ca="1">IFERROR((separ(INDEX(Sheet!AC$2:AC$7967,$A124),"-",2)),"")</f>
        <v/>
      </c>
      <c r="CJ124" s="35" t="str">
        <f ca="1">IFERROR((separ(INDEX(Sheet!AD$2:AD$7967,$A124),"-",2)),"")</f>
        <v/>
      </c>
      <c r="CK124" s="35" t="str">
        <f ca="1">IFERROR((separ(INDEX(Sheet!AE$2:AE$7967,$A124),"-",2)),"")</f>
        <v/>
      </c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</row>
    <row r="125" spans="1:104" s="29" customFormat="1">
      <c r="A125" s="45" t="str">
        <f ca="1">IFERROR(MATCH($B$3,OFFSET(Sheet!$D$2,A124,0):'Sheet'!$D$7657,0)+A124,"")</f>
        <v/>
      </c>
      <c r="B125" s="29" t="str">
        <f ca="1">IF(ROW(A118)&lt;=COUNT($A$6:$A$800),INDEX(Sheet!$A$2:$A$7967,$A125),IF(ROW(A118)=COUNT($A$6:$A$800)+1," ",IF(ROW(A118)=COUNT($A$6:$A$800)+2,"  ","")))</f>
        <v/>
      </c>
      <c r="C125" s="67" t="str">
        <f ca="1">IF($A125="","",INDEX(Sheet!E$2:E$7967,$A125))</f>
        <v/>
      </c>
      <c r="D125" s="31" t="str">
        <f ca="1">IF(B122=" ",$AR$1,IF(B125=" ",$AQ$1,IF(A125="","",INDEX(Sheet!G$2:G$7967,$A125))))</f>
        <v/>
      </c>
      <c r="E125" s="32" t="str">
        <f ca="1">IF($A125="","",TEXT(INDEX(Sheet!J$2:J$7967,$A125),"#,#")&amp;" "&amp;INDEX(Sheet!AT$2:AT$7967,$A125))</f>
        <v/>
      </c>
      <c r="F125" s="53" t="str">
        <f ca="1">IF($A125="","",INDEX(Sheet!F$2:F$7967,$A125))</f>
        <v/>
      </c>
      <c r="G125" s="32" t="str">
        <f ca="1">IF($A125="","",INDEX(Sheet!I$2:I$7967,$A125))</f>
        <v/>
      </c>
      <c r="H125" s="32" t="str">
        <f ca="1">IF($A125="","",INDEX(Sheet!L$2:L$7967,$A125))</f>
        <v/>
      </c>
      <c r="I125" s="32" t="str">
        <f ca="1">IF($A125="","",INDEX(Sheet!N$2:N$7967,$A125))</f>
        <v/>
      </c>
      <c r="J125" s="53" t="str">
        <f ca="1">IF($A125="","",INDEX(Sheet!AS$2:AS$7967,$A125))</f>
        <v/>
      </c>
      <c r="K125" s="33" t="str">
        <f ca="1">IF($A125="","",IF(INDEX(Sheet!S$2:S$7967,$A125)="","",INDEX(Sheet!S$2:S$7967,$A125)))</f>
        <v/>
      </c>
      <c r="L125" s="33" t="str">
        <f ca="1">IF($A125="","",IF(INDEX(Sheet!R$2:R$7967,$A125)="","",INDEX(Sheet!R$2:R$7967,$A125)))</f>
        <v/>
      </c>
      <c r="M125" s="33" t="str">
        <f ca="1">IF($A125="","",IF(INDEX(Sheet!AO$2:AO$7967,$A125)="","",INDEX(Sheet!AO$2:AO$7967,$A125)))</f>
        <v/>
      </c>
      <c r="N125" s="33" t="str">
        <f ca="1">IF($A125="","",IF(INDEX(Sheet!T$2:T$7967,$A125)="","",INDEX(Sheet!T$2:T$7967,$A125)))</f>
        <v/>
      </c>
      <c r="O125" s="33" t="str">
        <f ca="1">IF($A125="","",IF(INDEX(Sheet!U$2:U$7967,$A125)="","",INDEX(Sheet!U$2:U$7967,$A125)))</f>
        <v/>
      </c>
      <c r="P125" s="33" t="str">
        <f ca="1">IF($A125="","",IF(INDEX(Sheet!W$2:W$7967,$A125)="","",INDEX(Sheet!W$2:W$7967,$A125)))</f>
        <v/>
      </c>
      <c r="Q125" s="33" t="str">
        <f ca="1">IF($A125="","",IF(INDEX(Sheet!V$2:V$7967,$A125)="","",INDEX(Sheet!V$2:V$7967,$A125)))</f>
        <v/>
      </c>
      <c r="R125" s="33" t="str">
        <f ca="1">IF($A125="","",IF(INDEX(Sheet!Z$2:Z$7967,$A125)="","",INDEX(Sheet!Z$2:Z$7967,$A125)))</f>
        <v/>
      </c>
      <c r="S125" s="33" t="str">
        <f ca="1">IF($A125="","",IF(INDEX(Sheet!Y$2:Y$7967,$A125)="","",INDEX(Sheet!Y$2:Y$7967,$A125)))</f>
        <v/>
      </c>
      <c r="T125" s="33" t="str">
        <f ca="1">IF($A125="","",IF(INDEX(Sheet!X$2:X$7967,$A125)="","",INDEX(Sheet!X$2:X$7967,$A125)))</f>
        <v/>
      </c>
      <c r="U125" s="33" t="str">
        <f ca="1">IF($A125="","",IF(INDEX(Sheet!AA$2:AA$7967,$A125)="","",INDEX(Sheet!AA$2:AA$7967,$A125)))</f>
        <v/>
      </c>
      <c r="V125" s="33" t="str">
        <f ca="1">IF($A125="","",IF(INDEX(Sheet!AB$2:AB$7967,$A125)="","",INDEX(Sheet!AB$2:AB$7967,$A125)))</f>
        <v/>
      </c>
      <c r="W125" s="33" t="str">
        <f ca="1">IF($A125="","",IF(INDEX(Sheet!AH$2:AH$7967,$A125)="","",INDEX(Sheet!AH$2:AH$7967,$A125)))</f>
        <v/>
      </c>
      <c r="X125" s="33" t="str">
        <f ca="1">IF($A125="","",IF(INDEX(Sheet!AC$2:AC$7967,$A125)="","",INDEX(Sheet!AC$2:AC$7967,$A125)))</f>
        <v/>
      </c>
      <c r="Y125" s="33" t="str">
        <f ca="1">IF($A125="","",IF(INDEX(Sheet!AD$2:AD$7967,$A125)="","",INDEX(Sheet!AD$2:AD$7967,$A125)))</f>
        <v/>
      </c>
      <c r="Z125" s="33" t="str">
        <f ca="1">IF($A125="","",IF(INDEX(Sheet!AL$2:AL$7967,$A125)="","",INDEX(Sheet!AL$2:AL$7967,$A125)))</f>
        <v/>
      </c>
      <c r="AA125" s="33" t="str">
        <f ca="1">IF($A125="","",IF(INDEX(Sheet!AE$2:AE$7967,$A125)="","",INDEX(Sheet!AE$2:AE$7967,$A125)))</f>
        <v/>
      </c>
      <c r="AB125" s="33" t="str">
        <f ca="1">IF($A125="","",IF(INDEX(Sheet!AF$2:AF$7967,$A125)="","",INDEX(Sheet!AF$2:AF$7967,$A125)))</f>
        <v/>
      </c>
      <c r="AC125" s="33" t="str">
        <f ca="1">IF($A125="","",IF(INDEX(Sheet!AG$2:AG$7967,$A125)="","",INDEX(Sheet!AG$2:AG$7967,$A125)))</f>
        <v/>
      </c>
      <c r="AD125" s="33" t="str">
        <f ca="1">IF($A125="","",IF(INDEX(Sheet!AM$2:AM$7967,$A125)="","",INDEX(Sheet!AM$2:AM$7967,$A125)))</f>
        <v/>
      </c>
      <c r="AE125" s="33" t="str">
        <f ca="1">IF($A125="","",IF(INDEX(Sheet!AJ$2:AJ$7967,$A125)="","",INDEX(Sheet!AJ$2:AJ$7967,$A125)))</f>
        <v/>
      </c>
      <c r="AF125" s="33" t="str">
        <f ca="1">IF($A125="","",IF(INDEX(Sheet!AI$2:AI$7967,$A125)="","",INDEX(Sheet!AI$2:AI$7967,$A125)))</f>
        <v/>
      </c>
      <c r="AG125" s="33" t="str">
        <f ca="1">IF(D125="duyệt sản xuất"," Bảo Bảo, Ngày "&amp;DAY($J$4)&amp;" Tháng "&amp;MONTH($J$4)&amp;" Năm "&amp;YEAR($J$4),IF(D125="Phê duyệt","NGƯỜI LẬP",IF(D125="Nguyễn Ngọc Thắng","NGUYỄN THỊ MAI",IF($A125="","",INDEX(Sheet!AK$2:AK$7967,$A125)))))</f>
        <v/>
      </c>
      <c r="AH125" s="58" t="str">
        <f ca="1">IF($A125="","",INDEX(Sheet!AR$2:AR$7967,$A125)&amp;" ; "&amp;INDEX(Sheet!M$2:M$7967,$A125))</f>
        <v/>
      </c>
      <c r="AI125" s="1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G125" s="35" t="str">
        <f ca="1">IFERROR(VALUE(separ(INDEX(Sheet!Q$2:Q$7967,$A125),"-",1)),"")</f>
        <v/>
      </c>
      <c r="BH125" s="35" t="str">
        <f ca="1">IFERROR(VALUE(separ(INDEX(Sheet!R$2:R$7967,$A125),"-",1)),"")</f>
        <v/>
      </c>
      <c r="BI125" s="35" t="str">
        <f ca="1">IFERROR(VALUE(separ(INDEX(Sheet!S$2:S$7967,$A125),"-",1)),"")</f>
        <v/>
      </c>
      <c r="BJ125" s="35" t="str">
        <f ca="1">IFERROR(VALUE(separ(INDEX(Sheet!T$2:T$7967,$A125),"-",1)),"")</f>
        <v/>
      </c>
      <c r="BK125" s="35" t="str">
        <f ca="1">IFERROR(VALUE(separ(INDEX(Sheet!U$2:U$7967,$A125),"-",1)),"")</f>
        <v/>
      </c>
      <c r="BL125" s="35" t="str">
        <f ca="1">IFERROR(VALUE(separ(INDEX(Sheet!V$2:V$7967,$A125),"-",1)),"")</f>
        <v/>
      </c>
      <c r="BM125" s="35" t="str">
        <f ca="1">IFERROR(VALUE(separ(INDEX(Sheet!W$2:W$7967,$A125),"-",1)),"")</f>
        <v/>
      </c>
      <c r="BN125" s="35" t="str">
        <f ca="1">IFERROR(VALUE(separ(INDEX(Sheet!X$2:X$7967,$A125),"-",1)),"")</f>
        <v/>
      </c>
      <c r="BO125" s="35" t="str">
        <f ca="1">IFERROR(VALUE(separ(INDEX(Sheet!Y$2:Y$7967,$A125),"-",1)),"")</f>
        <v/>
      </c>
      <c r="BP125" s="35" t="str">
        <f ca="1">IFERROR(VALUE(separ(INDEX(Sheet!Z$2:Z$7967,$A125),"-",1)),"")</f>
        <v/>
      </c>
      <c r="BQ125" s="35" t="str">
        <f ca="1">IFERROR(VALUE(separ(INDEX(Sheet!AA$2:AA$7967,$A125),"-",1)),"")</f>
        <v/>
      </c>
      <c r="BR125" s="35" t="str">
        <f ca="1">IFERROR(VALUE(separ(INDEX(Sheet!AB$2:AB$7967,$A125),"-",1)),"")</f>
        <v/>
      </c>
      <c r="BS125" s="35" t="str">
        <f ca="1">IFERROR(VALUE(separ(INDEX(Sheet!AC$2:AC$7967,$A125),"-",1)),"")</f>
        <v/>
      </c>
      <c r="BT125" s="35" t="str">
        <f ca="1">IFERROR(VALUE(separ(INDEX(Sheet!AD$2:AD$7967,$A125),"-",1)),"")</f>
        <v/>
      </c>
      <c r="BU125" s="35" t="str">
        <f ca="1">IFERROR(VALUE(separ(INDEX(Sheet!AE$2:AE$7967,$A125),"-",1)),"")</f>
        <v/>
      </c>
      <c r="BV125" s="35"/>
      <c r="BW125" s="35" t="str">
        <f ca="1">IFERROR((separ(INDEX(Sheet!Q$2:Q$7967,$A125),"-",2)),"")</f>
        <v/>
      </c>
      <c r="BX125" s="35" t="str">
        <f ca="1">IFERROR((separ(INDEX(Sheet!R$2:R$7967,$A125),"-",2)),"")</f>
        <v/>
      </c>
      <c r="BY125" s="35" t="str">
        <f ca="1">IFERROR((separ(INDEX(Sheet!S$2:S$7967,$A125),"-",2)),"")</f>
        <v/>
      </c>
      <c r="BZ125" s="35" t="str">
        <f ca="1">IFERROR((separ(INDEX(Sheet!T$2:T$7967,$A125),"-",2)),"")</f>
        <v/>
      </c>
      <c r="CA125" s="35" t="str">
        <f ca="1">IFERROR((separ(INDEX(Sheet!U$2:U$7967,$A125),"-",2)),"")</f>
        <v/>
      </c>
      <c r="CB125" s="35" t="str">
        <f ca="1">IFERROR((separ(INDEX(Sheet!V$2:V$7967,$A125),"-",2)),"")</f>
        <v/>
      </c>
      <c r="CC125" s="35" t="str">
        <f ca="1">IFERROR((separ(INDEX(Sheet!W$2:W$7967,$A125),"-",2)),"")</f>
        <v/>
      </c>
      <c r="CD125" s="35" t="str">
        <f ca="1">IFERROR((separ(INDEX(Sheet!X$2:X$7967,$A125),"-",2)),"")</f>
        <v/>
      </c>
      <c r="CE125" s="35" t="str">
        <f ca="1">IFERROR((separ(INDEX(Sheet!Y$2:Y$7967,$A125),"-",2)),"")</f>
        <v/>
      </c>
      <c r="CF125" s="35" t="str">
        <f ca="1">IFERROR((separ(INDEX(Sheet!Z$2:Z$7967,$A125),"-",2)),"")</f>
        <v/>
      </c>
      <c r="CG125" s="35" t="str">
        <f ca="1">IFERROR((separ(INDEX(Sheet!AA$2:AA$7967,$A125),"-",2)),"")</f>
        <v/>
      </c>
      <c r="CH125" s="35" t="str">
        <f ca="1">IFERROR((separ(INDEX(Sheet!AB$2:AB$7967,$A125),"-",2)),"")</f>
        <v/>
      </c>
      <c r="CI125" s="35" t="str">
        <f ca="1">IFERROR((separ(INDEX(Sheet!AC$2:AC$7967,$A125),"-",2)),"")</f>
        <v/>
      </c>
      <c r="CJ125" s="35" t="str">
        <f ca="1">IFERROR((separ(INDEX(Sheet!AD$2:AD$7967,$A125),"-",2)),"")</f>
        <v/>
      </c>
      <c r="CK125" s="35" t="str">
        <f ca="1">IFERROR((separ(INDEX(Sheet!AE$2:AE$7967,$A125),"-",2)),"")</f>
        <v/>
      </c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</row>
    <row r="126" spans="1:104" s="29" customFormat="1">
      <c r="A126" s="45" t="str">
        <f ca="1">IFERROR(MATCH($B$3,OFFSET(Sheet!$D$2,A125,0):'Sheet'!$D$7657,0)+A125,"")</f>
        <v/>
      </c>
      <c r="B126" s="29" t="str">
        <f ca="1">IF(ROW(A119)&lt;=COUNT($A$6:$A$800),INDEX(Sheet!$A$2:$A$7967,$A126),IF(ROW(A119)=COUNT($A$6:$A$800)+1," ",IF(ROW(A119)=COUNT($A$6:$A$800)+2,"  ","")))</f>
        <v/>
      </c>
      <c r="C126" s="67" t="str">
        <f ca="1">IF($A126="","",INDEX(Sheet!E$2:E$7967,$A126))</f>
        <v/>
      </c>
      <c r="D126" s="31" t="str">
        <f ca="1">IF(B123=" ",$AR$1,IF(B126=" ",$AQ$1,IF(A126="","",INDEX(Sheet!G$2:G$7967,$A126))))</f>
        <v/>
      </c>
      <c r="E126" s="32" t="str">
        <f ca="1">IF($A126="","",TEXT(INDEX(Sheet!J$2:J$7967,$A126),"#,#")&amp;" "&amp;INDEX(Sheet!AT$2:AT$7967,$A126))</f>
        <v/>
      </c>
      <c r="F126" s="53" t="str">
        <f ca="1">IF($A126="","",INDEX(Sheet!F$2:F$7967,$A126))</f>
        <v/>
      </c>
      <c r="G126" s="32" t="str">
        <f ca="1">IF($A126="","",INDEX(Sheet!I$2:I$7967,$A126))</f>
        <v/>
      </c>
      <c r="H126" s="32" t="str">
        <f ca="1">IF($A126="","",INDEX(Sheet!L$2:L$7967,$A126))</f>
        <v/>
      </c>
      <c r="I126" s="32" t="str">
        <f ca="1">IF($A126="","",INDEX(Sheet!N$2:N$7967,$A126))</f>
        <v/>
      </c>
      <c r="J126" s="53" t="str">
        <f ca="1">IF($A126="","",INDEX(Sheet!AS$2:AS$7967,$A126))</f>
        <v/>
      </c>
      <c r="K126" s="33" t="str">
        <f ca="1">IF($A126="","",IF(INDEX(Sheet!S$2:S$7967,$A126)="","",INDEX(Sheet!S$2:S$7967,$A126)))</f>
        <v/>
      </c>
      <c r="L126" s="33" t="str">
        <f ca="1">IF($A126="","",IF(INDEX(Sheet!R$2:R$7967,$A126)="","",INDEX(Sheet!R$2:R$7967,$A126)))</f>
        <v/>
      </c>
      <c r="M126" s="33" t="str">
        <f ca="1">IF($A126="","",IF(INDEX(Sheet!AO$2:AO$7967,$A126)="","",INDEX(Sheet!AO$2:AO$7967,$A126)))</f>
        <v/>
      </c>
      <c r="N126" s="33" t="str">
        <f ca="1">IF($A126="","",IF(INDEX(Sheet!T$2:T$7967,$A126)="","",INDEX(Sheet!T$2:T$7967,$A126)))</f>
        <v/>
      </c>
      <c r="O126" s="33" t="str">
        <f ca="1">IF($A126="","",IF(INDEX(Sheet!U$2:U$7967,$A126)="","",INDEX(Sheet!U$2:U$7967,$A126)))</f>
        <v/>
      </c>
      <c r="P126" s="33" t="str">
        <f ca="1">IF($A126="","",IF(INDEX(Sheet!W$2:W$7967,$A126)="","",INDEX(Sheet!W$2:W$7967,$A126)))</f>
        <v/>
      </c>
      <c r="Q126" s="33" t="str">
        <f ca="1">IF($A126="","",IF(INDEX(Sheet!V$2:V$7967,$A126)="","",INDEX(Sheet!V$2:V$7967,$A126)))</f>
        <v/>
      </c>
      <c r="R126" s="33" t="str">
        <f ca="1">IF($A126="","",IF(INDEX(Sheet!Z$2:Z$7967,$A126)="","",INDEX(Sheet!Z$2:Z$7967,$A126)))</f>
        <v/>
      </c>
      <c r="S126" s="33" t="str">
        <f ca="1">IF($A126="","",IF(INDEX(Sheet!Y$2:Y$7967,$A126)="","",INDEX(Sheet!Y$2:Y$7967,$A126)))</f>
        <v/>
      </c>
      <c r="T126" s="33" t="str">
        <f ca="1">IF($A126="","",IF(INDEX(Sheet!X$2:X$7967,$A126)="","",INDEX(Sheet!X$2:X$7967,$A126)))</f>
        <v/>
      </c>
      <c r="U126" s="33" t="str">
        <f ca="1">IF($A126="","",IF(INDEX(Sheet!AA$2:AA$7967,$A126)="","",INDEX(Sheet!AA$2:AA$7967,$A126)))</f>
        <v/>
      </c>
      <c r="V126" s="33" t="str">
        <f ca="1">IF($A126="","",IF(INDEX(Sheet!AB$2:AB$7967,$A126)="","",INDEX(Sheet!AB$2:AB$7967,$A126)))</f>
        <v/>
      </c>
      <c r="W126" s="33" t="str">
        <f ca="1">IF($A126="","",IF(INDEX(Sheet!AH$2:AH$7967,$A126)="","",INDEX(Sheet!AH$2:AH$7967,$A126)))</f>
        <v/>
      </c>
      <c r="X126" s="33" t="str">
        <f ca="1">IF($A126="","",IF(INDEX(Sheet!AC$2:AC$7967,$A126)="","",INDEX(Sheet!AC$2:AC$7967,$A126)))</f>
        <v/>
      </c>
      <c r="Y126" s="33" t="str">
        <f ca="1">IF($A126="","",IF(INDEX(Sheet!AD$2:AD$7967,$A126)="","",INDEX(Sheet!AD$2:AD$7967,$A126)))</f>
        <v/>
      </c>
      <c r="Z126" s="33" t="str">
        <f ca="1">IF($A126="","",IF(INDEX(Sheet!AL$2:AL$7967,$A126)="","",INDEX(Sheet!AL$2:AL$7967,$A126)))</f>
        <v/>
      </c>
      <c r="AA126" s="33" t="str">
        <f ca="1">IF($A126="","",IF(INDEX(Sheet!AE$2:AE$7967,$A126)="","",INDEX(Sheet!AE$2:AE$7967,$A126)))</f>
        <v/>
      </c>
      <c r="AB126" s="33" t="str">
        <f ca="1">IF($A126="","",IF(INDEX(Sheet!AF$2:AF$7967,$A126)="","",INDEX(Sheet!AF$2:AF$7967,$A126)))</f>
        <v/>
      </c>
      <c r="AC126" s="33" t="str">
        <f ca="1">IF($A126="","",IF(INDEX(Sheet!AG$2:AG$7967,$A126)="","",INDEX(Sheet!AG$2:AG$7967,$A126)))</f>
        <v/>
      </c>
      <c r="AD126" s="33" t="str">
        <f ca="1">IF($A126="","",IF(INDEX(Sheet!AM$2:AM$7967,$A126)="","",INDEX(Sheet!AM$2:AM$7967,$A126)))</f>
        <v/>
      </c>
      <c r="AE126" s="33" t="str">
        <f ca="1">IF($A126="","",IF(INDEX(Sheet!AJ$2:AJ$7967,$A126)="","",INDEX(Sheet!AJ$2:AJ$7967,$A126)))</f>
        <v/>
      </c>
      <c r="AF126" s="33" t="str">
        <f ca="1">IF($A126="","",IF(INDEX(Sheet!AI$2:AI$7967,$A126)="","",INDEX(Sheet!AI$2:AI$7967,$A126)))</f>
        <v/>
      </c>
      <c r="AG126" s="33" t="str">
        <f ca="1">IF(D126="duyệt sản xuất"," Bảo Bảo, Ngày "&amp;DAY($J$4)&amp;" Tháng "&amp;MONTH($J$4)&amp;" Năm "&amp;YEAR($J$4),IF(D126="Phê duyệt","NGƯỜI LẬP",IF(D126="Nguyễn Ngọc Thắng","NGUYỄN THỊ MAI",IF($A126="","",INDEX(Sheet!AK$2:AK$7967,$A126)))))</f>
        <v/>
      </c>
      <c r="AH126" s="58" t="str">
        <f ca="1">IF($A126="","",INDEX(Sheet!AR$2:AR$7967,$A126)&amp;" ; "&amp;INDEX(Sheet!M$2:M$7967,$A126))</f>
        <v/>
      </c>
      <c r="AI126" s="1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G126" s="35" t="str">
        <f ca="1">IFERROR(VALUE(separ(INDEX(Sheet!Q$2:Q$7967,$A126),"-",1)),"")</f>
        <v/>
      </c>
      <c r="BH126" s="35" t="str">
        <f ca="1">IFERROR(VALUE(separ(INDEX(Sheet!R$2:R$7967,$A126),"-",1)),"")</f>
        <v/>
      </c>
      <c r="BI126" s="35" t="str">
        <f ca="1">IFERROR(VALUE(separ(INDEX(Sheet!S$2:S$7967,$A126),"-",1)),"")</f>
        <v/>
      </c>
      <c r="BJ126" s="35" t="str">
        <f ca="1">IFERROR(VALUE(separ(INDEX(Sheet!T$2:T$7967,$A126),"-",1)),"")</f>
        <v/>
      </c>
      <c r="BK126" s="35" t="str">
        <f ca="1">IFERROR(VALUE(separ(INDEX(Sheet!U$2:U$7967,$A126),"-",1)),"")</f>
        <v/>
      </c>
      <c r="BL126" s="35" t="str">
        <f ca="1">IFERROR(VALUE(separ(INDEX(Sheet!V$2:V$7967,$A126),"-",1)),"")</f>
        <v/>
      </c>
      <c r="BM126" s="35" t="str">
        <f ca="1">IFERROR(VALUE(separ(INDEX(Sheet!W$2:W$7967,$A126),"-",1)),"")</f>
        <v/>
      </c>
      <c r="BN126" s="35" t="str">
        <f ca="1">IFERROR(VALUE(separ(INDEX(Sheet!X$2:X$7967,$A126),"-",1)),"")</f>
        <v/>
      </c>
      <c r="BO126" s="35" t="str">
        <f ca="1">IFERROR(VALUE(separ(INDEX(Sheet!Y$2:Y$7967,$A126),"-",1)),"")</f>
        <v/>
      </c>
      <c r="BP126" s="35" t="str">
        <f ca="1">IFERROR(VALUE(separ(INDEX(Sheet!Z$2:Z$7967,$A126),"-",1)),"")</f>
        <v/>
      </c>
      <c r="BQ126" s="35" t="str">
        <f ca="1">IFERROR(VALUE(separ(INDEX(Sheet!AA$2:AA$7967,$A126),"-",1)),"")</f>
        <v/>
      </c>
      <c r="BR126" s="35" t="str">
        <f ca="1">IFERROR(VALUE(separ(INDEX(Sheet!AB$2:AB$7967,$A126),"-",1)),"")</f>
        <v/>
      </c>
      <c r="BS126" s="35" t="str">
        <f ca="1">IFERROR(VALUE(separ(INDEX(Sheet!AC$2:AC$7967,$A126),"-",1)),"")</f>
        <v/>
      </c>
      <c r="BT126" s="35" t="str">
        <f ca="1">IFERROR(VALUE(separ(INDEX(Sheet!AD$2:AD$7967,$A126),"-",1)),"")</f>
        <v/>
      </c>
      <c r="BU126" s="35" t="str">
        <f ca="1">IFERROR(VALUE(separ(INDEX(Sheet!AE$2:AE$7967,$A126),"-",1)),"")</f>
        <v/>
      </c>
      <c r="BV126" s="35"/>
      <c r="BW126" s="35" t="str">
        <f ca="1">IFERROR((separ(INDEX(Sheet!Q$2:Q$7967,$A126),"-",2)),"")</f>
        <v/>
      </c>
      <c r="BX126" s="35" t="str">
        <f ca="1">IFERROR((separ(INDEX(Sheet!R$2:R$7967,$A126),"-",2)),"")</f>
        <v/>
      </c>
      <c r="BY126" s="35" t="str">
        <f ca="1">IFERROR((separ(INDEX(Sheet!S$2:S$7967,$A126),"-",2)),"")</f>
        <v/>
      </c>
      <c r="BZ126" s="35" t="str">
        <f ca="1">IFERROR((separ(INDEX(Sheet!T$2:T$7967,$A126),"-",2)),"")</f>
        <v/>
      </c>
      <c r="CA126" s="35" t="str">
        <f ca="1">IFERROR((separ(INDEX(Sheet!U$2:U$7967,$A126),"-",2)),"")</f>
        <v/>
      </c>
      <c r="CB126" s="35" t="str">
        <f ca="1">IFERROR((separ(INDEX(Sheet!V$2:V$7967,$A126),"-",2)),"")</f>
        <v/>
      </c>
      <c r="CC126" s="35" t="str">
        <f ca="1">IFERROR((separ(INDEX(Sheet!W$2:W$7967,$A126),"-",2)),"")</f>
        <v/>
      </c>
      <c r="CD126" s="35" t="str">
        <f ca="1">IFERROR((separ(INDEX(Sheet!X$2:X$7967,$A126),"-",2)),"")</f>
        <v/>
      </c>
      <c r="CE126" s="35" t="str">
        <f ca="1">IFERROR((separ(INDEX(Sheet!Y$2:Y$7967,$A126),"-",2)),"")</f>
        <v/>
      </c>
      <c r="CF126" s="35" t="str">
        <f ca="1">IFERROR((separ(INDEX(Sheet!Z$2:Z$7967,$A126),"-",2)),"")</f>
        <v/>
      </c>
      <c r="CG126" s="35" t="str">
        <f ca="1">IFERROR((separ(INDEX(Sheet!AA$2:AA$7967,$A126),"-",2)),"")</f>
        <v/>
      </c>
      <c r="CH126" s="35" t="str">
        <f ca="1">IFERROR((separ(INDEX(Sheet!AB$2:AB$7967,$A126),"-",2)),"")</f>
        <v/>
      </c>
      <c r="CI126" s="35" t="str">
        <f ca="1">IFERROR((separ(INDEX(Sheet!AC$2:AC$7967,$A126),"-",2)),"")</f>
        <v/>
      </c>
      <c r="CJ126" s="35" t="str">
        <f ca="1">IFERROR((separ(INDEX(Sheet!AD$2:AD$7967,$A126),"-",2)),"")</f>
        <v/>
      </c>
      <c r="CK126" s="35" t="str">
        <f ca="1">IFERROR((separ(INDEX(Sheet!AE$2:AE$7967,$A126),"-",2)),"")</f>
        <v/>
      </c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</row>
    <row r="127" spans="1:104" s="29" customFormat="1">
      <c r="A127" s="45" t="str">
        <f ca="1">IFERROR(MATCH($B$3,OFFSET(Sheet!$D$2,A126,0):'Sheet'!$D$7657,0)+A126,"")</f>
        <v/>
      </c>
      <c r="B127" s="29" t="str">
        <f ca="1">IF(ROW(A120)&lt;=COUNT($A$6:$A$800),INDEX(Sheet!$A$2:$A$7967,$A127),IF(ROW(A120)=COUNT($A$6:$A$800)+1," ",IF(ROW(A120)=COUNT($A$6:$A$800)+2,"  ","")))</f>
        <v/>
      </c>
      <c r="C127" s="67" t="str">
        <f ca="1">IF($A127="","",INDEX(Sheet!E$2:E$7967,$A127))</f>
        <v/>
      </c>
      <c r="D127" s="31" t="str">
        <f ca="1">IF(B124=" ",$AR$1,IF(B127=" ",$AQ$1,IF(A127="","",INDEX(Sheet!G$2:G$7967,$A127))))</f>
        <v/>
      </c>
      <c r="E127" s="32" t="str">
        <f ca="1">IF($A127="","",TEXT(INDEX(Sheet!J$2:J$7967,$A127),"#,#")&amp;" "&amp;INDEX(Sheet!AT$2:AT$7967,$A127))</f>
        <v/>
      </c>
      <c r="F127" s="53" t="str">
        <f ca="1">IF($A127="","",INDEX(Sheet!F$2:F$7967,$A127))</f>
        <v/>
      </c>
      <c r="G127" s="32" t="str">
        <f ca="1">IF($A127="","",INDEX(Sheet!I$2:I$7967,$A127))</f>
        <v/>
      </c>
      <c r="H127" s="32" t="str">
        <f ca="1">IF($A127="","",INDEX(Sheet!L$2:L$7967,$A127))</f>
        <v/>
      </c>
      <c r="I127" s="32" t="str">
        <f ca="1">IF($A127="","",INDEX(Sheet!N$2:N$7967,$A127))</f>
        <v/>
      </c>
      <c r="J127" s="53" t="str">
        <f ca="1">IF($A127="","",INDEX(Sheet!AS$2:AS$7967,$A127))</f>
        <v/>
      </c>
      <c r="K127" s="33" t="str">
        <f ca="1">IF($A127="","",IF(INDEX(Sheet!S$2:S$7967,$A127)="","",INDEX(Sheet!S$2:S$7967,$A127)))</f>
        <v/>
      </c>
      <c r="L127" s="33" t="str">
        <f ca="1">IF($A127="","",IF(INDEX(Sheet!R$2:R$7967,$A127)="","",INDEX(Sheet!R$2:R$7967,$A127)))</f>
        <v/>
      </c>
      <c r="M127" s="33" t="str">
        <f ca="1">IF($A127="","",IF(INDEX(Sheet!AO$2:AO$7967,$A127)="","",INDEX(Sheet!AO$2:AO$7967,$A127)))</f>
        <v/>
      </c>
      <c r="N127" s="33" t="str">
        <f ca="1">IF($A127="","",IF(INDEX(Sheet!T$2:T$7967,$A127)="","",INDEX(Sheet!T$2:T$7967,$A127)))</f>
        <v/>
      </c>
      <c r="O127" s="33" t="str">
        <f ca="1">IF($A127="","",IF(INDEX(Sheet!U$2:U$7967,$A127)="","",INDEX(Sheet!U$2:U$7967,$A127)))</f>
        <v/>
      </c>
      <c r="P127" s="33" t="str">
        <f ca="1">IF($A127="","",IF(INDEX(Sheet!W$2:W$7967,$A127)="","",INDEX(Sheet!W$2:W$7967,$A127)))</f>
        <v/>
      </c>
      <c r="Q127" s="33" t="str">
        <f ca="1">IF($A127="","",IF(INDEX(Sheet!V$2:V$7967,$A127)="","",INDEX(Sheet!V$2:V$7967,$A127)))</f>
        <v/>
      </c>
      <c r="R127" s="33" t="str">
        <f ca="1">IF($A127="","",IF(INDEX(Sheet!Z$2:Z$7967,$A127)="","",INDEX(Sheet!Z$2:Z$7967,$A127)))</f>
        <v/>
      </c>
      <c r="S127" s="33" t="str">
        <f ca="1">IF($A127="","",IF(INDEX(Sheet!Y$2:Y$7967,$A127)="","",INDEX(Sheet!Y$2:Y$7967,$A127)))</f>
        <v/>
      </c>
      <c r="T127" s="33" t="str">
        <f ca="1">IF($A127="","",IF(INDEX(Sheet!X$2:X$7967,$A127)="","",INDEX(Sheet!X$2:X$7967,$A127)))</f>
        <v/>
      </c>
      <c r="U127" s="33" t="str">
        <f ca="1">IF($A127="","",IF(INDEX(Sheet!AA$2:AA$7967,$A127)="","",INDEX(Sheet!AA$2:AA$7967,$A127)))</f>
        <v/>
      </c>
      <c r="V127" s="33" t="str">
        <f ca="1">IF($A127="","",IF(INDEX(Sheet!AB$2:AB$7967,$A127)="","",INDEX(Sheet!AB$2:AB$7967,$A127)))</f>
        <v/>
      </c>
      <c r="W127" s="33" t="str">
        <f ca="1">IF($A127="","",IF(INDEX(Sheet!AH$2:AH$7967,$A127)="","",INDEX(Sheet!AH$2:AH$7967,$A127)))</f>
        <v/>
      </c>
      <c r="X127" s="33" t="str">
        <f ca="1">IF($A127="","",IF(INDEX(Sheet!AC$2:AC$7967,$A127)="","",INDEX(Sheet!AC$2:AC$7967,$A127)))</f>
        <v/>
      </c>
      <c r="Y127" s="33" t="str">
        <f ca="1">IF($A127="","",IF(INDEX(Sheet!AD$2:AD$7967,$A127)="","",INDEX(Sheet!AD$2:AD$7967,$A127)))</f>
        <v/>
      </c>
      <c r="Z127" s="33" t="str">
        <f ca="1">IF($A127="","",IF(INDEX(Sheet!AL$2:AL$7967,$A127)="","",INDEX(Sheet!AL$2:AL$7967,$A127)))</f>
        <v/>
      </c>
      <c r="AA127" s="33" t="str">
        <f ca="1">IF($A127="","",IF(INDEX(Sheet!AE$2:AE$7967,$A127)="","",INDEX(Sheet!AE$2:AE$7967,$A127)))</f>
        <v/>
      </c>
      <c r="AB127" s="33" t="str">
        <f ca="1">IF($A127="","",IF(INDEX(Sheet!AF$2:AF$7967,$A127)="","",INDEX(Sheet!AF$2:AF$7967,$A127)))</f>
        <v/>
      </c>
      <c r="AC127" s="33" t="str">
        <f ca="1">IF($A127="","",IF(INDEX(Sheet!AG$2:AG$7967,$A127)="","",INDEX(Sheet!AG$2:AG$7967,$A127)))</f>
        <v/>
      </c>
      <c r="AD127" s="33" t="str">
        <f ca="1">IF($A127="","",IF(INDEX(Sheet!AM$2:AM$7967,$A127)="","",INDEX(Sheet!AM$2:AM$7967,$A127)))</f>
        <v/>
      </c>
      <c r="AE127" s="33" t="str">
        <f ca="1">IF($A127="","",IF(INDEX(Sheet!AJ$2:AJ$7967,$A127)="","",INDEX(Sheet!AJ$2:AJ$7967,$A127)))</f>
        <v/>
      </c>
      <c r="AF127" s="33" t="str">
        <f ca="1">IF($A127="","",IF(INDEX(Sheet!AI$2:AI$7967,$A127)="","",INDEX(Sheet!AI$2:AI$7967,$A127)))</f>
        <v/>
      </c>
      <c r="AG127" s="33" t="str">
        <f ca="1">IF(D127="duyệt sản xuất"," Bảo Bảo, Ngày "&amp;DAY($J$4)&amp;" Tháng "&amp;MONTH($J$4)&amp;" Năm "&amp;YEAR($J$4),IF(D127="Phê duyệt","NGƯỜI LẬP",IF(D127="Nguyễn Ngọc Thắng","NGUYỄN THỊ MAI",IF($A127="","",INDEX(Sheet!AK$2:AK$7967,$A127)))))</f>
        <v/>
      </c>
      <c r="AH127" s="58" t="str">
        <f ca="1">IF($A127="","",INDEX(Sheet!AR$2:AR$7967,$A127)&amp;" ; "&amp;INDEX(Sheet!M$2:M$7967,$A127))</f>
        <v/>
      </c>
      <c r="AI127" s="1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G127" s="35" t="str">
        <f ca="1">IFERROR(VALUE(separ(INDEX(Sheet!Q$2:Q$7967,$A127),"-",1)),"")</f>
        <v/>
      </c>
      <c r="BH127" s="35" t="str">
        <f ca="1">IFERROR(VALUE(separ(INDEX(Sheet!R$2:R$7967,$A127),"-",1)),"")</f>
        <v/>
      </c>
      <c r="BI127" s="35" t="str">
        <f ca="1">IFERROR(VALUE(separ(INDEX(Sheet!S$2:S$7967,$A127),"-",1)),"")</f>
        <v/>
      </c>
      <c r="BJ127" s="35" t="str">
        <f ca="1">IFERROR(VALUE(separ(INDEX(Sheet!T$2:T$7967,$A127),"-",1)),"")</f>
        <v/>
      </c>
      <c r="BK127" s="35" t="str">
        <f ca="1">IFERROR(VALUE(separ(INDEX(Sheet!U$2:U$7967,$A127),"-",1)),"")</f>
        <v/>
      </c>
      <c r="BL127" s="35" t="str">
        <f ca="1">IFERROR(VALUE(separ(INDEX(Sheet!V$2:V$7967,$A127),"-",1)),"")</f>
        <v/>
      </c>
      <c r="BM127" s="35" t="str">
        <f ca="1">IFERROR(VALUE(separ(INDEX(Sheet!W$2:W$7967,$A127),"-",1)),"")</f>
        <v/>
      </c>
      <c r="BN127" s="35" t="str">
        <f ca="1">IFERROR(VALUE(separ(INDEX(Sheet!X$2:X$7967,$A127),"-",1)),"")</f>
        <v/>
      </c>
      <c r="BO127" s="35" t="str">
        <f ca="1">IFERROR(VALUE(separ(INDEX(Sheet!Y$2:Y$7967,$A127),"-",1)),"")</f>
        <v/>
      </c>
      <c r="BP127" s="35" t="str">
        <f ca="1">IFERROR(VALUE(separ(INDEX(Sheet!Z$2:Z$7967,$A127),"-",1)),"")</f>
        <v/>
      </c>
      <c r="BQ127" s="35" t="str">
        <f ca="1">IFERROR(VALUE(separ(INDEX(Sheet!AA$2:AA$7967,$A127),"-",1)),"")</f>
        <v/>
      </c>
      <c r="BR127" s="35" t="str">
        <f ca="1">IFERROR(VALUE(separ(INDEX(Sheet!AB$2:AB$7967,$A127),"-",1)),"")</f>
        <v/>
      </c>
      <c r="BS127" s="35" t="str">
        <f ca="1">IFERROR(VALUE(separ(INDEX(Sheet!AC$2:AC$7967,$A127),"-",1)),"")</f>
        <v/>
      </c>
      <c r="BT127" s="35" t="str">
        <f ca="1">IFERROR(VALUE(separ(INDEX(Sheet!AD$2:AD$7967,$A127),"-",1)),"")</f>
        <v/>
      </c>
      <c r="BU127" s="35" t="str">
        <f ca="1">IFERROR(VALUE(separ(INDEX(Sheet!AE$2:AE$7967,$A127),"-",1)),"")</f>
        <v/>
      </c>
      <c r="BV127" s="35"/>
      <c r="BW127" s="35" t="str">
        <f ca="1">IFERROR((separ(INDEX(Sheet!Q$2:Q$7967,$A127),"-",2)),"")</f>
        <v/>
      </c>
      <c r="BX127" s="35" t="str">
        <f ca="1">IFERROR((separ(INDEX(Sheet!R$2:R$7967,$A127),"-",2)),"")</f>
        <v/>
      </c>
      <c r="BY127" s="35" t="str">
        <f ca="1">IFERROR((separ(INDEX(Sheet!S$2:S$7967,$A127),"-",2)),"")</f>
        <v/>
      </c>
      <c r="BZ127" s="35" t="str">
        <f ca="1">IFERROR((separ(INDEX(Sheet!T$2:T$7967,$A127),"-",2)),"")</f>
        <v/>
      </c>
      <c r="CA127" s="35" t="str">
        <f ca="1">IFERROR((separ(INDEX(Sheet!U$2:U$7967,$A127),"-",2)),"")</f>
        <v/>
      </c>
      <c r="CB127" s="35" t="str">
        <f ca="1">IFERROR((separ(INDEX(Sheet!V$2:V$7967,$A127),"-",2)),"")</f>
        <v/>
      </c>
      <c r="CC127" s="35" t="str">
        <f ca="1">IFERROR((separ(INDEX(Sheet!W$2:W$7967,$A127),"-",2)),"")</f>
        <v/>
      </c>
      <c r="CD127" s="35" t="str">
        <f ca="1">IFERROR((separ(INDEX(Sheet!X$2:X$7967,$A127),"-",2)),"")</f>
        <v/>
      </c>
      <c r="CE127" s="35" t="str">
        <f ca="1">IFERROR((separ(INDEX(Sheet!Y$2:Y$7967,$A127),"-",2)),"")</f>
        <v/>
      </c>
      <c r="CF127" s="35" t="str">
        <f ca="1">IFERROR((separ(INDEX(Sheet!Z$2:Z$7967,$A127),"-",2)),"")</f>
        <v/>
      </c>
      <c r="CG127" s="35" t="str">
        <f ca="1">IFERROR((separ(INDEX(Sheet!AA$2:AA$7967,$A127),"-",2)),"")</f>
        <v/>
      </c>
      <c r="CH127" s="35" t="str">
        <f ca="1">IFERROR((separ(INDEX(Sheet!AB$2:AB$7967,$A127),"-",2)),"")</f>
        <v/>
      </c>
      <c r="CI127" s="35" t="str">
        <f ca="1">IFERROR((separ(INDEX(Sheet!AC$2:AC$7967,$A127),"-",2)),"")</f>
        <v/>
      </c>
      <c r="CJ127" s="35" t="str">
        <f ca="1">IFERROR((separ(INDEX(Sheet!AD$2:AD$7967,$A127),"-",2)),"")</f>
        <v/>
      </c>
      <c r="CK127" s="35" t="str">
        <f ca="1">IFERROR((separ(INDEX(Sheet!AE$2:AE$7967,$A127),"-",2)),"")</f>
        <v/>
      </c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</row>
    <row r="128" spans="1:104" s="29" customFormat="1">
      <c r="A128" s="45" t="str">
        <f ca="1">IFERROR(MATCH($B$3,OFFSET(Sheet!$D$2,A127,0):'Sheet'!$D$7657,0)+A127,"")</f>
        <v/>
      </c>
      <c r="B128" s="29" t="str">
        <f ca="1">IF(ROW(A121)&lt;=COUNT($A$6:$A$800),INDEX(Sheet!$A$2:$A$7967,$A128),IF(ROW(A121)=COUNT($A$6:$A$800)+1," ",IF(ROW(A121)=COUNT($A$6:$A$800)+2,"  ","")))</f>
        <v/>
      </c>
      <c r="C128" s="67" t="str">
        <f ca="1">IF($A128="","",INDEX(Sheet!E$2:E$7967,$A128))</f>
        <v/>
      </c>
      <c r="D128" s="31" t="str">
        <f ca="1">IF(B125=" ",$AR$1,IF(B128=" ",$AQ$1,IF(A128="","",INDEX(Sheet!G$2:G$7967,$A128))))</f>
        <v/>
      </c>
      <c r="E128" s="32" t="str">
        <f ca="1">IF($A128="","",TEXT(INDEX(Sheet!J$2:J$7967,$A128),"#,#")&amp;" "&amp;INDEX(Sheet!AT$2:AT$7967,$A128))</f>
        <v/>
      </c>
      <c r="F128" s="53" t="str">
        <f ca="1">IF($A128="","",INDEX(Sheet!F$2:F$7967,$A128))</f>
        <v/>
      </c>
      <c r="G128" s="32" t="str">
        <f ca="1">IF($A128="","",INDEX(Sheet!I$2:I$7967,$A128))</f>
        <v/>
      </c>
      <c r="H128" s="32" t="str">
        <f ca="1">IF($A128="","",INDEX(Sheet!L$2:L$7967,$A128))</f>
        <v/>
      </c>
      <c r="I128" s="32" t="str">
        <f ca="1">IF($A128="","",INDEX(Sheet!N$2:N$7967,$A128))</f>
        <v/>
      </c>
      <c r="J128" s="53" t="str">
        <f ca="1">IF($A128="","",INDEX(Sheet!AS$2:AS$7967,$A128))</f>
        <v/>
      </c>
      <c r="K128" s="33" t="str">
        <f ca="1">IF($A128="","",IF(INDEX(Sheet!S$2:S$7967,$A128)="","",INDEX(Sheet!S$2:S$7967,$A128)))</f>
        <v/>
      </c>
      <c r="L128" s="33" t="str">
        <f ca="1">IF($A128="","",IF(INDEX(Sheet!R$2:R$7967,$A128)="","",INDEX(Sheet!R$2:R$7967,$A128)))</f>
        <v/>
      </c>
      <c r="M128" s="33" t="str">
        <f ca="1">IF($A128="","",IF(INDEX(Sheet!AO$2:AO$7967,$A128)="","",INDEX(Sheet!AO$2:AO$7967,$A128)))</f>
        <v/>
      </c>
      <c r="N128" s="33" t="str">
        <f ca="1">IF($A128="","",IF(INDEX(Sheet!T$2:T$7967,$A128)="","",INDEX(Sheet!T$2:T$7967,$A128)))</f>
        <v/>
      </c>
      <c r="O128" s="33" t="str">
        <f ca="1">IF($A128="","",IF(INDEX(Sheet!U$2:U$7967,$A128)="","",INDEX(Sheet!U$2:U$7967,$A128)))</f>
        <v/>
      </c>
      <c r="P128" s="33" t="str">
        <f ca="1">IF($A128="","",IF(INDEX(Sheet!W$2:W$7967,$A128)="","",INDEX(Sheet!W$2:W$7967,$A128)))</f>
        <v/>
      </c>
      <c r="Q128" s="33" t="str">
        <f ca="1">IF($A128="","",IF(INDEX(Sheet!V$2:V$7967,$A128)="","",INDEX(Sheet!V$2:V$7967,$A128)))</f>
        <v/>
      </c>
      <c r="R128" s="33" t="str">
        <f ca="1">IF($A128="","",IF(INDEX(Sheet!Z$2:Z$7967,$A128)="","",INDEX(Sheet!Z$2:Z$7967,$A128)))</f>
        <v/>
      </c>
      <c r="S128" s="33" t="str">
        <f ca="1">IF($A128="","",IF(INDEX(Sheet!Y$2:Y$7967,$A128)="","",INDEX(Sheet!Y$2:Y$7967,$A128)))</f>
        <v/>
      </c>
      <c r="T128" s="33" t="str">
        <f ca="1">IF($A128="","",IF(INDEX(Sheet!X$2:X$7967,$A128)="","",INDEX(Sheet!X$2:X$7967,$A128)))</f>
        <v/>
      </c>
      <c r="U128" s="33" t="str">
        <f ca="1">IF($A128="","",IF(INDEX(Sheet!AA$2:AA$7967,$A128)="","",INDEX(Sheet!AA$2:AA$7967,$A128)))</f>
        <v/>
      </c>
      <c r="V128" s="33" t="str">
        <f ca="1">IF($A128="","",IF(INDEX(Sheet!AB$2:AB$7967,$A128)="","",INDEX(Sheet!AB$2:AB$7967,$A128)))</f>
        <v/>
      </c>
      <c r="W128" s="33" t="str">
        <f ca="1">IF($A128="","",IF(INDEX(Sheet!AH$2:AH$7967,$A128)="","",INDEX(Sheet!AH$2:AH$7967,$A128)))</f>
        <v/>
      </c>
      <c r="X128" s="33" t="str">
        <f ca="1">IF($A128="","",IF(INDEX(Sheet!AC$2:AC$7967,$A128)="","",INDEX(Sheet!AC$2:AC$7967,$A128)))</f>
        <v/>
      </c>
      <c r="Y128" s="33" t="str">
        <f ca="1">IF($A128="","",IF(INDEX(Sheet!AD$2:AD$7967,$A128)="","",INDEX(Sheet!AD$2:AD$7967,$A128)))</f>
        <v/>
      </c>
      <c r="Z128" s="33" t="str">
        <f ca="1">IF($A128="","",IF(INDEX(Sheet!AL$2:AL$7967,$A128)="","",INDEX(Sheet!AL$2:AL$7967,$A128)))</f>
        <v/>
      </c>
      <c r="AA128" s="33" t="str">
        <f ca="1">IF($A128="","",IF(INDEX(Sheet!AE$2:AE$7967,$A128)="","",INDEX(Sheet!AE$2:AE$7967,$A128)))</f>
        <v/>
      </c>
      <c r="AB128" s="33" t="str">
        <f ca="1">IF($A128="","",IF(INDEX(Sheet!AF$2:AF$7967,$A128)="","",INDEX(Sheet!AF$2:AF$7967,$A128)))</f>
        <v/>
      </c>
      <c r="AC128" s="33" t="str">
        <f ca="1">IF($A128="","",IF(INDEX(Sheet!AG$2:AG$7967,$A128)="","",INDEX(Sheet!AG$2:AG$7967,$A128)))</f>
        <v/>
      </c>
      <c r="AD128" s="33" t="str">
        <f ca="1">IF($A128="","",IF(INDEX(Sheet!AM$2:AM$7967,$A128)="","",INDEX(Sheet!AM$2:AM$7967,$A128)))</f>
        <v/>
      </c>
      <c r="AE128" s="33" t="str">
        <f ca="1">IF($A128="","",IF(INDEX(Sheet!AJ$2:AJ$7967,$A128)="","",INDEX(Sheet!AJ$2:AJ$7967,$A128)))</f>
        <v/>
      </c>
      <c r="AF128" s="33" t="str">
        <f ca="1">IF($A128="","",IF(INDEX(Sheet!AI$2:AI$7967,$A128)="","",INDEX(Sheet!AI$2:AI$7967,$A128)))</f>
        <v/>
      </c>
      <c r="AG128" s="33" t="str">
        <f ca="1">IF(D128="duyệt sản xuất"," Bảo Bảo, Ngày "&amp;DAY($J$4)&amp;" Tháng "&amp;MONTH($J$4)&amp;" Năm "&amp;YEAR($J$4),IF(D128="Phê duyệt","NGƯỜI LẬP",IF(D128="Nguyễn Ngọc Thắng","NGUYỄN THỊ MAI",IF($A128="","",INDEX(Sheet!AK$2:AK$7967,$A128)))))</f>
        <v/>
      </c>
      <c r="AH128" s="58" t="str">
        <f ca="1">IF($A128="","",INDEX(Sheet!AR$2:AR$7967,$A128)&amp;" ; "&amp;INDEX(Sheet!M$2:M$7967,$A128))</f>
        <v/>
      </c>
      <c r="AI128" s="1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G128" s="35" t="str">
        <f ca="1">IFERROR(VALUE(separ(INDEX(Sheet!Q$2:Q$7967,$A128),"-",1)),"")</f>
        <v/>
      </c>
      <c r="BH128" s="35" t="str">
        <f ca="1">IFERROR(VALUE(separ(INDEX(Sheet!R$2:R$7967,$A128),"-",1)),"")</f>
        <v/>
      </c>
      <c r="BI128" s="35" t="str">
        <f ca="1">IFERROR(VALUE(separ(INDEX(Sheet!S$2:S$7967,$A128),"-",1)),"")</f>
        <v/>
      </c>
      <c r="BJ128" s="35" t="str">
        <f ca="1">IFERROR(VALUE(separ(INDEX(Sheet!T$2:T$7967,$A128),"-",1)),"")</f>
        <v/>
      </c>
      <c r="BK128" s="35" t="str">
        <f ca="1">IFERROR(VALUE(separ(INDEX(Sheet!U$2:U$7967,$A128),"-",1)),"")</f>
        <v/>
      </c>
      <c r="BL128" s="35" t="str">
        <f ca="1">IFERROR(VALUE(separ(INDEX(Sheet!V$2:V$7967,$A128),"-",1)),"")</f>
        <v/>
      </c>
      <c r="BM128" s="35" t="str">
        <f ca="1">IFERROR(VALUE(separ(INDEX(Sheet!W$2:W$7967,$A128),"-",1)),"")</f>
        <v/>
      </c>
      <c r="BN128" s="35" t="str">
        <f ca="1">IFERROR(VALUE(separ(INDEX(Sheet!X$2:X$7967,$A128),"-",1)),"")</f>
        <v/>
      </c>
      <c r="BO128" s="35" t="str">
        <f ca="1">IFERROR(VALUE(separ(INDEX(Sheet!Y$2:Y$7967,$A128),"-",1)),"")</f>
        <v/>
      </c>
      <c r="BP128" s="35" t="str">
        <f ca="1">IFERROR(VALUE(separ(INDEX(Sheet!Z$2:Z$7967,$A128),"-",1)),"")</f>
        <v/>
      </c>
      <c r="BQ128" s="35" t="str">
        <f ca="1">IFERROR(VALUE(separ(INDEX(Sheet!AA$2:AA$7967,$A128),"-",1)),"")</f>
        <v/>
      </c>
      <c r="BR128" s="35" t="str">
        <f ca="1">IFERROR(VALUE(separ(INDEX(Sheet!AB$2:AB$7967,$A128),"-",1)),"")</f>
        <v/>
      </c>
      <c r="BS128" s="35" t="str">
        <f ca="1">IFERROR(VALUE(separ(INDEX(Sheet!AC$2:AC$7967,$A128),"-",1)),"")</f>
        <v/>
      </c>
      <c r="BT128" s="35" t="str">
        <f ca="1">IFERROR(VALUE(separ(INDEX(Sheet!AD$2:AD$7967,$A128),"-",1)),"")</f>
        <v/>
      </c>
      <c r="BU128" s="35" t="str">
        <f ca="1">IFERROR(VALUE(separ(INDEX(Sheet!AE$2:AE$7967,$A128),"-",1)),"")</f>
        <v/>
      </c>
      <c r="BV128" s="35"/>
      <c r="BW128" s="35" t="str">
        <f ca="1">IFERROR((separ(INDEX(Sheet!Q$2:Q$7967,$A128),"-",2)),"")</f>
        <v/>
      </c>
      <c r="BX128" s="35" t="str">
        <f ca="1">IFERROR((separ(INDEX(Sheet!R$2:R$7967,$A128),"-",2)),"")</f>
        <v/>
      </c>
      <c r="BY128" s="35" t="str">
        <f ca="1">IFERROR((separ(INDEX(Sheet!S$2:S$7967,$A128),"-",2)),"")</f>
        <v/>
      </c>
      <c r="BZ128" s="35" t="str">
        <f ca="1">IFERROR((separ(INDEX(Sheet!T$2:T$7967,$A128),"-",2)),"")</f>
        <v/>
      </c>
      <c r="CA128" s="35" t="str">
        <f ca="1">IFERROR((separ(INDEX(Sheet!U$2:U$7967,$A128),"-",2)),"")</f>
        <v/>
      </c>
      <c r="CB128" s="35" t="str">
        <f ca="1">IFERROR((separ(INDEX(Sheet!V$2:V$7967,$A128),"-",2)),"")</f>
        <v/>
      </c>
      <c r="CC128" s="35" t="str">
        <f ca="1">IFERROR((separ(INDEX(Sheet!W$2:W$7967,$A128),"-",2)),"")</f>
        <v/>
      </c>
      <c r="CD128" s="35" t="str">
        <f ca="1">IFERROR((separ(INDEX(Sheet!X$2:X$7967,$A128),"-",2)),"")</f>
        <v/>
      </c>
      <c r="CE128" s="35" t="str">
        <f ca="1">IFERROR((separ(INDEX(Sheet!Y$2:Y$7967,$A128),"-",2)),"")</f>
        <v/>
      </c>
      <c r="CF128" s="35" t="str">
        <f ca="1">IFERROR((separ(INDEX(Sheet!Z$2:Z$7967,$A128),"-",2)),"")</f>
        <v/>
      </c>
      <c r="CG128" s="35" t="str">
        <f ca="1">IFERROR((separ(INDEX(Sheet!AA$2:AA$7967,$A128),"-",2)),"")</f>
        <v/>
      </c>
      <c r="CH128" s="35" t="str">
        <f ca="1">IFERROR((separ(INDEX(Sheet!AB$2:AB$7967,$A128),"-",2)),"")</f>
        <v/>
      </c>
      <c r="CI128" s="35" t="str">
        <f ca="1">IFERROR((separ(INDEX(Sheet!AC$2:AC$7967,$A128),"-",2)),"")</f>
        <v/>
      </c>
      <c r="CJ128" s="35" t="str">
        <f ca="1">IFERROR((separ(INDEX(Sheet!AD$2:AD$7967,$A128),"-",2)),"")</f>
        <v/>
      </c>
      <c r="CK128" s="35" t="str">
        <f ca="1">IFERROR((separ(INDEX(Sheet!AE$2:AE$7967,$A128),"-",2)),"")</f>
        <v/>
      </c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</row>
    <row r="129" spans="1:104" s="29" customFormat="1">
      <c r="A129" s="45" t="str">
        <f ca="1">IFERROR(MATCH($B$3,OFFSET(Sheet!$D$2,A128,0):'Sheet'!$D$7657,0)+A128,"")</f>
        <v/>
      </c>
      <c r="B129" s="29" t="str">
        <f ca="1">IF(ROW(A122)&lt;=COUNT($A$6:$A$800),INDEX(Sheet!$A$2:$A$7967,$A129),IF(ROW(A122)=COUNT($A$6:$A$800)+1," ",IF(ROW(A122)=COUNT($A$6:$A$800)+2,"  ","")))</f>
        <v/>
      </c>
      <c r="C129" s="67" t="str">
        <f ca="1">IF($A129="","",INDEX(Sheet!E$2:E$7967,$A129))</f>
        <v/>
      </c>
      <c r="D129" s="31" t="str">
        <f ca="1">IF(B126=" ",$AR$1,IF(B129=" ",$AQ$1,IF(A129="","",INDEX(Sheet!G$2:G$7967,$A129))))</f>
        <v/>
      </c>
      <c r="E129" s="32" t="str">
        <f ca="1">IF($A129="","",TEXT(INDEX(Sheet!J$2:J$7967,$A129),"#,#")&amp;" "&amp;INDEX(Sheet!AT$2:AT$7967,$A129))</f>
        <v/>
      </c>
      <c r="F129" s="53" t="str">
        <f ca="1">IF($A129="","",INDEX(Sheet!F$2:F$7967,$A129))</f>
        <v/>
      </c>
      <c r="G129" s="32" t="str">
        <f ca="1">IF($A129="","",INDEX(Sheet!I$2:I$7967,$A129))</f>
        <v/>
      </c>
      <c r="H129" s="32" t="str">
        <f ca="1">IF($A129="","",INDEX(Sheet!L$2:L$7967,$A129))</f>
        <v/>
      </c>
      <c r="I129" s="32" t="str">
        <f ca="1">IF($A129="","",INDEX(Sheet!N$2:N$7967,$A129))</f>
        <v/>
      </c>
      <c r="J129" s="53" t="str">
        <f ca="1">IF($A129="","",INDEX(Sheet!AS$2:AS$7967,$A129))</f>
        <v/>
      </c>
      <c r="K129" s="33" t="str">
        <f ca="1">IF($A129="","",IF(INDEX(Sheet!S$2:S$7967,$A129)="","",INDEX(Sheet!S$2:S$7967,$A129)))</f>
        <v/>
      </c>
      <c r="L129" s="33" t="str">
        <f ca="1">IF($A129="","",IF(INDEX(Sheet!R$2:R$7967,$A129)="","",INDEX(Sheet!R$2:R$7967,$A129)))</f>
        <v/>
      </c>
      <c r="M129" s="33" t="str">
        <f ca="1">IF($A129="","",IF(INDEX(Sheet!AO$2:AO$7967,$A129)="","",INDEX(Sheet!AO$2:AO$7967,$A129)))</f>
        <v/>
      </c>
      <c r="N129" s="33" t="str">
        <f ca="1">IF($A129="","",IF(INDEX(Sheet!T$2:T$7967,$A129)="","",INDEX(Sheet!T$2:T$7967,$A129)))</f>
        <v/>
      </c>
      <c r="O129" s="33" t="str">
        <f ca="1">IF($A129="","",IF(INDEX(Sheet!U$2:U$7967,$A129)="","",INDEX(Sheet!U$2:U$7967,$A129)))</f>
        <v/>
      </c>
      <c r="P129" s="33" t="str">
        <f ca="1">IF($A129="","",IF(INDEX(Sheet!W$2:W$7967,$A129)="","",INDEX(Sheet!W$2:W$7967,$A129)))</f>
        <v/>
      </c>
      <c r="Q129" s="33" t="str">
        <f ca="1">IF($A129="","",IF(INDEX(Sheet!V$2:V$7967,$A129)="","",INDEX(Sheet!V$2:V$7967,$A129)))</f>
        <v/>
      </c>
      <c r="R129" s="33" t="str">
        <f ca="1">IF($A129="","",IF(INDEX(Sheet!Z$2:Z$7967,$A129)="","",INDEX(Sheet!Z$2:Z$7967,$A129)))</f>
        <v/>
      </c>
      <c r="S129" s="33" t="str">
        <f ca="1">IF($A129="","",IF(INDEX(Sheet!Y$2:Y$7967,$A129)="","",INDEX(Sheet!Y$2:Y$7967,$A129)))</f>
        <v/>
      </c>
      <c r="T129" s="33" t="str">
        <f ca="1">IF($A129="","",IF(INDEX(Sheet!X$2:X$7967,$A129)="","",INDEX(Sheet!X$2:X$7967,$A129)))</f>
        <v/>
      </c>
      <c r="U129" s="33" t="str">
        <f ca="1">IF($A129="","",IF(INDEX(Sheet!AA$2:AA$7967,$A129)="","",INDEX(Sheet!AA$2:AA$7967,$A129)))</f>
        <v/>
      </c>
      <c r="V129" s="33" t="str">
        <f ca="1">IF($A129="","",IF(INDEX(Sheet!AB$2:AB$7967,$A129)="","",INDEX(Sheet!AB$2:AB$7967,$A129)))</f>
        <v/>
      </c>
      <c r="W129" s="33" t="str">
        <f ca="1">IF($A129="","",IF(INDEX(Sheet!AH$2:AH$7967,$A129)="","",INDEX(Sheet!AH$2:AH$7967,$A129)))</f>
        <v/>
      </c>
      <c r="X129" s="33" t="str">
        <f ca="1">IF($A129="","",IF(INDEX(Sheet!AC$2:AC$7967,$A129)="","",INDEX(Sheet!AC$2:AC$7967,$A129)))</f>
        <v/>
      </c>
      <c r="Y129" s="33" t="str">
        <f ca="1">IF($A129="","",IF(INDEX(Sheet!AD$2:AD$7967,$A129)="","",INDEX(Sheet!AD$2:AD$7967,$A129)))</f>
        <v/>
      </c>
      <c r="Z129" s="33" t="str">
        <f ca="1">IF($A129="","",IF(INDEX(Sheet!AL$2:AL$7967,$A129)="","",INDEX(Sheet!AL$2:AL$7967,$A129)))</f>
        <v/>
      </c>
      <c r="AA129" s="33" t="str">
        <f ca="1">IF($A129="","",IF(INDEX(Sheet!AE$2:AE$7967,$A129)="","",INDEX(Sheet!AE$2:AE$7967,$A129)))</f>
        <v/>
      </c>
      <c r="AB129" s="33" t="str">
        <f ca="1">IF($A129="","",IF(INDEX(Sheet!AF$2:AF$7967,$A129)="","",INDEX(Sheet!AF$2:AF$7967,$A129)))</f>
        <v/>
      </c>
      <c r="AC129" s="33" t="str">
        <f ca="1">IF($A129="","",IF(INDEX(Sheet!AG$2:AG$7967,$A129)="","",INDEX(Sheet!AG$2:AG$7967,$A129)))</f>
        <v/>
      </c>
      <c r="AD129" s="33" t="str">
        <f ca="1">IF($A129="","",IF(INDEX(Sheet!AM$2:AM$7967,$A129)="","",INDEX(Sheet!AM$2:AM$7967,$A129)))</f>
        <v/>
      </c>
      <c r="AE129" s="33" t="str">
        <f ca="1">IF($A129="","",IF(INDEX(Sheet!AJ$2:AJ$7967,$A129)="","",INDEX(Sheet!AJ$2:AJ$7967,$A129)))</f>
        <v/>
      </c>
      <c r="AF129" s="33" t="str">
        <f ca="1">IF($A129="","",IF(INDEX(Sheet!AI$2:AI$7967,$A129)="","",INDEX(Sheet!AI$2:AI$7967,$A129)))</f>
        <v/>
      </c>
      <c r="AG129" s="33" t="str">
        <f ca="1">IF(D129="duyệt sản xuất"," Bảo Bảo, Ngày "&amp;DAY($J$4)&amp;" Tháng "&amp;MONTH($J$4)&amp;" Năm "&amp;YEAR($J$4),IF(D129="Phê duyệt","NGƯỜI LẬP",IF(D129="Nguyễn Ngọc Thắng","NGUYỄN THỊ MAI",IF($A129="","",INDEX(Sheet!AK$2:AK$7967,$A129)))))</f>
        <v/>
      </c>
      <c r="AH129" s="58" t="str">
        <f ca="1">IF($A129="","",INDEX(Sheet!AR$2:AR$7967,$A129)&amp;" ; "&amp;INDEX(Sheet!M$2:M$7967,$A129))</f>
        <v/>
      </c>
      <c r="AI129" s="1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G129" s="35" t="str">
        <f ca="1">IFERROR(VALUE(separ(INDEX(Sheet!Q$2:Q$7967,$A129),"-",1)),"")</f>
        <v/>
      </c>
      <c r="BH129" s="35" t="str">
        <f ca="1">IFERROR(VALUE(separ(INDEX(Sheet!R$2:R$7967,$A129),"-",1)),"")</f>
        <v/>
      </c>
      <c r="BI129" s="35" t="str">
        <f ca="1">IFERROR(VALUE(separ(INDEX(Sheet!S$2:S$7967,$A129),"-",1)),"")</f>
        <v/>
      </c>
      <c r="BJ129" s="35" t="str">
        <f ca="1">IFERROR(VALUE(separ(INDEX(Sheet!T$2:T$7967,$A129),"-",1)),"")</f>
        <v/>
      </c>
      <c r="BK129" s="35" t="str">
        <f ca="1">IFERROR(VALUE(separ(INDEX(Sheet!U$2:U$7967,$A129),"-",1)),"")</f>
        <v/>
      </c>
      <c r="BL129" s="35" t="str">
        <f ca="1">IFERROR(VALUE(separ(INDEX(Sheet!V$2:V$7967,$A129),"-",1)),"")</f>
        <v/>
      </c>
      <c r="BM129" s="35" t="str">
        <f ca="1">IFERROR(VALUE(separ(INDEX(Sheet!W$2:W$7967,$A129),"-",1)),"")</f>
        <v/>
      </c>
      <c r="BN129" s="35" t="str">
        <f ca="1">IFERROR(VALUE(separ(INDEX(Sheet!X$2:X$7967,$A129),"-",1)),"")</f>
        <v/>
      </c>
      <c r="BO129" s="35" t="str">
        <f ca="1">IFERROR(VALUE(separ(INDEX(Sheet!Y$2:Y$7967,$A129),"-",1)),"")</f>
        <v/>
      </c>
      <c r="BP129" s="35" t="str">
        <f ca="1">IFERROR(VALUE(separ(INDEX(Sheet!Z$2:Z$7967,$A129),"-",1)),"")</f>
        <v/>
      </c>
      <c r="BQ129" s="35" t="str">
        <f ca="1">IFERROR(VALUE(separ(INDEX(Sheet!AA$2:AA$7967,$A129),"-",1)),"")</f>
        <v/>
      </c>
      <c r="BR129" s="35" t="str">
        <f ca="1">IFERROR(VALUE(separ(INDEX(Sheet!AB$2:AB$7967,$A129),"-",1)),"")</f>
        <v/>
      </c>
      <c r="BS129" s="35" t="str">
        <f ca="1">IFERROR(VALUE(separ(INDEX(Sheet!AC$2:AC$7967,$A129),"-",1)),"")</f>
        <v/>
      </c>
      <c r="BT129" s="35" t="str">
        <f ca="1">IFERROR(VALUE(separ(INDEX(Sheet!AD$2:AD$7967,$A129),"-",1)),"")</f>
        <v/>
      </c>
      <c r="BU129" s="35" t="str">
        <f ca="1">IFERROR(VALUE(separ(INDEX(Sheet!AE$2:AE$7967,$A129),"-",1)),"")</f>
        <v/>
      </c>
      <c r="BV129" s="35"/>
      <c r="BW129" s="35" t="str">
        <f ca="1">IFERROR((separ(INDEX(Sheet!Q$2:Q$7967,$A129),"-",2)),"")</f>
        <v/>
      </c>
      <c r="BX129" s="35" t="str">
        <f ca="1">IFERROR((separ(INDEX(Sheet!R$2:R$7967,$A129),"-",2)),"")</f>
        <v/>
      </c>
      <c r="BY129" s="35" t="str">
        <f ca="1">IFERROR((separ(INDEX(Sheet!S$2:S$7967,$A129),"-",2)),"")</f>
        <v/>
      </c>
      <c r="BZ129" s="35" t="str">
        <f ca="1">IFERROR((separ(INDEX(Sheet!T$2:T$7967,$A129),"-",2)),"")</f>
        <v/>
      </c>
      <c r="CA129" s="35" t="str">
        <f ca="1">IFERROR((separ(INDEX(Sheet!U$2:U$7967,$A129),"-",2)),"")</f>
        <v/>
      </c>
      <c r="CB129" s="35" t="str">
        <f ca="1">IFERROR((separ(INDEX(Sheet!V$2:V$7967,$A129),"-",2)),"")</f>
        <v/>
      </c>
      <c r="CC129" s="35" t="str">
        <f ca="1">IFERROR((separ(INDEX(Sheet!W$2:W$7967,$A129),"-",2)),"")</f>
        <v/>
      </c>
      <c r="CD129" s="35" t="str">
        <f ca="1">IFERROR((separ(INDEX(Sheet!X$2:X$7967,$A129),"-",2)),"")</f>
        <v/>
      </c>
      <c r="CE129" s="35" t="str">
        <f ca="1">IFERROR((separ(INDEX(Sheet!Y$2:Y$7967,$A129),"-",2)),"")</f>
        <v/>
      </c>
      <c r="CF129" s="35" t="str">
        <f ca="1">IFERROR((separ(INDEX(Sheet!Z$2:Z$7967,$A129),"-",2)),"")</f>
        <v/>
      </c>
      <c r="CG129" s="35" t="str">
        <f ca="1">IFERROR((separ(INDEX(Sheet!AA$2:AA$7967,$A129),"-",2)),"")</f>
        <v/>
      </c>
      <c r="CH129" s="35" t="str">
        <f ca="1">IFERROR((separ(INDEX(Sheet!AB$2:AB$7967,$A129),"-",2)),"")</f>
        <v/>
      </c>
      <c r="CI129" s="35" t="str">
        <f ca="1">IFERROR((separ(INDEX(Sheet!AC$2:AC$7967,$A129),"-",2)),"")</f>
        <v/>
      </c>
      <c r="CJ129" s="35" t="str">
        <f ca="1">IFERROR((separ(INDEX(Sheet!AD$2:AD$7967,$A129),"-",2)),"")</f>
        <v/>
      </c>
      <c r="CK129" s="35" t="str">
        <f ca="1">IFERROR((separ(INDEX(Sheet!AE$2:AE$7967,$A129),"-",2)),"")</f>
        <v/>
      </c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</row>
    <row r="130" spans="1:104" s="29" customFormat="1">
      <c r="A130" s="45" t="str">
        <f ca="1">IFERROR(MATCH($B$3,OFFSET(Sheet!$D$2,A129,0):'Sheet'!$D$7657,0)+A129,"")</f>
        <v/>
      </c>
      <c r="B130" s="29" t="str">
        <f ca="1">IF(ROW(A123)&lt;=COUNT($A$6:$A$800),INDEX(Sheet!$A$2:$A$7967,$A130),IF(ROW(A123)=COUNT($A$6:$A$800)+1," ",IF(ROW(A123)=COUNT($A$6:$A$800)+2,"  ","")))</f>
        <v/>
      </c>
      <c r="C130" s="67" t="str">
        <f ca="1">IF($A130="","",INDEX(Sheet!E$2:E$7967,$A130))</f>
        <v/>
      </c>
      <c r="D130" s="31" t="str">
        <f ca="1">IF(B127=" ",$AR$1,IF(B130=" ",$AQ$1,IF(A130="","",INDEX(Sheet!G$2:G$7967,$A130))))</f>
        <v/>
      </c>
      <c r="E130" s="32" t="str">
        <f ca="1">IF($A130="","",TEXT(INDEX(Sheet!J$2:J$7967,$A130),"#,#")&amp;" "&amp;INDEX(Sheet!AT$2:AT$7967,$A130))</f>
        <v/>
      </c>
      <c r="F130" s="53" t="str">
        <f ca="1">IF($A130="","",INDEX(Sheet!F$2:F$7967,$A130))</f>
        <v/>
      </c>
      <c r="G130" s="32" t="str">
        <f ca="1">IF($A130="","",INDEX(Sheet!I$2:I$7967,$A130))</f>
        <v/>
      </c>
      <c r="H130" s="32" t="str">
        <f ca="1">IF($A130="","",INDEX(Sheet!L$2:L$7967,$A130))</f>
        <v/>
      </c>
      <c r="I130" s="32" t="str">
        <f ca="1">IF($A130="","",INDEX(Sheet!N$2:N$7967,$A130))</f>
        <v/>
      </c>
      <c r="J130" s="53" t="str">
        <f ca="1">IF($A130="","",INDEX(Sheet!AS$2:AS$7967,$A130))</f>
        <v/>
      </c>
      <c r="K130" s="33" t="str">
        <f ca="1">IF($A130="","",IF(INDEX(Sheet!S$2:S$7967,$A130)="","",INDEX(Sheet!S$2:S$7967,$A130)))</f>
        <v/>
      </c>
      <c r="L130" s="33" t="str">
        <f ca="1">IF($A130="","",IF(INDEX(Sheet!R$2:R$7967,$A130)="","",INDEX(Sheet!R$2:R$7967,$A130)))</f>
        <v/>
      </c>
      <c r="M130" s="33" t="str">
        <f ca="1">IF($A130="","",IF(INDEX(Sheet!AO$2:AO$7967,$A130)="","",INDEX(Sheet!AO$2:AO$7967,$A130)))</f>
        <v/>
      </c>
      <c r="N130" s="33" t="str">
        <f ca="1">IF($A130="","",IF(INDEX(Sheet!T$2:T$7967,$A130)="","",INDEX(Sheet!T$2:T$7967,$A130)))</f>
        <v/>
      </c>
      <c r="O130" s="33" t="str">
        <f ca="1">IF($A130="","",IF(INDEX(Sheet!U$2:U$7967,$A130)="","",INDEX(Sheet!U$2:U$7967,$A130)))</f>
        <v/>
      </c>
      <c r="P130" s="33" t="str">
        <f ca="1">IF($A130="","",IF(INDEX(Sheet!W$2:W$7967,$A130)="","",INDEX(Sheet!W$2:W$7967,$A130)))</f>
        <v/>
      </c>
      <c r="Q130" s="33" t="str">
        <f ca="1">IF($A130="","",IF(INDEX(Sheet!V$2:V$7967,$A130)="","",INDEX(Sheet!V$2:V$7967,$A130)))</f>
        <v/>
      </c>
      <c r="R130" s="33" t="str">
        <f ca="1">IF($A130="","",IF(INDEX(Sheet!Z$2:Z$7967,$A130)="","",INDEX(Sheet!Z$2:Z$7967,$A130)))</f>
        <v/>
      </c>
      <c r="S130" s="33" t="str">
        <f ca="1">IF($A130="","",IF(INDEX(Sheet!Y$2:Y$7967,$A130)="","",INDEX(Sheet!Y$2:Y$7967,$A130)))</f>
        <v/>
      </c>
      <c r="T130" s="33" t="str">
        <f ca="1">IF($A130="","",IF(INDEX(Sheet!X$2:X$7967,$A130)="","",INDEX(Sheet!X$2:X$7967,$A130)))</f>
        <v/>
      </c>
      <c r="U130" s="33" t="str">
        <f ca="1">IF($A130="","",IF(INDEX(Sheet!AA$2:AA$7967,$A130)="","",INDEX(Sheet!AA$2:AA$7967,$A130)))</f>
        <v/>
      </c>
      <c r="V130" s="33" t="str">
        <f ca="1">IF($A130="","",IF(INDEX(Sheet!AB$2:AB$7967,$A130)="","",INDEX(Sheet!AB$2:AB$7967,$A130)))</f>
        <v/>
      </c>
      <c r="W130" s="33" t="str">
        <f ca="1">IF($A130="","",IF(INDEX(Sheet!AH$2:AH$7967,$A130)="","",INDEX(Sheet!AH$2:AH$7967,$A130)))</f>
        <v/>
      </c>
      <c r="X130" s="33" t="str">
        <f ca="1">IF($A130="","",IF(INDEX(Sheet!AC$2:AC$7967,$A130)="","",INDEX(Sheet!AC$2:AC$7967,$A130)))</f>
        <v/>
      </c>
      <c r="Y130" s="33" t="str">
        <f ca="1">IF($A130="","",IF(INDEX(Sheet!AD$2:AD$7967,$A130)="","",INDEX(Sheet!AD$2:AD$7967,$A130)))</f>
        <v/>
      </c>
      <c r="Z130" s="33" t="str">
        <f ca="1">IF($A130="","",IF(INDEX(Sheet!AL$2:AL$7967,$A130)="","",INDEX(Sheet!AL$2:AL$7967,$A130)))</f>
        <v/>
      </c>
      <c r="AA130" s="33" t="str">
        <f ca="1">IF($A130="","",IF(INDEX(Sheet!AE$2:AE$7967,$A130)="","",INDEX(Sheet!AE$2:AE$7967,$A130)))</f>
        <v/>
      </c>
      <c r="AB130" s="33" t="str">
        <f ca="1">IF($A130="","",IF(INDEX(Sheet!AF$2:AF$7967,$A130)="","",INDEX(Sheet!AF$2:AF$7967,$A130)))</f>
        <v/>
      </c>
      <c r="AC130" s="33" t="str">
        <f ca="1">IF($A130="","",IF(INDEX(Sheet!AG$2:AG$7967,$A130)="","",INDEX(Sheet!AG$2:AG$7967,$A130)))</f>
        <v/>
      </c>
      <c r="AD130" s="33" t="str">
        <f ca="1">IF($A130="","",IF(INDEX(Sheet!AM$2:AM$7967,$A130)="","",INDEX(Sheet!AM$2:AM$7967,$A130)))</f>
        <v/>
      </c>
      <c r="AE130" s="33" t="str">
        <f ca="1">IF($A130="","",IF(INDEX(Sheet!AJ$2:AJ$7967,$A130)="","",INDEX(Sheet!AJ$2:AJ$7967,$A130)))</f>
        <v/>
      </c>
      <c r="AF130" s="33" t="str">
        <f ca="1">IF($A130="","",IF(INDEX(Sheet!AI$2:AI$7967,$A130)="","",INDEX(Sheet!AI$2:AI$7967,$A130)))</f>
        <v/>
      </c>
      <c r="AG130" s="33" t="str">
        <f ca="1">IF(D130="duyệt sản xuất"," Bảo Bảo, Ngày "&amp;DAY($J$4)&amp;" Tháng "&amp;MONTH($J$4)&amp;" Năm "&amp;YEAR($J$4),IF(D130="Phê duyệt","NGƯỜI LẬP",IF(D130="Nguyễn Ngọc Thắng","NGUYỄN THỊ MAI",IF($A130="","",INDEX(Sheet!AK$2:AK$7967,$A130)))))</f>
        <v/>
      </c>
      <c r="AH130" s="58" t="str">
        <f ca="1">IF($A130="","",INDEX(Sheet!AR$2:AR$7967,$A130)&amp;" ; "&amp;INDEX(Sheet!M$2:M$7967,$A130))</f>
        <v/>
      </c>
      <c r="AI130" s="1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G130" s="35" t="str">
        <f ca="1">IFERROR(VALUE(separ(INDEX(Sheet!Q$2:Q$7967,$A130),"-",1)),"")</f>
        <v/>
      </c>
      <c r="BH130" s="35" t="str">
        <f ca="1">IFERROR(VALUE(separ(INDEX(Sheet!R$2:R$7967,$A130),"-",1)),"")</f>
        <v/>
      </c>
      <c r="BI130" s="35" t="str">
        <f ca="1">IFERROR(VALUE(separ(INDEX(Sheet!S$2:S$7967,$A130),"-",1)),"")</f>
        <v/>
      </c>
      <c r="BJ130" s="35" t="str">
        <f ca="1">IFERROR(VALUE(separ(INDEX(Sheet!T$2:T$7967,$A130),"-",1)),"")</f>
        <v/>
      </c>
      <c r="BK130" s="35" t="str">
        <f ca="1">IFERROR(VALUE(separ(INDEX(Sheet!U$2:U$7967,$A130),"-",1)),"")</f>
        <v/>
      </c>
      <c r="BL130" s="35" t="str">
        <f ca="1">IFERROR(VALUE(separ(INDEX(Sheet!V$2:V$7967,$A130),"-",1)),"")</f>
        <v/>
      </c>
      <c r="BM130" s="35" t="str">
        <f ca="1">IFERROR(VALUE(separ(INDEX(Sheet!W$2:W$7967,$A130),"-",1)),"")</f>
        <v/>
      </c>
      <c r="BN130" s="35" t="str">
        <f ca="1">IFERROR(VALUE(separ(INDEX(Sheet!X$2:X$7967,$A130),"-",1)),"")</f>
        <v/>
      </c>
      <c r="BO130" s="35" t="str">
        <f ca="1">IFERROR(VALUE(separ(INDEX(Sheet!Y$2:Y$7967,$A130),"-",1)),"")</f>
        <v/>
      </c>
      <c r="BP130" s="35" t="str">
        <f ca="1">IFERROR(VALUE(separ(INDEX(Sheet!Z$2:Z$7967,$A130),"-",1)),"")</f>
        <v/>
      </c>
      <c r="BQ130" s="35" t="str">
        <f ca="1">IFERROR(VALUE(separ(INDEX(Sheet!AA$2:AA$7967,$A130),"-",1)),"")</f>
        <v/>
      </c>
      <c r="BR130" s="35" t="str">
        <f ca="1">IFERROR(VALUE(separ(INDEX(Sheet!AB$2:AB$7967,$A130),"-",1)),"")</f>
        <v/>
      </c>
      <c r="BS130" s="35" t="str">
        <f ca="1">IFERROR(VALUE(separ(INDEX(Sheet!AC$2:AC$7967,$A130),"-",1)),"")</f>
        <v/>
      </c>
      <c r="BT130" s="35" t="str">
        <f ca="1">IFERROR(VALUE(separ(INDEX(Sheet!AD$2:AD$7967,$A130),"-",1)),"")</f>
        <v/>
      </c>
      <c r="BU130" s="35" t="str">
        <f ca="1">IFERROR(VALUE(separ(INDEX(Sheet!AE$2:AE$7967,$A130),"-",1)),"")</f>
        <v/>
      </c>
      <c r="BV130" s="35"/>
      <c r="BW130" s="35" t="str">
        <f ca="1">IFERROR((separ(INDEX(Sheet!Q$2:Q$7967,$A130),"-",2)),"")</f>
        <v/>
      </c>
      <c r="BX130" s="35" t="str">
        <f ca="1">IFERROR((separ(INDEX(Sheet!R$2:R$7967,$A130),"-",2)),"")</f>
        <v/>
      </c>
      <c r="BY130" s="35" t="str">
        <f ca="1">IFERROR((separ(INDEX(Sheet!S$2:S$7967,$A130),"-",2)),"")</f>
        <v/>
      </c>
      <c r="BZ130" s="35" t="str">
        <f ca="1">IFERROR((separ(INDEX(Sheet!T$2:T$7967,$A130),"-",2)),"")</f>
        <v/>
      </c>
      <c r="CA130" s="35" t="str">
        <f ca="1">IFERROR((separ(INDEX(Sheet!U$2:U$7967,$A130),"-",2)),"")</f>
        <v/>
      </c>
      <c r="CB130" s="35" t="str">
        <f ca="1">IFERROR((separ(INDEX(Sheet!V$2:V$7967,$A130),"-",2)),"")</f>
        <v/>
      </c>
      <c r="CC130" s="35" t="str">
        <f ca="1">IFERROR((separ(INDEX(Sheet!W$2:W$7967,$A130),"-",2)),"")</f>
        <v/>
      </c>
      <c r="CD130" s="35" t="str">
        <f ca="1">IFERROR((separ(INDEX(Sheet!X$2:X$7967,$A130),"-",2)),"")</f>
        <v/>
      </c>
      <c r="CE130" s="35" t="str">
        <f ca="1">IFERROR((separ(INDEX(Sheet!Y$2:Y$7967,$A130),"-",2)),"")</f>
        <v/>
      </c>
      <c r="CF130" s="35" t="str">
        <f ca="1">IFERROR((separ(INDEX(Sheet!Z$2:Z$7967,$A130),"-",2)),"")</f>
        <v/>
      </c>
      <c r="CG130" s="35" t="str">
        <f ca="1">IFERROR((separ(INDEX(Sheet!AA$2:AA$7967,$A130),"-",2)),"")</f>
        <v/>
      </c>
      <c r="CH130" s="35" t="str">
        <f ca="1">IFERROR((separ(INDEX(Sheet!AB$2:AB$7967,$A130),"-",2)),"")</f>
        <v/>
      </c>
      <c r="CI130" s="35" t="str">
        <f ca="1">IFERROR((separ(INDEX(Sheet!AC$2:AC$7967,$A130),"-",2)),"")</f>
        <v/>
      </c>
      <c r="CJ130" s="35" t="str">
        <f ca="1">IFERROR((separ(INDEX(Sheet!AD$2:AD$7967,$A130),"-",2)),"")</f>
        <v/>
      </c>
      <c r="CK130" s="35" t="str">
        <f ca="1">IFERROR((separ(INDEX(Sheet!AE$2:AE$7967,$A130),"-",2)),"")</f>
        <v/>
      </c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</row>
    <row r="131" spans="1:104" s="29" customFormat="1">
      <c r="A131" s="45" t="str">
        <f ca="1">IFERROR(MATCH($B$3,OFFSET(Sheet!$D$2,A130,0):'Sheet'!$D$7657,0)+A130,"")</f>
        <v/>
      </c>
      <c r="B131" s="29" t="str">
        <f ca="1">IF(ROW(A124)&lt;=COUNT($A$6:$A$800),INDEX(Sheet!$A$2:$A$7967,$A131),IF(ROW(A124)=COUNT($A$6:$A$800)+1," ",IF(ROW(A124)=COUNT($A$6:$A$800)+2,"  ","")))</f>
        <v/>
      </c>
      <c r="C131" s="67" t="str">
        <f ca="1">IF($A131="","",INDEX(Sheet!E$2:E$7967,$A131))</f>
        <v/>
      </c>
      <c r="D131" s="31" t="str">
        <f ca="1">IF(B128=" ",$AR$1,IF(B131=" ",$AQ$1,IF(A131="","",INDEX(Sheet!G$2:G$7967,$A131))))</f>
        <v/>
      </c>
      <c r="E131" s="32" t="str">
        <f ca="1">IF($A131="","",TEXT(INDEX(Sheet!J$2:J$7967,$A131),"#,#")&amp;" "&amp;INDEX(Sheet!AT$2:AT$7967,$A131))</f>
        <v/>
      </c>
      <c r="F131" s="53" t="str">
        <f ca="1">IF($A131="","",INDEX(Sheet!F$2:F$7967,$A131))</f>
        <v/>
      </c>
      <c r="G131" s="32" t="str">
        <f ca="1">IF($A131="","",INDEX(Sheet!I$2:I$7967,$A131))</f>
        <v/>
      </c>
      <c r="H131" s="32" t="str">
        <f ca="1">IF($A131="","",INDEX(Sheet!L$2:L$7967,$A131))</f>
        <v/>
      </c>
      <c r="I131" s="32" t="str">
        <f ca="1">IF($A131="","",INDEX(Sheet!N$2:N$7967,$A131))</f>
        <v/>
      </c>
      <c r="J131" s="53" t="str">
        <f ca="1">IF($A131="","",INDEX(Sheet!AS$2:AS$7967,$A131))</f>
        <v/>
      </c>
      <c r="K131" s="33" t="str">
        <f ca="1">IF($A131="","",IF(INDEX(Sheet!S$2:S$7967,$A131)="","",INDEX(Sheet!S$2:S$7967,$A131)))</f>
        <v/>
      </c>
      <c r="L131" s="33" t="str">
        <f ca="1">IF($A131="","",IF(INDEX(Sheet!R$2:R$7967,$A131)="","",INDEX(Sheet!R$2:R$7967,$A131)))</f>
        <v/>
      </c>
      <c r="M131" s="33" t="str">
        <f ca="1">IF($A131="","",IF(INDEX(Sheet!AO$2:AO$7967,$A131)="","",INDEX(Sheet!AO$2:AO$7967,$A131)))</f>
        <v/>
      </c>
      <c r="N131" s="33" t="str">
        <f ca="1">IF($A131="","",IF(INDEX(Sheet!T$2:T$7967,$A131)="","",INDEX(Sheet!T$2:T$7967,$A131)))</f>
        <v/>
      </c>
      <c r="O131" s="33" t="str">
        <f ca="1">IF($A131="","",IF(INDEX(Sheet!U$2:U$7967,$A131)="","",INDEX(Sheet!U$2:U$7967,$A131)))</f>
        <v/>
      </c>
      <c r="P131" s="33" t="str">
        <f ca="1">IF($A131="","",IF(INDEX(Sheet!W$2:W$7967,$A131)="","",INDEX(Sheet!W$2:W$7967,$A131)))</f>
        <v/>
      </c>
      <c r="Q131" s="33" t="str">
        <f ca="1">IF($A131="","",IF(INDEX(Sheet!V$2:V$7967,$A131)="","",INDEX(Sheet!V$2:V$7967,$A131)))</f>
        <v/>
      </c>
      <c r="R131" s="33" t="str">
        <f ca="1">IF($A131="","",IF(INDEX(Sheet!Z$2:Z$7967,$A131)="","",INDEX(Sheet!Z$2:Z$7967,$A131)))</f>
        <v/>
      </c>
      <c r="S131" s="33" t="str">
        <f ca="1">IF($A131="","",IF(INDEX(Sheet!Y$2:Y$7967,$A131)="","",INDEX(Sheet!Y$2:Y$7967,$A131)))</f>
        <v/>
      </c>
      <c r="T131" s="33" t="str">
        <f ca="1">IF($A131="","",IF(INDEX(Sheet!X$2:X$7967,$A131)="","",INDEX(Sheet!X$2:X$7967,$A131)))</f>
        <v/>
      </c>
      <c r="U131" s="33" t="str">
        <f ca="1">IF($A131="","",IF(INDEX(Sheet!AA$2:AA$7967,$A131)="","",INDEX(Sheet!AA$2:AA$7967,$A131)))</f>
        <v/>
      </c>
      <c r="V131" s="33" t="str">
        <f ca="1">IF($A131="","",IF(INDEX(Sheet!AB$2:AB$7967,$A131)="","",INDEX(Sheet!AB$2:AB$7967,$A131)))</f>
        <v/>
      </c>
      <c r="W131" s="33" t="str">
        <f ca="1">IF($A131="","",IF(INDEX(Sheet!AH$2:AH$7967,$A131)="","",INDEX(Sheet!AH$2:AH$7967,$A131)))</f>
        <v/>
      </c>
      <c r="X131" s="33" t="str">
        <f ca="1">IF($A131="","",IF(INDEX(Sheet!AC$2:AC$7967,$A131)="","",INDEX(Sheet!AC$2:AC$7967,$A131)))</f>
        <v/>
      </c>
      <c r="Y131" s="33" t="str">
        <f ca="1">IF($A131="","",IF(INDEX(Sheet!AD$2:AD$7967,$A131)="","",INDEX(Sheet!AD$2:AD$7967,$A131)))</f>
        <v/>
      </c>
      <c r="Z131" s="33" t="str">
        <f ca="1">IF($A131="","",IF(INDEX(Sheet!AL$2:AL$7967,$A131)="","",INDEX(Sheet!AL$2:AL$7967,$A131)))</f>
        <v/>
      </c>
      <c r="AA131" s="33" t="str">
        <f ca="1">IF($A131="","",IF(INDEX(Sheet!AE$2:AE$7967,$A131)="","",INDEX(Sheet!AE$2:AE$7967,$A131)))</f>
        <v/>
      </c>
      <c r="AB131" s="33" t="str">
        <f ca="1">IF($A131="","",IF(INDEX(Sheet!AF$2:AF$7967,$A131)="","",INDEX(Sheet!AF$2:AF$7967,$A131)))</f>
        <v/>
      </c>
      <c r="AC131" s="33" t="str">
        <f ca="1">IF($A131="","",IF(INDEX(Sheet!AG$2:AG$7967,$A131)="","",INDEX(Sheet!AG$2:AG$7967,$A131)))</f>
        <v/>
      </c>
      <c r="AD131" s="33" t="str">
        <f ca="1">IF($A131="","",IF(INDEX(Sheet!AM$2:AM$7967,$A131)="","",INDEX(Sheet!AM$2:AM$7967,$A131)))</f>
        <v/>
      </c>
      <c r="AE131" s="33" t="str">
        <f ca="1">IF($A131="","",IF(INDEX(Sheet!AJ$2:AJ$7967,$A131)="","",INDEX(Sheet!AJ$2:AJ$7967,$A131)))</f>
        <v/>
      </c>
      <c r="AF131" s="33" t="str">
        <f ca="1">IF($A131="","",IF(INDEX(Sheet!AI$2:AI$7967,$A131)="","",INDEX(Sheet!AI$2:AI$7967,$A131)))</f>
        <v/>
      </c>
      <c r="AG131" s="33" t="str">
        <f ca="1">IF(D131="duyệt sản xuất"," Bảo Bảo, Ngày "&amp;DAY($J$4)&amp;" Tháng "&amp;MONTH($J$4)&amp;" Năm "&amp;YEAR($J$4),IF(D131="Phê duyệt","NGƯỜI LẬP",IF(D131="Nguyễn Ngọc Thắng","NGUYỄN THỊ MAI",IF($A131="","",INDEX(Sheet!AK$2:AK$7967,$A131)))))</f>
        <v/>
      </c>
      <c r="AH131" s="58" t="str">
        <f ca="1">IF($A131="","",INDEX(Sheet!AR$2:AR$7967,$A131)&amp;" ; "&amp;INDEX(Sheet!M$2:M$7967,$A131))</f>
        <v/>
      </c>
      <c r="AI131" s="1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G131" s="35" t="str">
        <f ca="1">IFERROR(VALUE(separ(INDEX(Sheet!Q$2:Q$7967,$A131),"-",1)),"")</f>
        <v/>
      </c>
      <c r="BH131" s="35" t="str">
        <f ca="1">IFERROR(VALUE(separ(INDEX(Sheet!R$2:R$7967,$A131),"-",1)),"")</f>
        <v/>
      </c>
      <c r="BI131" s="35" t="str">
        <f ca="1">IFERROR(VALUE(separ(INDEX(Sheet!S$2:S$7967,$A131),"-",1)),"")</f>
        <v/>
      </c>
      <c r="BJ131" s="35" t="str">
        <f ca="1">IFERROR(VALUE(separ(INDEX(Sheet!T$2:T$7967,$A131),"-",1)),"")</f>
        <v/>
      </c>
      <c r="BK131" s="35" t="str">
        <f ca="1">IFERROR(VALUE(separ(INDEX(Sheet!U$2:U$7967,$A131),"-",1)),"")</f>
        <v/>
      </c>
      <c r="BL131" s="35" t="str">
        <f ca="1">IFERROR(VALUE(separ(INDEX(Sheet!V$2:V$7967,$A131),"-",1)),"")</f>
        <v/>
      </c>
      <c r="BM131" s="35" t="str">
        <f ca="1">IFERROR(VALUE(separ(INDEX(Sheet!W$2:W$7967,$A131),"-",1)),"")</f>
        <v/>
      </c>
      <c r="BN131" s="35" t="str">
        <f ca="1">IFERROR(VALUE(separ(INDEX(Sheet!X$2:X$7967,$A131),"-",1)),"")</f>
        <v/>
      </c>
      <c r="BO131" s="35" t="str">
        <f ca="1">IFERROR(VALUE(separ(INDEX(Sheet!Y$2:Y$7967,$A131),"-",1)),"")</f>
        <v/>
      </c>
      <c r="BP131" s="35" t="str">
        <f ca="1">IFERROR(VALUE(separ(INDEX(Sheet!Z$2:Z$7967,$A131),"-",1)),"")</f>
        <v/>
      </c>
      <c r="BQ131" s="35" t="str">
        <f ca="1">IFERROR(VALUE(separ(INDEX(Sheet!AA$2:AA$7967,$A131),"-",1)),"")</f>
        <v/>
      </c>
      <c r="BR131" s="35" t="str">
        <f ca="1">IFERROR(VALUE(separ(INDEX(Sheet!AB$2:AB$7967,$A131),"-",1)),"")</f>
        <v/>
      </c>
      <c r="BS131" s="35" t="str">
        <f ca="1">IFERROR(VALUE(separ(INDEX(Sheet!AC$2:AC$7967,$A131),"-",1)),"")</f>
        <v/>
      </c>
      <c r="BT131" s="35" t="str">
        <f ca="1">IFERROR(VALUE(separ(INDEX(Sheet!AD$2:AD$7967,$A131),"-",1)),"")</f>
        <v/>
      </c>
      <c r="BU131" s="35" t="str">
        <f ca="1">IFERROR(VALUE(separ(INDEX(Sheet!AE$2:AE$7967,$A131),"-",1)),"")</f>
        <v/>
      </c>
      <c r="BV131" s="35"/>
      <c r="BW131" s="35" t="str">
        <f ca="1">IFERROR((separ(INDEX(Sheet!Q$2:Q$7967,$A131),"-",2)),"")</f>
        <v/>
      </c>
      <c r="BX131" s="35" t="str">
        <f ca="1">IFERROR((separ(INDEX(Sheet!R$2:R$7967,$A131),"-",2)),"")</f>
        <v/>
      </c>
      <c r="BY131" s="35" t="str">
        <f ca="1">IFERROR((separ(INDEX(Sheet!S$2:S$7967,$A131),"-",2)),"")</f>
        <v/>
      </c>
      <c r="BZ131" s="35" t="str">
        <f ca="1">IFERROR((separ(INDEX(Sheet!T$2:T$7967,$A131),"-",2)),"")</f>
        <v/>
      </c>
      <c r="CA131" s="35" t="str">
        <f ca="1">IFERROR((separ(INDEX(Sheet!U$2:U$7967,$A131),"-",2)),"")</f>
        <v/>
      </c>
      <c r="CB131" s="35" t="str">
        <f ca="1">IFERROR((separ(INDEX(Sheet!V$2:V$7967,$A131),"-",2)),"")</f>
        <v/>
      </c>
      <c r="CC131" s="35" t="str">
        <f ca="1">IFERROR((separ(INDEX(Sheet!W$2:W$7967,$A131),"-",2)),"")</f>
        <v/>
      </c>
      <c r="CD131" s="35" t="str">
        <f ca="1">IFERROR((separ(INDEX(Sheet!X$2:X$7967,$A131),"-",2)),"")</f>
        <v/>
      </c>
      <c r="CE131" s="35" t="str">
        <f ca="1">IFERROR((separ(INDEX(Sheet!Y$2:Y$7967,$A131),"-",2)),"")</f>
        <v/>
      </c>
      <c r="CF131" s="35" t="str">
        <f ca="1">IFERROR((separ(INDEX(Sheet!Z$2:Z$7967,$A131),"-",2)),"")</f>
        <v/>
      </c>
      <c r="CG131" s="35" t="str">
        <f ca="1">IFERROR((separ(INDEX(Sheet!AA$2:AA$7967,$A131),"-",2)),"")</f>
        <v/>
      </c>
      <c r="CH131" s="35" t="str">
        <f ca="1">IFERROR((separ(INDEX(Sheet!AB$2:AB$7967,$A131),"-",2)),"")</f>
        <v/>
      </c>
      <c r="CI131" s="35" t="str">
        <f ca="1">IFERROR((separ(INDEX(Sheet!AC$2:AC$7967,$A131),"-",2)),"")</f>
        <v/>
      </c>
      <c r="CJ131" s="35" t="str">
        <f ca="1">IFERROR((separ(INDEX(Sheet!AD$2:AD$7967,$A131),"-",2)),"")</f>
        <v/>
      </c>
      <c r="CK131" s="35" t="str">
        <f ca="1">IFERROR((separ(INDEX(Sheet!AE$2:AE$7967,$A131),"-",2)),"")</f>
        <v/>
      </c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</row>
    <row r="132" spans="1:104" s="29" customFormat="1">
      <c r="A132" s="45" t="str">
        <f ca="1">IFERROR(MATCH($B$3,OFFSET(Sheet!$D$2,A131,0):'Sheet'!$D$7657,0)+A131,"")</f>
        <v/>
      </c>
      <c r="B132" s="29" t="str">
        <f ca="1">IF(ROW(A125)&lt;=COUNT($A$6:$A$800),INDEX(Sheet!$A$2:$A$7967,$A132),IF(ROW(A125)=COUNT($A$6:$A$800)+1," ",IF(ROW(A125)=COUNT($A$6:$A$800)+2,"  ","")))</f>
        <v/>
      </c>
      <c r="C132" s="67" t="str">
        <f ca="1">IF($A132="","",INDEX(Sheet!E$2:E$7967,$A132))</f>
        <v/>
      </c>
      <c r="D132" s="31" t="str">
        <f ca="1">IF(B129=" ",$AR$1,IF(B132=" ",$AQ$1,IF(A132="","",INDEX(Sheet!G$2:G$7967,$A132))))</f>
        <v/>
      </c>
      <c r="E132" s="32" t="str">
        <f ca="1">IF($A132="","",TEXT(INDEX(Sheet!J$2:J$7967,$A132),"#,#")&amp;" "&amp;INDEX(Sheet!AT$2:AT$7967,$A132))</f>
        <v/>
      </c>
      <c r="F132" s="53" t="str">
        <f ca="1">IF($A132="","",INDEX(Sheet!F$2:F$7967,$A132))</f>
        <v/>
      </c>
      <c r="G132" s="32" t="str">
        <f ca="1">IF($A132="","",INDEX(Sheet!I$2:I$7967,$A132))</f>
        <v/>
      </c>
      <c r="H132" s="32" t="str">
        <f ca="1">IF($A132="","",INDEX(Sheet!L$2:L$7967,$A132))</f>
        <v/>
      </c>
      <c r="I132" s="32" t="str">
        <f ca="1">IF($A132="","",INDEX(Sheet!N$2:N$7967,$A132))</f>
        <v/>
      </c>
      <c r="J132" s="53" t="str">
        <f ca="1">IF($A132="","",INDEX(Sheet!AS$2:AS$7967,$A132))</f>
        <v/>
      </c>
      <c r="K132" s="33" t="str">
        <f ca="1">IF($A132="","",IF(INDEX(Sheet!S$2:S$7967,$A132)="","",INDEX(Sheet!S$2:S$7967,$A132)))</f>
        <v/>
      </c>
      <c r="L132" s="33" t="str">
        <f ca="1">IF($A132="","",IF(INDEX(Sheet!R$2:R$7967,$A132)="","",INDEX(Sheet!R$2:R$7967,$A132)))</f>
        <v/>
      </c>
      <c r="M132" s="33" t="str">
        <f ca="1">IF($A132="","",IF(INDEX(Sheet!AO$2:AO$7967,$A132)="","",INDEX(Sheet!AO$2:AO$7967,$A132)))</f>
        <v/>
      </c>
      <c r="N132" s="33" t="str">
        <f ca="1">IF($A132="","",IF(INDEX(Sheet!T$2:T$7967,$A132)="","",INDEX(Sheet!T$2:T$7967,$A132)))</f>
        <v/>
      </c>
      <c r="O132" s="33" t="str">
        <f ca="1">IF($A132="","",IF(INDEX(Sheet!U$2:U$7967,$A132)="","",INDEX(Sheet!U$2:U$7967,$A132)))</f>
        <v/>
      </c>
      <c r="P132" s="33" t="str">
        <f ca="1">IF($A132="","",IF(INDEX(Sheet!W$2:W$7967,$A132)="","",INDEX(Sheet!W$2:W$7967,$A132)))</f>
        <v/>
      </c>
      <c r="Q132" s="33" t="str">
        <f ca="1">IF($A132="","",IF(INDEX(Sheet!V$2:V$7967,$A132)="","",INDEX(Sheet!V$2:V$7967,$A132)))</f>
        <v/>
      </c>
      <c r="R132" s="33" t="str">
        <f ca="1">IF($A132="","",IF(INDEX(Sheet!Z$2:Z$7967,$A132)="","",INDEX(Sheet!Z$2:Z$7967,$A132)))</f>
        <v/>
      </c>
      <c r="S132" s="33" t="str">
        <f ca="1">IF($A132="","",IF(INDEX(Sheet!Y$2:Y$7967,$A132)="","",INDEX(Sheet!Y$2:Y$7967,$A132)))</f>
        <v/>
      </c>
      <c r="T132" s="33" t="str">
        <f ca="1">IF($A132="","",IF(INDEX(Sheet!X$2:X$7967,$A132)="","",INDEX(Sheet!X$2:X$7967,$A132)))</f>
        <v/>
      </c>
      <c r="U132" s="33" t="str">
        <f ca="1">IF($A132="","",IF(INDEX(Sheet!AA$2:AA$7967,$A132)="","",INDEX(Sheet!AA$2:AA$7967,$A132)))</f>
        <v/>
      </c>
      <c r="V132" s="33" t="str">
        <f ca="1">IF($A132="","",IF(INDEX(Sheet!AB$2:AB$7967,$A132)="","",INDEX(Sheet!AB$2:AB$7967,$A132)))</f>
        <v/>
      </c>
      <c r="W132" s="33" t="str">
        <f ca="1">IF($A132="","",IF(INDEX(Sheet!AH$2:AH$7967,$A132)="","",INDEX(Sheet!AH$2:AH$7967,$A132)))</f>
        <v/>
      </c>
      <c r="X132" s="33" t="str">
        <f ca="1">IF($A132="","",IF(INDEX(Sheet!AC$2:AC$7967,$A132)="","",INDEX(Sheet!AC$2:AC$7967,$A132)))</f>
        <v/>
      </c>
      <c r="Y132" s="33" t="str">
        <f ca="1">IF($A132="","",IF(INDEX(Sheet!AD$2:AD$7967,$A132)="","",INDEX(Sheet!AD$2:AD$7967,$A132)))</f>
        <v/>
      </c>
      <c r="Z132" s="33" t="str">
        <f ca="1">IF($A132="","",IF(INDEX(Sheet!AL$2:AL$7967,$A132)="","",INDEX(Sheet!AL$2:AL$7967,$A132)))</f>
        <v/>
      </c>
      <c r="AA132" s="33" t="str">
        <f ca="1">IF($A132="","",IF(INDEX(Sheet!AE$2:AE$7967,$A132)="","",INDEX(Sheet!AE$2:AE$7967,$A132)))</f>
        <v/>
      </c>
      <c r="AB132" s="33" t="str">
        <f ca="1">IF($A132="","",IF(INDEX(Sheet!AF$2:AF$7967,$A132)="","",INDEX(Sheet!AF$2:AF$7967,$A132)))</f>
        <v/>
      </c>
      <c r="AC132" s="33" t="str">
        <f ca="1">IF($A132="","",IF(INDEX(Sheet!AG$2:AG$7967,$A132)="","",INDEX(Sheet!AG$2:AG$7967,$A132)))</f>
        <v/>
      </c>
      <c r="AD132" s="33" t="str">
        <f ca="1">IF($A132="","",IF(INDEX(Sheet!AM$2:AM$7967,$A132)="","",INDEX(Sheet!AM$2:AM$7967,$A132)))</f>
        <v/>
      </c>
      <c r="AE132" s="33" t="str">
        <f ca="1">IF($A132="","",IF(INDEX(Sheet!AJ$2:AJ$7967,$A132)="","",INDEX(Sheet!AJ$2:AJ$7967,$A132)))</f>
        <v/>
      </c>
      <c r="AF132" s="33" t="str">
        <f ca="1">IF($A132="","",IF(INDEX(Sheet!AI$2:AI$7967,$A132)="","",INDEX(Sheet!AI$2:AI$7967,$A132)))</f>
        <v/>
      </c>
      <c r="AG132" s="33" t="str">
        <f ca="1">IF(D132="duyệt sản xuất"," Bảo Bảo, Ngày "&amp;DAY($J$4)&amp;" Tháng "&amp;MONTH($J$4)&amp;" Năm "&amp;YEAR($J$4),IF(D132="Phê duyệt","NGƯỜI LẬP",IF(D132="Nguyễn Ngọc Thắng","NGUYỄN THỊ MAI",IF($A132="","",INDEX(Sheet!AK$2:AK$7967,$A132)))))</f>
        <v/>
      </c>
      <c r="AH132" s="58" t="str">
        <f ca="1">IF($A132="","",INDEX(Sheet!AR$2:AR$7967,$A132)&amp;" ; "&amp;INDEX(Sheet!M$2:M$7967,$A132))</f>
        <v/>
      </c>
      <c r="AI132" s="1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G132" s="35" t="str">
        <f ca="1">IFERROR(VALUE(separ(INDEX(Sheet!Q$2:Q$7967,$A132),"-",1)),"")</f>
        <v/>
      </c>
      <c r="BH132" s="35" t="str">
        <f ca="1">IFERROR(VALUE(separ(INDEX(Sheet!R$2:R$7967,$A132),"-",1)),"")</f>
        <v/>
      </c>
      <c r="BI132" s="35" t="str">
        <f ca="1">IFERROR(VALUE(separ(INDEX(Sheet!S$2:S$7967,$A132),"-",1)),"")</f>
        <v/>
      </c>
      <c r="BJ132" s="35" t="str">
        <f ca="1">IFERROR(VALUE(separ(INDEX(Sheet!T$2:T$7967,$A132),"-",1)),"")</f>
        <v/>
      </c>
      <c r="BK132" s="35" t="str">
        <f ca="1">IFERROR(VALUE(separ(INDEX(Sheet!U$2:U$7967,$A132),"-",1)),"")</f>
        <v/>
      </c>
      <c r="BL132" s="35" t="str">
        <f ca="1">IFERROR(VALUE(separ(INDEX(Sheet!V$2:V$7967,$A132),"-",1)),"")</f>
        <v/>
      </c>
      <c r="BM132" s="35" t="str">
        <f ca="1">IFERROR(VALUE(separ(INDEX(Sheet!W$2:W$7967,$A132),"-",1)),"")</f>
        <v/>
      </c>
      <c r="BN132" s="35" t="str">
        <f ca="1">IFERROR(VALUE(separ(INDEX(Sheet!X$2:X$7967,$A132),"-",1)),"")</f>
        <v/>
      </c>
      <c r="BO132" s="35" t="str">
        <f ca="1">IFERROR(VALUE(separ(INDEX(Sheet!Y$2:Y$7967,$A132),"-",1)),"")</f>
        <v/>
      </c>
      <c r="BP132" s="35" t="str">
        <f ca="1">IFERROR(VALUE(separ(INDEX(Sheet!Z$2:Z$7967,$A132),"-",1)),"")</f>
        <v/>
      </c>
      <c r="BQ132" s="35" t="str">
        <f ca="1">IFERROR(VALUE(separ(INDEX(Sheet!AA$2:AA$7967,$A132),"-",1)),"")</f>
        <v/>
      </c>
      <c r="BR132" s="35" t="str">
        <f ca="1">IFERROR(VALUE(separ(INDEX(Sheet!AB$2:AB$7967,$A132),"-",1)),"")</f>
        <v/>
      </c>
      <c r="BS132" s="35" t="str">
        <f ca="1">IFERROR(VALUE(separ(INDEX(Sheet!AC$2:AC$7967,$A132),"-",1)),"")</f>
        <v/>
      </c>
      <c r="BT132" s="35" t="str">
        <f ca="1">IFERROR(VALUE(separ(INDEX(Sheet!AD$2:AD$7967,$A132),"-",1)),"")</f>
        <v/>
      </c>
      <c r="BU132" s="35" t="str">
        <f ca="1">IFERROR(VALUE(separ(INDEX(Sheet!AE$2:AE$7967,$A132),"-",1)),"")</f>
        <v/>
      </c>
      <c r="BV132" s="35"/>
      <c r="BW132" s="35" t="str">
        <f ca="1">IFERROR((separ(INDEX(Sheet!Q$2:Q$7967,$A132),"-",2)),"")</f>
        <v/>
      </c>
      <c r="BX132" s="35" t="str">
        <f ca="1">IFERROR((separ(INDEX(Sheet!R$2:R$7967,$A132),"-",2)),"")</f>
        <v/>
      </c>
      <c r="BY132" s="35" t="str">
        <f ca="1">IFERROR((separ(INDEX(Sheet!S$2:S$7967,$A132),"-",2)),"")</f>
        <v/>
      </c>
      <c r="BZ132" s="35" t="str">
        <f ca="1">IFERROR((separ(INDEX(Sheet!T$2:T$7967,$A132),"-",2)),"")</f>
        <v/>
      </c>
      <c r="CA132" s="35" t="str">
        <f ca="1">IFERROR((separ(INDEX(Sheet!U$2:U$7967,$A132),"-",2)),"")</f>
        <v/>
      </c>
      <c r="CB132" s="35" t="str">
        <f ca="1">IFERROR((separ(INDEX(Sheet!V$2:V$7967,$A132),"-",2)),"")</f>
        <v/>
      </c>
      <c r="CC132" s="35" t="str">
        <f ca="1">IFERROR((separ(INDEX(Sheet!W$2:W$7967,$A132),"-",2)),"")</f>
        <v/>
      </c>
      <c r="CD132" s="35" t="str">
        <f ca="1">IFERROR((separ(INDEX(Sheet!X$2:X$7967,$A132),"-",2)),"")</f>
        <v/>
      </c>
      <c r="CE132" s="35" t="str">
        <f ca="1">IFERROR((separ(INDEX(Sheet!Y$2:Y$7967,$A132),"-",2)),"")</f>
        <v/>
      </c>
      <c r="CF132" s="35" t="str">
        <f ca="1">IFERROR((separ(INDEX(Sheet!Z$2:Z$7967,$A132),"-",2)),"")</f>
        <v/>
      </c>
      <c r="CG132" s="35" t="str">
        <f ca="1">IFERROR((separ(INDEX(Sheet!AA$2:AA$7967,$A132),"-",2)),"")</f>
        <v/>
      </c>
      <c r="CH132" s="35" t="str">
        <f ca="1">IFERROR((separ(INDEX(Sheet!AB$2:AB$7967,$A132),"-",2)),"")</f>
        <v/>
      </c>
      <c r="CI132" s="35" t="str">
        <f ca="1">IFERROR((separ(INDEX(Sheet!AC$2:AC$7967,$A132),"-",2)),"")</f>
        <v/>
      </c>
      <c r="CJ132" s="35" t="str">
        <f ca="1">IFERROR((separ(INDEX(Sheet!AD$2:AD$7967,$A132),"-",2)),"")</f>
        <v/>
      </c>
      <c r="CK132" s="35" t="str">
        <f ca="1">IFERROR((separ(INDEX(Sheet!AE$2:AE$7967,$A132),"-",2)),"")</f>
        <v/>
      </c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</row>
    <row r="133" spans="1:104" s="29" customFormat="1">
      <c r="A133" s="45" t="str">
        <f ca="1">IFERROR(MATCH($B$3,OFFSET(Sheet!$D$2,A132,0):'Sheet'!$D$7657,0)+A132,"")</f>
        <v/>
      </c>
      <c r="B133" s="29" t="str">
        <f ca="1">IF(ROW(A126)&lt;=COUNT($A$6:$A$800),INDEX(Sheet!$A$2:$A$7967,$A133),IF(ROW(A126)=COUNT($A$6:$A$800)+1," ",IF(ROW(A126)=COUNT($A$6:$A$800)+2,"  ","")))</f>
        <v/>
      </c>
      <c r="C133" s="67" t="str">
        <f ca="1">IF($A133="","",INDEX(Sheet!E$2:E$7967,$A133))</f>
        <v/>
      </c>
      <c r="D133" s="31" t="str">
        <f ca="1">IF(B130=" ",$AR$1,IF(B133=" ",$AQ$1,IF(A133="","",INDEX(Sheet!G$2:G$7967,$A133))))</f>
        <v/>
      </c>
      <c r="E133" s="32" t="str">
        <f ca="1">IF($A133="","",TEXT(INDEX(Sheet!J$2:J$7967,$A133),"#,#")&amp;" "&amp;INDEX(Sheet!AT$2:AT$7967,$A133))</f>
        <v/>
      </c>
      <c r="F133" s="53" t="str">
        <f ca="1">IF($A133="","",INDEX(Sheet!F$2:F$7967,$A133))</f>
        <v/>
      </c>
      <c r="G133" s="32" t="str">
        <f ca="1">IF($A133="","",INDEX(Sheet!I$2:I$7967,$A133))</f>
        <v/>
      </c>
      <c r="H133" s="32" t="str">
        <f ca="1">IF($A133="","",INDEX(Sheet!L$2:L$7967,$A133))</f>
        <v/>
      </c>
      <c r="I133" s="32" t="str">
        <f ca="1">IF($A133="","",INDEX(Sheet!N$2:N$7967,$A133))</f>
        <v/>
      </c>
      <c r="J133" s="53" t="str">
        <f ca="1">IF($A133="","",INDEX(Sheet!AS$2:AS$7967,$A133))</f>
        <v/>
      </c>
      <c r="K133" s="33" t="str">
        <f ca="1">IF($A133="","",IF(INDEX(Sheet!S$2:S$7967,$A133)="","",INDEX(Sheet!S$2:S$7967,$A133)))</f>
        <v/>
      </c>
      <c r="L133" s="33" t="str">
        <f ca="1">IF($A133="","",IF(INDEX(Sheet!R$2:R$7967,$A133)="","",INDEX(Sheet!R$2:R$7967,$A133)))</f>
        <v/>
      </c>
      <c r="M133" s="33" t="str">
        <f ca="1">IF($A133="","",IF(INDEX(Sheet!AO$2:AO$7967,$A133)="","",INDEX(Sheet!AO$2:AO$7967,$A133)))</f>
        <v/>
      </c>
      <c r="N133" s="33" t="str">
        <f ca="1">IF($A133="","",IF(INDEX(Sheet!T$2:T$7967,$A133)="","",INDEX(Sheet!T$2:T$7967,$A133)))</f>
        <v/>
      </c>
      <c r="O133" s="33" t="str">
        <f ca="1">IF($A133="","",IF(INDEX(Sheet!U$2:U$7967,$A133)="","",INDEX(Sheet!U$2:U$7967,$A133)))</f>
        <v/>
      </c>
      <c r="P133" s="33" t="str">
        <f ca="1">IF($A133="","",IF(INDEX(Sheet!W$2:W$7967,$A133)="","",INDEX(Sheet!W$2:W$7967,$A133)))</f>
        <v/>
      </c>
      <c r="Q133" s="33" t="str">
        <f ca="1">IF($A133="","",IF(INDEX(Sheet!V$2:V$7967,$A133)="","",INDEX(Sheet!V$2:V$7967,$A133)))</f>
        <v/>
      </c>
      <c r="R133" s="33" t="str">
        <f ca="1">IF($A133="","",IF(INDEX(Sheet!Z$2:Z$7967,$A133)="","",INDEX(Sheet!Z$2:Z$7967,$A133)))</f>
        <v/>
      </c>
      <c r="S133" s="33" t="str">
        <f ca="1">IF($A133="","",IF(INDEX(Sheet!Y$2:Y$7967,$A133)="","",INDEX(Sheet!Y$2:Y$7967,$A133)))</f>
        <v/>
      </c>
      <c r="T133" s="33" t="str">
        <f ca="1">IF($A133="","",IF(INDEX(Sheet!X$2:X$7967,$A133)="","",INDEX(Sheet!X$2:X$7967,$A133)))</f>
        <v/>
      </c>
      <c r="U133" s="33" t="str">
        <f ca="1">IF($A133="","",IF(INDEX(Sheet!AA$2:AA$7967,$A133)="","",INDEX(Sheet!AA$2:AA$7967,$A133)))</f>
        <v/>
      </c>
      <c r="V133" s="33" t="str">
        <f ca="1">IF($A133="","",IF(INDEX(Sheet!AB$2:AB$7967,$A133)="","",INDEX(Sheet!AB$2:AB$7967,$A133)))</f>
        <v/>
      </c>
      <c r="W133" s="33" t="str">
        <f ca="1">IF($A133="","",IF(INDEX(Sheet!AH$2:AH$7967,$A133)="","",INDEX(Sheet!AH$2:AH$7967,$A133)))</f>
        <v/>
      </c>
      <c r="X133" s="33" t="str">
        <f ca="1">IF($A133="","",IF(INDEX(Sheet!AC$2:AC$7967,$A133)="","",INDEX(Sheet!AC$2:AC$7967,$A133)))</f>
        <v/>
      </c>
      <c r="Y133" s="33" t="str">
        <f ca="1">IF($A133="","",IF(INDEX(Sheet!AD$2:AD$7967,$A133)="","",INDEX(Sheet!AD$2:AD$7967,$A133)))</f>
        <v/>
      </c>
      <c r="Z133" s="33" t="str">
        <f ca="1">IF($A133="","",IF(INDEX(Sheet!AL$2:AL$7967,$A133)="","",INDEX(Sheet!AL$2:AL$7967,$A133)))</f>
        <v/>
      </c>
      <c r="AA133" s="33" t="str">
        <f ca="1">IF($A133="","",IF(INDEX(Sheet!AE$2:AE$7967,$A133)="","",INDEX(Sheet!AE$2:AE$7967,$A133)))</f>
        <v/>
      </c>
      <c r="AB133" s="33" t="str">
        <f ca="1">IF($A133="","",IF(INDEX(Sheet!AF$2:AF$7967,$A133)="","",INDEX(Sheet!AF$2:AF$7967,$A133)))</f>
        <v/>
      </c>
      <c r="AC133" s="33" t="str">
        <f ca="1">IF($A133="","",IF(INDEX(Sheet!AG$2:AG$7967,$A133)="","",INDEX(Sheet!AG$2:AG$7967,$A133)))</f>
        <v/>
      </c>
      <c r="AD133" s="33" t="str">
        <f ca="1">IF($A133="","",IF(INDEX(Sheet!AM$2:AM$7967,$A133)="","",INDEX(Sheet!AM$2:AM$7967,$A133)))</f>
        <v/>
      </c>
      <c r="AE133" s="33" t="str">
        <f ca="1">IF($A133="","",IF(INDEX(Sheet!AJ$2:AJ$7967,$A133)="","",INDEX(Sheet!AJ$2:AJ$7967,$A133)))</f>
        <v/>
      </c>
      <c r="AF133" s="33" t="str">
        <f ca="1">IF($A133="","",IF(INDEX(Sheet!AI$2:AI$7967,$A133)="","",INDEX(Sheet!AI$2:AI$7967,$A133)))</f>
        <v/>
      </c>
      <c r="AG133" s="33" t="str">
        <f ca="1">IF(D133="duyệt sản xuất"," Bảo Bảo, Ngày "&amp;DAY($J$4)&amp;" Tháng "&amp;MONTH($J$4)&amp;" Năm "&amp;YEAR($J$4),IF(D133="Phê duyệt","NGƯỜI LẬP",IF(D133="Nguyễn Ngọc Thắng","NGUYỄN THỊ MAI",IF($A133="","",INDEX(Sheet!AK$2:AK$7967,$A133)))))</f>
        <v/>
      </c>
      <c r="AH133" s="58" t="str">
        <f ca="1">IF($A133="","",INDEX(Sheet!AR$2:AR$7967,$A133)&amp;" ; "&amp;INDEX(Sheet!M$2:M$7967,$A133))</f>
        <v/>
      </c>
      <c r="AI133" s="1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G133" s="35" t="str">
        <f ca="1">IFERROR(VALUE(separ(INDEX(Sheet!Q$2:Q$7967,$A133),"-",1)),"")</f>
        <v/>
      </c>
      <c r="BH133" s="35" t="str">
        <f ca="1">IFERROR(VALUE(separ(INDEX(Sheet!R$2:R$7967,$A133),"-",1)),"")</f>
        <v/>
      </c>
      <c r="BI133" s="35" t="str">
        <f ca="1">IFERROR(VALUE(separ(INDEX(Sheet!S$2:S$7967,$A133),"-",1)),"")</f>
        <v/>
      </c>
      <c r="BJ133" s="35" t="str">
        <f ca="1">IFERROR(VALUE(separ(INDEX(Sheet!T$2:T$7967,$A133),"-",1)),"")</f>
        <v/>
      </c>
      <c r="BK133" s="35" t="str">
        <f ca="1">IFERROR(VALUE(separ(INDEX(Sheet!U$2:U$7967,$A133),"-",1)),"")</f>
        <v/>
      </c>
      <c r="BL133" s="35" t="str">
        <f ca="1">IFERROR(VALUE(separ(INDEX(Sheet!V$2:V$7967,$A133),"-",1)),"")</f>
        <v/>
      </c>
      <c r="BM133" s="35" t="str">
        <f ca="1">IFERROR(VALUE(separ(INDEX(Sheet!W$2:W$7967,$A133),"-",1)),"")</f>
        <v/>
      </c>
      <c r="BN133" s="35" t="str">
        <f ca="1">IFERROR(VALUE(separ(INDEX(Sheet!X$2:X$7967,$A133),"-",1)),"")</f>
        <v/>
      </c>
      <c r="BO133" s="35" t="str">
        <f ca="1">IFERROR(VALUE(separ(INDEX(Sheet!Y$2:Y$7967,$A133),"-",1)),"")</f>
        <v/>
      </c>
      <c r="BP133" s="35" t="str">
        <f ca="1">IFERROR(VALUE(separ(INDEX(Sheet!Z$2:Z$7967,$A133),"-",1)),"")</f>
        <v/>
      </c>
      <c r="BQ133" s="35" t="str">
        <f ca="1">IFERROR(VALUE(separ(INDEX(Sheet!AA$2:AA$7967,$A133),"-",1)),"")</f>
        <v/>
      </c>
      <c r="BR133" s="35" t="str">
        <f ca="1">IFERROR(VALUE(separ(INDEX(Sheet!AB$2:AB$7967,$A133),"-",1)),"")</f>
        <v/>
      </c>
      <c r="BS133" s="35" t="str">
        <f ca="1">IFERROR(VALUE(separ(INDEX(Sheet!AC$2:AC$7967,$A133),"-",1)),"")</f>
        <v/>
      </c>
      <c r="BT133" s="35" t="str">
        <f ca="1">IFERROR(VALUE(separ(INDEX(Sheet!AD$2:AD$7967,$A133),"-",1)),"")</f>
        <v/>
      </c>
      <c r="BU133" s="35" t="str">
        <f ca="1">IFERROR(VALUE(separ(INDEX(Sheet!AE$2:AE$7967,$A133),"-",1)),"")</f>
        <v/>
      </c>
      <c r="BV133" s="35"/>
      <c r="BW133" s="35" t="str">
        <f ca="1">IFERROR((separ(INDEX(Sheet!Q$2:Q$7967,$A133),"-",2)),"")</f>
        <v/>
      </c>
      <c r="BX133" s="35" t="str">
        <f ca="1">IFERROR((separ(INDEX(Sheet!R$2:R$7967,$A133),"-",2)),"")</f>
        <v/>
      </c>
      <c r="BY133" s="35" t="str">
        <f ca="1">IFERROR((separ(INDEX(Sheet!S$2:S$7967,$A133),"-",2)),"")</f>
        <v/>
      </c>
      <c r="BZ133" s="35" t="str">
        <f ca="1">IFERROR((separ(INDEX(Sheet!T$2:T$7967,$A133),"-",2)),"")</f>
        <v/>
      </c>
      <c r="CA133" s="35" t="str">
        <f ca="1">IFERROR((separ(INDEX(Sheet!U$2:U$7967,$A133),"-",2)),"")</f>
        <v/>
      </c>
      <c r="CB133" s="35" t="str">
        <f ca="1">IFERROR((separ(INDEX(Sheet!V$2:V$7967,$A133),"-",2)),"")</f>
        <v/>
      </c>
      <c r="CC133" s="35" t="str">
        <f ca="1">IFERROR((separ(INDEX(Sheet!W$2:W$7967,$A133),"-",2)),"")</f>
        <v/>
      </c>
      <c r="CD133" s="35" t="str">
        <f ca="1">IFERROR((separ(INDEX(Sheet!X$2:X$7967,$A133),"-",2)),"")</f>
        <v/>
      </c>
      <c r="CE133" s="35" t="str">
        <f ca="1">IFERROR((separ(INDEX(Sheet!Y$2:Y$7967,$A133),"-",2)),"")</f>
        <v/>
      </c>
      <c r="CF133" s="35" t="str">
        <f ca="1">IFERROR((separ(INDEX(Sheet!Z$2:Z$7967,$A133),"-",2)),"")</f>
        <v/>
      </c>
      <c r="CG133" s="35" t="str">
        <f ca="1">IFERROR((separ(INDEX(Sheet!AA$2:AA$7967,$A133),"-",2)),"")</f>
        <v/>
      </c>
      <c r="CH133" s="35" t="str">
        <f ca="1">IFERROR((separ(INDEX(Sheet!AB$2:AB$7967,$A133),"-",2)),"")</f>
        <v/>
      </c>
      <c r="CI133" s="35" t="str">
        <f ca="1">IFERROR((separ(INDEX(Sheet!AC$2:AC$7967,$A133),"-",2)),"")</f>
        <v/>
      </c>
      <c r="CJ133" s="35" t="str">
        <f ca="1">IFERROR((separ(INDEX(Sheet!AD$2:AD$7967,$A133),"-",2)),"")</f>
        <v/>
      </c>
      <c r="CK133" s="35" t="str">
        <f ca="1">IFERROR((separ(INDEX(Sheet!AE$2:AE$7967,$A133),"-",2)),"")</f>
        <v/>
      </c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</row>
    <row r="134" spans="1:104" s="29" customFormat="1">
      <c r="A134" s="45" t="str">
        <f ca="1">IFERROR(MATCH($B$3,OFFSET(Sheet!$D$2,A133,0):'Sheet'!$D$7657,0)+A133,"")</f>
        <v/>
      </c>
      <c r="B134" s="29" t="str">
        <f ca="1">IF(ROW(A127)&lt;=COUNT($A$6:$A$800),INDEX(Sheet!$A$2:$A$7967,$A134),IF(ROW(A127)=COUNT($A$6:$A$800)+1," ",IF(ROW(A127)=COUNT($A$6:$A$800)+2,"  ","")))</f>
        <v/>
      </c>
      <c r="C134" s="67" t="str">
        <f ca="1">IF($A134="","",INDEX(Sheet!E$2:E$7967,$A134))</f>
        <v/>
      </c>
      <c r="D134" s="31" t="str">
        <f ca="1">IF(B131=" ",$AR$1,IF(B134=" ",$AQ$1,IF(A134="","",INDEX(Sheet!G$2:G$7967,$A134))))</f>
        <v/>
      </c>
      <c r="E134" s="32" t="str">
        <f ca="1">IF($A134="","",TEXT(INDEX(Sheet!J$2:J$7967,$A134),"#,#")&amp;" "&amp;INDEX(Sheet!AT$2:AT$7967,$A134))</f>
        <v/>
      </c>
      <c r="F134" s="53" t="str">
        <f ca="1">IF($A134="","",INDEX(Sheet!F$2:F$7967,$A134))</f>
        <v/>
      </c>
      <c r="G134" s="32" t="str">
        <f ca="1">IF($A134="","",INDEX(Sheet!I$2:I$7967,$A134))</f>
        <v/>
      </c>
      <c r="H134" s="32" t="str">
        <f ca="1">IF($A134="","",INDEX(Sheet!L$2:L$7967,$A134))</f>
        <v/>
      </c>
      <c r="I134" s="32" t="str">
        <f ca="1">IF($A134="","",INDEX(Sheet!N$2:N$7967,$A134))</f>
        <v/>
      </c>
      <c r="J134" s="53" t="str">
        <f ca="1">IF($A134="","",INDEX(Sheet!AS$2:AS$7967,$A134))</f>
        <v/>
      </c>
      <c r="K134" s="33" t="str">
        <f ca="1">IF($A134="","",IF(INDEX(Sheet!S$2:S$7967,$A134)="","",INDEX(Sheet!S$2:S$7967,$A134)))</f>
        <v/>
      </c>
      <c r="L134" s="33" t="str">
        <f ca="1">IF($A134="","",IF(INDEX(Sheet!R$2:R$7967,$A134)="","",INDEX(Sheet!R$2:R$7967,$A134)))</f>
        <v/>
      </c>
      <c r="M134" s="33" t="str">
        <f ca="1">IF($A134="","",IF(INDEX(Sheet!AO$2:AO$7967,$A134)="","",INDEX(Sheet!AO$2:AO$7967,$A134)))</f>
        <v/>
      </c>
      <c r="N134" s="33" t="str">
        <f ca="1">IF($A134="","",IF(INDEX(Sheet!T$2:T$7967,$A134)="","",INDEX(Sheet!T$2:T$7967,$A134)))</f>
        <v/>
      </c>
      <c r="O134" s="33" t="str">
        <f ca="1">IF($A134="","",IF(INDEX(Sheet!U$2:U$7967,$A134)="","",INDEX(Sheet!U$2:U$7967,$A134)))</f>
        <v/>
      </c>
      <c r="P134" s="33" t="str">
        <f ca="1">IF($A134="","",IF(INDEX(Sheet!W$2:W$7967,$A134)="","",INDEX(Sheet!W$2:W$7967,$A134)))</f>
        <v/>
      </c>
      <c r="Q134" s="33" t="str">
        <f ca="1">IF($A134="","",IF(INDEX(Sheet!V$2:V$7967,$A134)="","",INDEX(Sheet!V$2:V$7967,$A134)))</f>
        <v/>
      </c>
      <c r="R134" s="33" t="str">
        <f ca="1">IF($A134="","",IF(INDEX(Sheet!Z$2:Z$7967,$A134)="","",INDEX(Sheet!Z$2:Z$7967,$A134)))</f>
        <v/>
      </c>
      <c r="S134" s="33" t="str">
        <f ca="1">IF($A134="","",IF(INDEX(Sheet!Y$2:Y$7967,$A134)="","",INDEX(Sheet!Y$2:Y$7967,$A134)))</f>
        <v/>
      </c>
      <c r="T134" s="33" t="str">
        <f ca="1">IF($A134="","",IF(INDEX(Sheet!X$2:X$7967,$A134)="","",INDEX(Sheet!X$2:X$7967,$A134)))</f>
        <v/>
      </c>
      <c r="U134" s="33" t="str">
        <f ca="1">IF($A134="","",IF(INDEX(Sheet!AA$2:AA$7967,$A134)="","",INDEX(Sheet!AA$2:AA$7967,$A134)))</f>
        <v/>
      </c>
      <c r="V134" s="33" t="str">
        <f ca="1">IF($A134="","",IF(INDEX(Sheet!AB$2:AB$7967,$A134)="","",INDEX(Sheet!AB$2:AB$7967,$A134)))</f>
        <v/>
      </c>
      <c r="W134" s="33" t="str">
        <f ca="1">IF($A134="","",IF(INDEX(Sheet!AH$2:AH$7967,$A134)="","",INDEX(Sheet!AH$2:AH$7967,$A134)))</f>
        <v/>
      </c>
      <c r="X134" s="33" t="str">
        <f ca="1">IF($A134="","",IF(INDEX(Sheet!AC$2:AC$7967,$A134)="","",INDEX(Sheet!AC$2:AC$7967,$A134)))</f>
        <v/>
      </c>
      <c r="Y134" s="33" t="str">
        <f ca="1">IF($A134="","",IF(INDEX(Sheet!AD$2:AD$7967,$A134)="","",INDEX(Sheet!AD$2:AD$7967,$A134)))</f>
        <v/>
      </c>
      <c r="Z134" s="33" t="str">
        <f ca="1">IF($A134="","",IF(INDEX(Sheet!AL$2:AL$7967,$A134)="","",INDEX(Sheet!AL$2:AL$7967,$A134)))</f>
        <v/>
      </c>
      <c r="AA134" s="33" t="str">
        <f ca="1">IF($A134="","",IF(INDEX(Sheet!AE$2:AE$7967,$A134)="","",INDEX(Sheet!AE$2:AE$7967,$A134)))</f>
        <v/>
      </c>
      <c r="AB134" s="33" t="str">
        <f ca="1">IF($A134="","",IF(INDEX(Sheet!AF$2:AF$7967,$A134)="","",INDEX(Sheet!AF$2:AF$7967,$A134)))</f>
        <v/>
      </c>
      <c r="AC134" s="33" t="str">
        <f ca="1">IF($A134="","",IF(INDEX(Sheet!AG$2:AG$7967,$A134)="","",INDEX(Sheet!AG$2:AG$7967,$A134)))</f>
        <v/>
      </c>
      <c r="AD134" s="33" t="str">
        <f ca="1">IF($A134="","",IF(INDEX(Sheet!AM$2:AM$7967,$A134)="","",INDEX(Sheet!AM$2:AM$7967,$A134)))</f>
        <v/>
      </c>
      <c r="AE134" s="33" t="str">
        <f ca="1">IF($A134="","",IF(INDEX(Sheet!AJ$2:AJ$7967,$A134)="","",INDEX(Sheet!AJ$2:AJ$7967,$A134)))</f>
        <v/>
      </c>
      <c r="AF134" s="33" t="str">
        <f ca="1">IF($A134="","",IF(INDEX(Sheet!AI$2:AI$7967,$A134)="","",INDEX(Sheet!AI$2:AI$7967,$A134)))</f>
        <v/>
      </c>
      <c r="AG134" s="33" t="str">
        <f ca="1">IF(D134="duyệt sản xuất"," Bảo Bảo, Ngày "&amp;DAY($J$4)&amp;" Tháng "&amp;MONTH($J$4)&amp;" Năm "&amp;YEAR($J$4),IF(D134="Phê duyệt","NGƯỜI LẬP",IF(D134="Nguyễn Ngọc Thắng","NGUYỄN THỊ MAI",IF($A134="","",INDEX(Sheet!AK$2:AK$7967,$A134)))))</f>
        <v/>
      </c>
      <c r="AH134" s="58" t="str">
        <f ca="1">IF($A134="","",INDEX(Sheet!AR$2:AR$7967,$A134)&amp;" ; "&amp;INDEX(Sheet!M$2:M$7967,$A134))</f>
        <v/>
      </c>
      <c r="AI134" s="1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G134" s="35" t="str">
        <f ca="1">IFERROR(VALUE(separ(INDEX(Sheet!Q$2:Q$7967,$A134),"-",1)),"")</f>
        <v/>
      </c>
      <c r="BH134" s="35" t="str">
        <f ca="1">IFERROR(VALUE(separ(INDEX(Sheet!R$2:R$7967,$A134),"-",1)),"")</f>
        <v/>
      </c>
      <c r="BI134" s="35" t="str">
        <f ca="1">IFERROR(VALUE(separ(INDEX(Sheet!S$2:S$7967,$A134),"-",1)),"")</f>
        <v/>
      </c>
      <c r="BJ134" s="35" t="str">
        <f ca="1">IFERROR(VALUE(separ(INDEX(Sheet!T$2:T$7967,$A134),"-",1)),"")</f>
        <v/>
      </c>
      <c r="BK134" s="35" t="str">
        <f ca="1">IFERROR(VALUE(separ(INDEX(Sheet!U$2:U$7967,$A134),"-",1)),"")</f>
        <v/>
      </c>
      <c r="BL134" s="35" t="str">
        <f ca="1">IFERROR(VALUE(separ(INDEX(Sheet!V$2:V$7967,$A134),"-",1)),"")</f>
        <v/>
      </c>
      <c r="BM134" s="35" t="str">
        <f ca="1">IFERROR(VALUE(separ(INDEX(Sheet!W$2:W$7967,$A134),"-",1)),"")</f>
        <v/>
      </c>
      <c r="BN134" s="35" t="str">
        <f ca="1">IFERROR(VALUE(separ(INDEX(Sheet!X$2:X$7967,$A134),"-",1)),"")</f>
        <v/>
      </c>
      <c r="BO134" s="35" t="str">
        <f ca="1">IFERROR(VALUE(separ(INDEX(Sheet!Y$2:Y$7967,$A134),"-",1)),"")</f>
        <v/>
      </c>
      <c r="BP134" s="35" t="str">
        <f ca="1">IFERROR(VALUE(separ(INDEX(Sheet!Z$2:Z$7967,$A134),"-",1)),"")</f>
        <v/>
      </c>
      <c r="BQ134" s="35" t="str">
        <f ca="1">IFERROR(VALUE(separ(INDEX(Sheet!AA$2:AA$7967,$A134),"-",1)),"")</f>
        <v/>
      </c>
      <c r="BR134" s="35" t="str">
        <f ca="1">IFERROR(VALUE(separ(INDEX(Sheet!AB$2:AB$7967,$A134),"-",1)),"")</f>
        <v/>
      </c>
      <c r="BS134" s="35" t="str">
        <f ca="1">IFERROR(VALUE(separ(INDEX(Sheet!AC$2:AC$7967,$A134),"-",1)),"")</f>
        <v/>
      </c>
      <c r="BT134" s="35" t="str">
        <f ca="1">IFERROR(VALUE(separ(INDEX(Sheet!AD$2:AD$7967,$A134),"-",1)),"")</f>
        <v/>
      </c>
      <c r="BU134" s="35" t="str">
        <f ca="1">IFERROR(VALUE(separ(INDEX(Sheet!AE$2:AE$7967,$A134),"-",1)),"")</f>
        <v/>
      </c>
      <c r="BV134" s="35"/>
      <c r="BW134" s="35" t="str">
        <f ca="1">IFERROR((separ(INDEX(Sheet!Q$2:Q$7967,$A134),"-",2)),"")</f>
        <v/>
      </c>
      <c r="BX134" s="35" t="str">
        <f ca="1">IFERROR((separ(INDEX(Sheet!R$2:R$7967,$A134),"-",2)),"")</f>
        <v/>
      </c>
      <c r="BY134" s="35" t="str">
        <f ca="1">IFERROR((separ(INDEX(Sheet!S$2:S$7967,$A134),"-",2)),"")</f>
        <v/>
      </c>
      <c r="BZ134" s="35" t="str">
        <f ca="1">IFERROR((separ(INDEX(Sheet!T$2:T$7967,$A134),"-",2)),"")</f>
        <v/>
      </c>
      <c r="CA134" s="35" t="str">
        <f ca="1">IFERROR((separ(INDEX(Sheet!U$2:U$7967,$A134),"-",2)),"")</f>
        <v/>
      </c>
      <c r="CB134" s="35" t="str">
        <f ca="1">IFERROR((separ(INDEX(Sheet!V$2:V$7967,$A134),"-",2)),"")</f>
        <v/>
      </c>
      <c r="CC134" s="35" t="str">
        <f ca="1">IFERROR((separ(INDEX(Sheet!W$2:W$7967,$A134),"-",2)),"")</f>
        <v/>
      </c>
      <c r="CD134" s="35" t="str">
        <f ca="1">IFERROR((separ(INDEX(Sheet!X$2:X$7967,$A134),"-",2)),"")</f>
        <v/>
      </c>
      <c r="CE134" s="35" t="str">
        <f ca="1">IFERROR((separ(INDEX(Sheet!Y$2:Y$7967,$A134),"-",2)),"")</f>
        <v/>
      </c>
      <c r="CF134" s="35" t="str">
        <f ca="1">IFERROR((separ(INDEX(Sheet!Z$2:Z$7967,$A134),"-",2)),"")</f>
        <v/>
      </c>
      <c r="CG134" s="35" t="str">
        <f ca="1">IFERROR((separ(INDEX(Sheet!AA$2:AA$7967,$A134),"-",2)),"")</f>
        <v/>
      </c>
      <c r="CH134" s="35" t="str">
        <f ca="1">IFERROR((separ(INDEX(Sheet!AB$2:AB$7967,$A134),"-",2)),"")</f>
        <v/>
      </c>
      <c r="CI134" s="35" t="str">
        <f ca="1">IFERROR((separ(INDEX(Sheet!AC$2:AC$7967,$A134),"-",2)),"")</f>
        <v/>
      </c>
      <c r="CJ134" s="35" t="str">
        <f ca="1">IFERROR((separ(INDEX(Sheet!AD$2:AD$7967,$A134),"-",2)),"")</f>
        <v/>
      </c>
      <c r="CK134" s="35" t="str">
        <f ca="1">IFERROR((separ(INDEX(Sheet!AE$2:AE$7967,$A134),"-",2)),"")</f>
        <v/>
      </c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</row>
    <row r="135" spans="1:104" s="29" customFormat="1">
      <c r="A135" s="45" t="str">
        <f ca="1">IFERROR(MATCH($B$3,OFFSET(Sheet!$D$2,A134,0):'Sheet'!$D$7657,0)+A134,"")</f>
        <v/>
      </c>
      <c r="B135" s="29" t="str">
        <f ca="1">IF(ROW(A128)&lt;=COUNT($A$6:$A$800),INDEX(Sheet!$A$2:$A$7967,$A135),IF(ROW(A128)=COUNT($A$6:$A$800)+1," ",IF(ROW(A128)=COUNT($A$6:$A$800)+2,"  ","")))</f>
        <v/>
      </c>
      <c r="C135" s="67" t="str">
        <f ca="1">IF($A135="","",INDEX(Sheet!E$2:E$7967,$A135))</f>
        <v/>
      </c>
      <c r="D135" s="31" t="str">
        <f ca="1">IF(B132=" ",$AR$1,IF(B135=" ",$AQ$1,IF(A135="","",INDEX(Sheet!G$2:G$7967,$A135))))</f>
        <v/>
      </c>
      <c r="E135" s="32" t="str">
        <f ca="1">IF($A135="","",TEXT(INDEX(Sheet!J$2:J$7967,$A135),"#,#")&amp;" "&amp;INDEX(Sheet!AT$2:AT$7967,$A135))</f>
        <v/>
      </c>
      <c r="F135" s="53" t="str">
        <f ca="1">IF($A135="","",INDEX(Sheet!F$2:F$7967,$A135))</f>
        <v/>
      </c>
      <c r="G135" s="32" t="str">
        <f ca="1">IF($A135="","",INDEX(Sheet!I$2:I$7967,$A135))</f>
        <v/>
      </c>
      <c r="H135" s="32" t="str">
        <f ca="1">IF($A135="","",INDEX(Sheet!L$2:L$7967,$A135))</f>
        <v/>
      </c>
      <c r="I135" s="32" t="str">
        <f ca="1">IF($A135="","",INDEX(Sheet!N$2:N$7967,$A135))</f>
        <v/>
      </c>
      <c r="J135" s="53" t="str">
        <f ca="1">IF($A135="","",INDEX(Sheet!AS$2:AS$7967,$A135))</f>
        <v/>
      </c>
      <c r="K135" s="33" t="str">
        <f ca="1">IF($A135="","",IF(INDEX(Sheet!S$2:S$7967,$A135)="","",INDEX(Sheet!S$2:S$7967,$A135)))</f>
        <v/>
      </c>
      <c r="L135" s="33" t="str">
        <f ca="1">IF($A135="","",IF(INDEX(Sheet!R$2:R$7967,$A135)="","",INDEX(Sheet!R$2:R$7967,$A135)))</f>
        <v/>
      </c>
      <c r="M135" s="33" t="str">
        <f ca="1">IF($A135="","",IF(INDEX(Sheet!AO$2:AO$7967,$A135)="","",INDEX(Sheet!AO$2:AO$7967,$A135)))</f>
        <v/>
      </c>
      <c r="N135" s="33" t="str">
        <f ca="1">IF($A135="","",IF(INDEX(Sheet!T$2:T$7967,$A135)="","",INDEX(Sheet!T$2:T$7967,$A135)))</f>
        <v/>
      </c>
      <c r="O135" s="33" t="str">
        <f ca="1">IF($A135="","",IF(INDEX(Sheet!U$2:U$7967,$A135)="","",INDEX(Sheet!U$2:U$7967,$A135)))</f>
        <v/>
      </c>
      <c r="P135" s="33" t="str">
        <f ca="1">IF($A135="","",IF(INDEX(Sheet!W$2:W$7967,$A135)="","",INDEX(Sheet!W$2:W$7967,$A135)))</f>
        <v/>
      </c>
      <c r="Q135" s="33" t="str">
        <f ca="1">IF($A135="","",IF(INDEX(Sheet!V$2:V$7967,$A135)="","",INDEX(Sheet!V$2:V$7967,$A135)))</f>
        <v/>
      </c>
      <c r="R135" s="33" t="str">
        <f ca="1">IF($A135="","",IF(INDEX(Sheet!Z$2:Z$7967,$A135)="","",INDEX(Sheet!Z$2:Z$7967,$A135)))</f>
        <v/>
      </c>
      <c r="S135" s="33" t="str">
        <f ca="1">IF($A135="","",IF(INDEX(Sheet!Y$2:Y$7967,$A135)="","",INDEX(Sheet!Y$2:Y$7967,$A135)))</f>
        <v/>
      </c>
      <c r="T135" s="33" t="str">
        <f ca="1">IF($A135="","",IF(INDEX(Sheet!X$2:X$7967,$A135)="","",INDEX(Sheet!X$2:X$7967,$A135)))</f>
        <v/>
      </c>
      <c r="U135" s="33" t="str">
        <f ca="1">IF($A135="","",IF(INDEX(Sheet!AA$2:AA$7967,$A135)="","",INDEX(Sheet!AA$2:AA$7967,$A135)))</f>
        <v/>
      </c>
      <c r="V135" s="33" t="str">
        <f ca="1">IF($A135="","",IF(INDEX(Sheet!AB$2:AB$7967,$A135)="","",INDEX(Sheet!AB$2:AB$7967,$A135)))</f>
        <v/>
      </c>
      <c r="W135" s="33" t="str">
        <f ca="1">IF($A135="","",IF(INDEX(Sheet!AH$2:AH$7967,$A135)="","",INDEX(Sheet!AH$2:AH$7967,$A135)))</f>
        <v/>
      </c>
      <c r="X135" s="33" t="str">
        <f ca="1">IF($A135="","",IF(INDEX(Sheet!AC$2:AC$7967,$A135)="","",INDEX(Sheet!AC$2:AC$7967,$A135)))</f>
        <v/>
      </c>
      <c r="Y135" s="33" t="str">
        <f ca="1">IF($A135="","",IF(INDEX(Sheet!AD$2:AD$7967,$A135)="","",INDEX(Sheet!AD$2:AD$7967,$A135)))</f>
        <v/>
      </c>
      <c r="Z135" s="33" t="str">
        <f ca="1">IF($A135="","",IF(INDEX(Sheet!AL$2:AL$7967,$A135)="","",INDEX(Sheet!AL$2:AL$7967,$A135)))</f>
        <v/>
      </c>
      <c r="AA135" s="33" t="str">
        <f ca="1">IF($A135="","",IF(INDEX(Sheet!AE$2:AE$7967,$A135)="","",INDEX(Sheet!AE$2:AE$7967,$A135)))</f>
        <v/>
      </c>
      <c r="AB135" s="33" t="str">
        <f ca="1">IF($A135="","",IF(INDEX(Sheet!AF$2:AF$7967,$A135)="","",INDEX(Sheet!AF$2:AF$7967,$A135)))</f>
        <v/>
      </c>
      <c r="AC135" s="33" t="str">
        <f ca="1">IF($A135="","",IF(INDEX(Sheet!AG$2:AG$7967,$A135)="","",INDEX(Sheet!AG$2:AG$7967,$A135)))</f>
        <v/>
      </c>
      <c r="AD135" s="33" t="str">
        <f ca="1">IF($A135="","",IF(INDEX(Sheet!AM$2:AM$7967,$A135)="","",INDEX(Sheet!AM$2:AM$7967,$A135)))</f>
        <v/>
      </c>
      <c r="AE135" s="33" t="str">
        <f ca="1">IF($A135="","",IF(INDEX(Sheet!AJ$2:AJ$7967,$A135)="","",INDEX(Sheet!AJ$2:AJ$7967,$A135)))</f>
        <v/>
      </c>
      <c r="AF135" s="33" t="str">
        <f ca="1">IF($A135="","",IF(INDEX(Sheet!AI$2:AI$7967,$A135)="","",INDEX(Sheet!AI$2:AI$7967,$A135)))</f>
        <v/>
      </c>
      <c r="AG135" s="33" t="str">
        <f ca="1">IF(D135="duyệt sản xuất"," Bảo Bảo, Ngày "&amp;DAY($J$4)&amp;" Tháng "&amp;MONTH($J$4)&amp;" Năm "&amp;YEAR($J$4),IF(D135="Phê duyệt","NGƯỜI LẬP",IF(D135="Nguyễn Ngọc Thắng","NGUYỄN THỊ MAI",IF($A135="","",INDEX(Sheet!AK$2:AK$7967,$A135)))))</f>
        <v/>
      </c>
      <c r="AH135" s="58" t="str">
        <f ca="1">IF($A135="","",INDEX(Sheet!AR$2:AR$7967,$A135)&amp;" ; "&amp;INDEX(Sheet!M$2:M$7967,$A135))</f>
        <v/>
      </c>
      <c r="AI135" s="1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G135" s="35" t="str">
        <f ca="1">IFERROR(VALUE(separ(INDEX(Sheet!Q$2:Q$7967,$A135),"-",1)),"")</f>
        <v/>
      </c>
      <c r="BH135" s="35" t="str">
        <f ca="1">IFERROR(VALUE(separ(INDEX(Sheet!R$2:R$7967,$A135),"-",1)),"")</f>
        <v/>
      </c>
      <c r="BI135" s="35" t="str">
        <f ca="1">IFERROR(VALUE(separ(INDEX(Sheet!S$2:S$7967,$A135),"-",1)),"")</f>
        <v/>
      </c>
      <c r="BJ135" s="35" t="str">
        <f ca="1">IFERROR(VALUE(separ(INDEX(Sheet!T$2:T$7967,$A135),"-",1)),"")</f>
        <v/>
      </c>
      <c r="BK135" s="35" t="str">
        <f ca="1">IFERROR(VALUE(separ(INDEX(Sheet!U$2:U$7967,$A135),"-",1)),"")</f>
        <v/>
      </c>
      <c r="BL135" s="35" t="str">
        <f ca="1">IFERROR(VALUE(separ(INDEX(Sheet!V$2:V$7967,$A135),"-",1)),"")</f>
        <v/>
      </c>
      <c r="BM135" s="35" t="str">
        <f ca="1">IFERROR(VALUE(separ(INDEX(Sheet!W$2:W$7967,$A135),"-",1)),"")</f>
        <v/>
      </c>
      <c r="BN135" s="35" t="str">
        <f ca="1">IFERROR(VALUE(separ(INDEX(Sheet!X$2:X$7967,$A135),"-",1)),"")</f>
        <v/>
      </c>
      <c r="BO135" s="35" t="str">
        <f ca="1">IFERROR(VALUE(separ(INDEX(Sheet!Y$2:Y$7967,$A135),"-",1)),"")</f>
        <v/>
      </c>
      <c r="BP135" s="35" t="str">
        <f ca="1">IFERROR(VALUE(separ(INDEX(Sheet!Z$2:Z$7967,$A135),"-",1)),"")</f>
        <v/>
      </c>
      <c r="BQ135" s="35" t="str">
        <f ca="1">IFERROR(VALUE(separ(INDEX(Sheet!AA$2:AA$7967,$A135),"-",1)),"")</f>
        <v/>
      </c>
      <c r="BR135" s="35" t="str">
        <f ca="1">IFERROR(VALUE(separ(INDEX(Sheet!AB$2:AB$7967,$A135),"-",1)),"")</f>
        <v/>
      </c>
      <c r="BS135" s="35" t="str">
        <f ca="1">IFERROR(VALUE(separ(INDEX(Sheet!AC$2:AC$7967,$A135),"-",1)),"")</f>
        <v/>
      </c>
      <c r="BT135" s="35" t="str">
        <f ca="1">IFERROR(VALUE(separ(INDEX(Sheet!AD$2:AD$7967,$A135),"-",1)),"")</f>
        <v/>
      </c>
      <c r="BU135" s="35" t="str">
        <f ca="1">IFERROR(VALUE(separ(INDEX(Sheet!AE$2:AE$7967,$A135),"-",1)),"")</f>
        <v/>
      </c>
      <c r="BV135" s="35"/>
      <c r="BW135" s="35" t="str">
        <f ca="1">IFERROR((separ(INDEX(Sheet!Q$2:Q$7967,$A135),"-",2)),"")</f>
        <v/>
      </c>
      <c r="BX135" s="35" t="str">
        <f ca="1">IFERROR((separ(INDEX(Sheet!R$2:R$7967,$A135),"-",2)),"")</f>
        <v/>
      </c>
      <c r="BY135" s="35" t="str">
        <f ca="1">IFERROR((separ(INDEX(Sheet!S$2:S$7967,$A135),"-",2)),"")</f>
        <v/>
      </c>
      <c r="BZ135" s="35" t="str">
        <f ca="1">IFERROR((separ(INDEX(Sheet!T$2:T$7967,$A135),"-",2)),"")</f>
        <v/>
      </c>
      <c r="CA135" s="35" t="str">
        <f ca="1">IFERROR((separ(INDEX(Sheet!U$2:U$7967,$A135),"-",2)),"")</f>
        <v/>
      </c>
      <c r="CB135" s="35" t="str">
        <f ca="1">IFERROR((separ(INDEX(Sheet!V$2:V$7967,$A135),"-",2)),"")</f>
        <v/>
      </c>
      <c r="CC135" s="35" t="str">
        <f ca="1">IFERROR((separ(INDEX(Sheet!W$2:W$7967,$A135),"-",2)),"")</f>
        <v/>
      </c>
      <c r="CD135" s="35" t="str">
        <f ca="1">IFERROR((separ(INDEX(Sheet!X$2:X$7967,$A135),"-",2)),"")</f>
        <v/>
      </c>
      <c r="CE135" s="35" t="str">
        <f ca="1">IFERROR((separ(INDEX(Sheet!Y$2:Y$7967,$A135),"-",2)),"")</f>
        <v/>
      </c>
      <c r="CF135" s="35" t="str">
        <f ca="1">IFERROR((separ(INDEX(Sheet!Z$2:Z$7967,$A135),"-",2)),"")</f>
        <v/>
      </c>
      <c r="CG135" s="35" t="str">
        <f ca="1">IFERROR((separ(INDEX(Sheet!AA$2:AA$7967,$A135),"-",2)),"")</f>
        <v/>
      </c>
      <c r="CH135" s="35" t="str">
        <f ca="1">IFERROR((separ(INDEX(Sheet!AB$2:AB$7967,$A135),"-",2)),"")</f>
        <v/>
      </c>
      <c r="CI135" s="35" t="str">
        <f ca="1">IFERROR((separ(INDEX(Sheet!AC$2:AC$7967,$A135),"-",2)),"")</f>
        <v/>
      </c>
      <c r="CJ135" s="35" t="str">
        <f ca="1">IFERROR((separ(INDEX(Sheet!AD$2:AD$7967,$A135),"-",2)),"")</f>
        <v/>
      </c>
      <c r="CK135" s="35" t="str">
        <f ca="1">IFERROR((separ(INDEX(Sheet!AE$2:AE$7967,$A135),"-",2)),"")</f>
        <v/>
      </c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</row>
    <row r="136" spans="1:104" s="29" customFormat="1">
      <c r="A136" s="45" t="str">
        <f ca="1">IFERROR(MATCH($B$3,OFFSET(Sheet!$D$2,A135,0):'Sheet'!$D$7657,0)+A135,"")</f>
        <v/>
      </c>
      <c r="B136" s="29" t="str">
        <f ca="1">IF(ROW(A129)&lt;=COUNT($A$6:$A$800),INDEX(Sheet!$A$2:$A$7967,$A136),IF(ROW(A129)=COUNT($A$6:$A$800)+1," ",IF(ROW(A129)=COUNT($A$6:$A$800)+2,"  ","")))</f>
        <v/>
      </c>
      <c r="C136" s="67" t="str">
        <f ca="1">IF($A136="","",INDEX(Sheet!E$2:E$7967,$A136))</f>
        <v/>
      </c>
      <c r="D136" s="31" t="str">
        <f ca="1">IF(B133=" ",$AR$1,IF(B136=" ",$AQ$1,IF(A136="","",INDEX(Sheet!G$2:G$7967,$A136))))</f>
        <v/>
      </c>
      <c r="E136" s="32" t="str">
        <f ca="1">IF($A136="","",TEXT(INDEX(Sheet!J$2:J$7967,$A136),"#,#")&amp;" "&amp;INDEX(Sheet!AT$2:AT$7967,$A136))</f>
        <v/>
      </c>
      <c r="F136" s="53" t="str">
        <f ca="1">IF($A136="","",INDEX(Sheet!F$2:F$7967,$A136))</f>
        <v/>
      </c>
      <c r="G136" s="32" t="str">
        <f ca="1">IF($A136="","",INDEX(Sheet!I$2:I$7967,$A136))</f>
        <v/>
      </c>
      <c r="H136" s="32" t="str">
        <f ca="1">IF($A136="","",INDEX(Sheet!L$2:L$7967,$A136))</f>
        <v/>
      </c>
      <c r="I136" s="32" t="str">
        <f ca="1">IF($A136="","",INDEX(Sheet!N$2:N$7967,$A136))</f>
        <v/>
      </c>
      <c r="J136" s="53" t="str">
        <f ca="1">IF($A136="","",INDEX(Sheet!AS$2:AS$7967,$A136))</f>
        <v/>
      </c>
      <c r="K136" s="33" t="str">
        <f ca="1">IF($A136="","",IF(INDEX(Sheet!S$2:S$7967,$A136)="","",INDEX(Sheet!S$2:S$7967,$A136)))</f>
        <v/>
      </c>
      <c r="L136" s="33" t="str">
        <f ca="1">IF($A136="","",IF(INDEX(Sheet!R$2:R$7967,$A136)="","",INDEX(Sheet!R$2:R$7967,$A136)))</f>
        <v/>
      </c>
      <c r="M136" s="33" t="str">
        <f ca="1">IF($A136="","",IF(INDEX(Sheet!AO$2:AO$7967,$A136)="","",INDEX(Sheet!AO$2:AO$7967,$A136)))</f>
        <v/>
      </c>
      <c r="N136" s="33" t="str">
        <f ca="1">IF($A136="","",IF(INDEX(Sheet!T$2:T$7967,$A136)="","",INDEX(Sheet!T$2:T$7967,$A136)))</f>
        <v/>
      </c>
      <c r="O136" s="33" t="str">
        <f ca="1">IF($A136="","",IF(INDEX(Sheet!U$2:U$7967,$A136)="","",INDEX(Sheet!U$2:U$7967,$A136)))</f>
        <v/>
      </c>
      <c r="P136" s="33" t="str">
        <f ca="1">IF($A136="","",IF(INDEX(Sheet!W$2:W$7967,$A136)="","",INDEX(Sheet!W$2:W$7967,$A136)))</f>
        <v/>
      </c>
      <c r="Q136" s="33" t="str">
        <f ca="1">IF($A136="","",IF(INDEX(Sheet!V$2:V$7967,$A136)="","",INDEX(Sheet!V$2:V$7967,$A136)))</f>
        <v/>
      </c>
      <c r="R136" s="33" t="str">
        <f ca="1">IF($A136="","",IF(INDEX(Sheet!Z$2:Z$7967,$A136)="","",INDEX(Sheet!Z$2:Z$7967,$A136)))</f>
        <v/>
      </c>
      <c r="S136" s="33" t="str">
        <f ca="1">IF($A136="","",IF(INDEX(Sheet!Y$2:Y$7967,$A136)="","",INDEX(Sheet!Y$2:Y$7967,$A136)))</f>
        <v/>
      </c>
      <c r="T136" s="33" t="str">
        <f ca="1">IF($A136="","",IF(INDEX(Sheet!X$2:X$7967,$A136)="","",INDEX(Sheet!X$2:X$7967,$A136)))</f>
        <v/>
      </c>
      <c r="U136" s="33" t="str">
        <f ca="1">IF($A136="","",IF(INDEX(Sheet!AA$2:AA$7967,$A136)="","",INDEX(Sheet!AA$2:AA$7967,$A136)))</f>
        <v/>
      </c>
      <c r="V136" s="33" t="str">
        <f ca="1">IF($A136="","",IF(INDEX(Sheet!AB$2:AB$7967,$A136)="","",INDEX(Sheet!AB$2:AB$7967,$A136)))</f>
        <v/>
      </c>
      <c r="W136" s="33" t="str">
        <f ca="1">IF($A136="","",IF(INDEX(Sheet!AH$2:AH$7967,$A136)="","",INDEX(Sheet!AH$2:AH$7967,$A136)))</f>
        <v/>
      </c>
      <c r="X136" s="33" t="str">
        <f ca="1">IF($A136="","",IF(INDEX(Sheet!AC$2:AC$7967,$A136)="","",INDEX(Sheet!AC$2:AC$7967,$A136)))</f>
        <v/>
      </c>
      <c r="Y136" s="33" t="str">
        <f ca="1">IF($A136="","",IF(INDEX(Sheet!AD$2:AD$7967,$A136)="","",INDEX(Sheet!AD$2:AD$7967,$A136)))</f>
        <v/>
      </c>
      <c r="Z136" s="33" t="str">
        <f ca="1">IF($A136="","",IF(INDEX(Sheet!AL$2:AL$7967,$A136)="","",INDEX(Sheet!AL$2:AL$7967,$A136)))</f>
        <v/>
      </c>
      <c r="AA136" s="33" t="str">
        <f ca="1">IF($A136="","",IF(INDEX(Sheet!AE$2:AE$7967,$A136)="","",INDEX(Sheet!AE$2:AE$7967,$A136)))</f>
        <v/>
      </c>
      <c r="AB136" s="33" t="str">
        <f ca="1">IF($A136="","",IF(INDEX(Sheet!AF$2:AF$7967,$A136)="","",INDEX(Sheet!AF$2:AF$7967,$A136)))</f>
        <v/>
      </c>
      <c r="AC136" s="33" t="str">
        <f ca="1">IF($A136="","",IF(INDEX(Sheet!AG$2:AG$7967,$A136)="","",INDEX(Sheet!AG$2:AG$7967,$A136)))</f>
        <v/>
      </c>
      <c r="AD136" s="33" t="str">
        <f ca="1">IF($A136="","",IF(INDEX(Sheet!AM$2:AM$7967,$A136)="","",INDEX(Sheet!AM$2:AM$7967,$A136)))</f>
        <v/>
      </c>
      <c r="AE136" s="33" t="str">
        <f ca="1">IF($A136="","",IF(INDEX(Sheet!AJ$2:AJ$7967,$A136)="","",INDEX(Sheet!AJ$2:AJ$7967,$A136)))</f>
        <v/>
      </c>
      <c r="AF136" s="33" t="str">
        <f ca="1">IF($A136="","",IF(INDEX(Sheet!AI$2:AI$7967,$A136)="","",INDEX(Sheet!AI$2:AI$7967,$A136)))</f>
        <v/>
      </c>
      <c r="AG136" s="33" t="str">
        <f ca="1">IF(D136="duyệt sản xuất"," Bảo Bảo, Ngày "&amp;DAY($J$4)&amp;" Tháng "&amp;MONTH($J$4)&amp;" Năm "&amp;YEAR($J$4),IF(D136="Phê duyệt","NGƯỜI LẬP",IF(D136="Nguyễn Ngọc Thắng","NGUYỄN THỊ MAI",IF($A136="","",INDEX(Sheet!AK$2:AK$7967,$A136)))))</f>
        <v/>
      </c>
      <c r="AH136" s="58" t="str">
        <f ca="1">IF($A136="","",INDEX(Sheet!AR$2:AR$7967,$A136)&amp;" ; "&amp;INDEX(Sheet!M$2:M$7967,$A136))</f>
        <v/>
      </c>
      <c r="AI136" s="1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G136" s="35" t="str">
        <f ca="1">IFERROR(VALUE(separ(INDEX(Sheet!Q$2:Q$7967,$A136),"-",1)),"")</f>
        <v/>
      </c>
      <c r="BH136" s="35" t="str">
        <f ca="1">IFERROR(VALUE(separ(INDEX(Sheet!R$2:R$7967,$A136),"-",1)),"")</f>
        <v/>
      </c>
      <c r="BI136" s="35" t="str">
        <f ca="1">IFERROR(VALUE(separ(INDEX(Sheet!S$2:S$7967,$A136),"-",1)),"")</f>
        <v/>
      </c>
      <c r="BJ136" s="35" t="str">
        <f ca="1">IFERROR(VALUE(separ(INDEX(Sheet!T$2:T$7967,$A136),"-",1)),"")</f>
        <v/>
      </c>
      <c r="BK136" s="35" t="str">
        <f ca="1">IFERROR(VALUE(separ(INDEX(Sheet!U$2:U$7967,$A136),"-",1)),"")</f>
        <v/>
      </c>
      <c r="BL136" s="35" t="str">
        <f ca="1">IFERROR(VALUE(separ(INDEX(Sheet!V$2:V$7967,$A136),"-",1)),"")</f>
        <v/>
      </c>
      <c r="BM136" s="35" t="str">
        <f ca="1">IFERROR(VALUE(separ(INDEX(Sheet!W$2:W$7967,$A136),"-",1)),"")</f>
        <v/>
      </c>
      <c r="BN136" s="35" t="str">
        <f ca="1">IFERROR(VALUE(separ(INDEX(Sheet!X$2:X$7967,$A136),"-",1)),"")</f>
        <v/>
      </c>
      <c r="BO136" s="35" t="str">
        <f ca="1">IFERROR(VALUE(separ(INDEX(Sheet!Y$2:Y$7967,$A136),"-",1)),"")</f>
        <v/>
      </c>
      <c r="BP136" s="35" t="str">
        <f ca="1">IFERROR(VALUE(separ(INDEX(Sheet!Z$2:Z$7967,$A136),"-",1)),"")</f>
        <v/>
      </c>
      <c r="BQ136" s="35" t="str">
        <f ca="1">IFERROR(VALUE(separ(INDEX(Sheet!AA$2:AA$7967,$A136),"-",1)),"")</f>
        <v/>
      </c>
      <c r="BR136" s="35" t="str">
        <f ca="1">IFERROR(VALUE(separ(INDEX(Sheet!AB$2:AB$7967,$A136),"-",1)),"")</f>
        <v/>
      </c>
      <c r="BS136" s="35" t="str">
        <f ca="1">IFERROR(VALUE(separ(INDEX(Sheet!AC$2:AC$7967,$A136),"-",1)),"")</f>
        <v/>
      </c>
      <c r="BT136" s="35" t="str">
        <f ca="1">IFERROR(VALUE(separ(INDEX(Sheet!AD$2:AD$7967,$A136),"-",1)),"")</f>
        <v/>
      </c>
      <c r="BU136" s="35" t="str">
        <f ca="1">IFERROR(VALUE(separ(INDEX(Sheet!AE$2:AE$7967,$A136),"-",1)),"")</f>
        <v/>
      </c>
      <c r="BV136" s="35"/>
      <c r="BW136" s="35" t="str">
        <f ca="1">IFERROR((separ(INDEX(Sheet!Q$2:Q$7967,$A136),"-",2)),"")</f>
        <v/>
      </c>
      <c r="BX136" s="35" t="str">
        <f ca="1">IFERROR((separ(INDEX(Sheet!R$2:R$7967,$A136),"-",2)),"")</f>
        <v/>
      </c>
      <c r="BY136" s="35" t="str">
        <f ca="1">IFERROR((separ(INDEX(Sheet!S$2:S$7967,$A136),"-",2)),"")</f>
        <v/>
      </c>
      <c r="BZ136" s="35" t="str">
        <f ca="1">IFERROR((separ(INDEX(Sheet!T$2:T$7967,$A136),"-",2)),"")</f>
        <v/>
      </c>
      <c r="CA136" s="35" t="str">
        <f ca="1">IFERROR((separ(INDEX(Sheet!U$2:U$7967,$A136),"-",2)),"")</f>
        <v/>
      </c>
      <c r="CB136" s="35" t="str">
        <f ca="1">IFERROR((separ(INDEX(Sheet!V$2:V$7967,$A136),"-",2)),"")</f>
        <v/>
      </c>
      <c r="CC136" s="35" t="str">
        <f ca="1">IFERROR((separ(INDEX(Sheet!W$2:W$7967,$A136),"-",2)),"")</f>
        <v/>
      </c>
      <c r="CD136" s="35" t="str">
        <f ca="1">IFERROR((separ(INDEX(Sheet!X$2:X$7967,$A136),"-",2)),"")</f>
        <v/>
      </c>
      <c r="CE136" s="35" t="str">
        <f ca="1">IFERROR((separ(INDEX(Sheet!Y$2:Y$7967,$A136),"-",2)),"")</f>
        <v/>
      </c>
      <c r="CF136" s="35" t="str">
        <f ca="1">IFERROR((separ(INDEX(Sheet!Z$2:Z$7967,$A136),"-",2)),"")</f>
        <v/>
      </c>
      <c r="CG136" s="35" t="str">
        <f ca="1">IFERROR((separ(INDEX(Sheet!AA$2:AA$7967,$A136),"-",2)),"")</f>
        <v/>
      </c>
      <c r="CH136" s="35" t="str">
        <f ca="1">IFERROR((separ(INDEX(Sheet!AB$2:AB$7967,$A136),"-",2)),"")</f>
        <v/>
      </c>
      <c r="CI136" s="35" t="str">
        <f ca="1">IFERROR((separ(INDEX(Sheet!AC$2:AC$7967,$A136),"-",2)),"")</f>
        <v/>
      </c>
      <c r="CJ136" s="35" t="str">
        <f ca="1">IFERROR((separ(INDEX(Sheet!AD$2:AD$7967,$A136),"-",2)),"")</f>
        <v/>
      </c>
      <c r="CK136" s="35" t="str">
        <f ca="1">IFERROR((separ(INDEX(Sheet!AE$2:AE$7967,$A136),"-",2)),"")</f>
        <v/>
      </c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</row>
    <row r="137" spans="1:104" s="29" customFormat="1">
      <c r="A137" s="45" t="str">
        <f ca="1">IFERROR(MATCH($B$3,OFFSET(Sheet!$D$2,A136,0):'Sheet'!$D$7657,0)+A136,"")</f>
        <v/>
      </c>
      <c r="B137" s="29" t="str">
        <f ca="1">IF(ROW(A130)&lt;=COUNT($A$6:$A$800),INDEX(Sheet!$A$2:$A$7967,$A137),IF(ROW(A130)=COUNT($A$6:$A$800)+1," ",IF(ROW(A130)=COUNT($A$6:$A$800)+2,"  ","")))</f>
        <v/>
      </c>
      <c r="C137" s="67" t="str">
        <f ca="1">IF($A137="","",INDEX(Sheet!E$2:E$7967,$A137))</f>
        <v/>
      </c>
      <c r="D137" s="31" t="str">
        <f ca="1">IF(B134=" ",$AR$1,IF(B137=" ",$AQ$1,IF(A137="","",INDEX(Sheet!G$2:G$7967,$A137))))</f>
        <v/>
      </c>
      <c r="E137" s="32" t="str">
        <f ca="1">IF($A137="","",TEXT(INDEX(Sheet!J$2:J$7967,$A137),"#,#")&amp;" "&amp;INDEX(Sheet!AT$2:AT$7967,$A137))</f>
        <v/>
      </c>
      <c r="F137" s="53" t="str">
        <f ca="1">IF($A137="","",INDEX(Sheet!F$2:F$7967,$A137))</f>
        <v/>
      </c>
      <c r="G137" s="32" t="str">
        <f ca="1">IF($A137="","",INDEX(Sheet!I$2:I$7967,$A137))</f>
        <v/>
      </c>
      <c r="H137" s="32" t="str">
        <f ca="1">IF($A137="","",INDEX(Sheet!L$2:L$7967,$A137))</f>
        <v/>
      </c>
      <c r="I137" s="32" t="str">
        <f ca="1">IF($A137="","",INDEX(Sheet!N$2:N$7967,$A137))</f>
        <v/>
      </c>
      <c r="J137" s="53" t="str">
        <f ca="1">IF($A137="","",INDEX(Sheet!AS$2:AS$7967,$A137))</f>
        <v/>
      </c>
      <c r="K137" s="33" t="str">
        <f ca="1">IF($A137="","",IF(INDEX(Sheet!S$2:S$7967,$A137)="","",INDEX(Sheet!S$2:S$7967,$A137)))</f>
        <v/>
      </c>
      <c r="L137" s="33" t="str">
        <f ca="1">IF($A137="","",IF(INDEX(Sheet!R$2:R$7967,$A137)="","",INDEX(Sheet!R$2:R$7967,$A137)))</f>
        <v/>
      </c>
      <c r="M137" s="33" t="str">
        <f ca="1">IF($A137="","",IF(INDEX(Sheet!AO$2:AO$7967,$A137)="","",INDEX(Sheet!AO$2:AO$7967,$A137)))</f>
        <v/>
      </c>
      <c r="N137" s="33" t="str">
        <f ca="1">IF($A137="","",IF(INDEX(Sheet!T$2:T$7967,$A137)="","",INDEX(Sheet!T$2:T$7967,$A137)))</f>
        <v/>
      </c>
      <c r="O137" s="33" t="str">
        <f ca="1">IF($A137="","",IF(INDEX(Sheet!U$2:U$7967,$A137)="","",INDEX(Sheet!U$2:U$7967,$A137)))</f>
        <v/>
      </c>
      <c r="P137" s="33" t="str">
        <f ca="1">IF($A137="","",IF(INDEX(Sheet!W$2:W$7967,$A137)="","",INDEX(Sheet!W$2:W$7967,$A137)))</f>
        <v/>
      </c>
      <c r="Q137" s="33" t="str">
        <f ca="1">IF($A137="","",IF(INDEX(Sheet!V$2:V$7967,$A137)="","",INDEX(Sheet!V$2:V$7967,$A137)))</f>
        <v/>
      </c>
      <c r="R137" s="33" t="str">
        <f ca="1">IF($A137="","",IF(INDEX(Sheet!Z$2:Z$7967,$A137)="","",INDEX(Sheet!Z$2:Z$7967,$A137)))</f>
        <v/>
      </c>
      <c r="S137" s="33" t="str">
        <f ca="1">IF($A137="","",IF(INDEX(Sheet!Y$2:Y$7967,$A137)="","",INDEX(Sheet!Y$2:Y$7967,$A137)))</f>
        <v/>
      </c>
      <c r="T137" s="33" t="str">
        <f ca="1">IF($A137="","",IF(INDEX(Sheet!X$2:X$7967,$A137)="","",INDEX(Sheet!X$2:X$7967,$A137)))</f>
        <v/>
      </c>
      <c r="U137" s="33" t="str">
        <f ca="1">IF($A137="","",IF(INDEX(Sheet!AA$2:AA$7967,$A137)="","",INDEX(Sheet!AA$2:AA$7967,$A137)))</f>
        <v/>
      </c>
      <c r="V137" s="33" t="str">
        <f ca="1">IF($A137="","",IF(INDEX(Sheet!AB$2:AB$7967,$A137)="","",INDEX(Sheet!AB$2:AB$7967,$A137)))</f>
        <v/>
      </c>
      <c r="W137" s="33" t="str">
        <f ca="1">IF($A137="","",IF(INDEX(Sheet!AH$2:AH$7967,$A137)="","",INDEX(Sheet!AH$2:AH$7967,$A137)))</f>
        <v/>
      </c>
      <c r="X137" s="33" t="str">
        <f ca="1">IF($A137="","",IF(INDEX(Sheet!AC$2:AC$7967,$A137)="","",INDEX(Sheet!AC$2:AC$7967,$A137)))</f>
        <v/>
      </c>
      <c r="Y137" s="33" t="str">
        <f ca="1">IF($A137="","",IF(INDEX(Sheet!AD$2:AD$7967,$A137)="","",INDEX(Sheet!AD$2:AD$7967,$A137)))</f>
        <v/>
      </c>
      <c r="Z137" s="33" t="str">
        <f ca="1">IF($A137="","",IF(INDEX(Sheet!AL$2:AL$7967,$A137)="","",INDEX(Sheet!AL$2:AL$7967,$A137)))</f>
        <v/>
      </c>
      <c r="AA137" s="33" t="str">
        <f ca="1">IF($A137="","",IF(INDEX(Sheet!AE$2:AE$7967,$A137)="","",INDEX(Sheet!AE$2:AE$7967,$A137)))</f>
        <v/>
      </c>
      <c r="AB137" s="33" t="str">
        <f ca="1">IF($A137="","",IF(INDEX(Sheet!AF$2:AF$7967,$A137)="","",INDEX(Sheet!AF$2:AF$7967,$A137)))</f>
        <v/>
      </c>
      <c r="AC137" s="33" t="str">
        <f ca="1">IF($A137="","",IF(INDEX(Sheet!AG$2:AG$7967,$A137)="","",INDEX(Sheet!AG$2:AG$7967,$A137)))</f>
        <v/>
      </c>
      <c r="AD137" s="33" t="str">
        <f ca="1">IF($A137="","",IF(INDEX(Sheet!AM$2:AM$7967,$A137)="","",INDEX(Sheet!AM$2:AM$7967,$A137)))</f>
        <v/>
      </c>
      <c r="AE137" s="33" t="str">
        <f ca="1">IF($A137="","",IF(INDEX(Sheet!AJ$2:AJ$7967,$A137)="","",INDEX(Sheet!AJ$2:AJ$7967,$A137)))</f>
        <v/>
      </c>
      <c r="AF137" s="33" t="str">
        <f ca="1">IF($A137="","",IF(INDEX(Sheet!AI$2:AI$7967,$A137)="","",INDEX(Sheet!AI$2:AI$7967,$A137)))</f>
        <v/>
      </c>
      <c r="AG137" s="33" t="str">
        <f ca="1">IF(D137="duyệt sản xuất"," Bảo Bảo, Ngày "&amp;DAY($J$4)&amp;" Tháng "&amp;MONTH($J$4)&amp;" Năm "&amp;YEAR($J$4),IF(D137="Phê duyệt","NGƯỜI LẬP",IF(D137="Nguyễn Ngọc Thắng","NGUYỄN THỊ MAI",IF($A137="","",INDEX(Sheet!AK$2:AK$7967,$A137)))))</f>
        <v/>
      </c>
      <c r="AH137" s="58" t="str">
        <f ca="1">IF($A137="","",INDEX(Sheet!AR$2:AR$7967,$A137)&amp;" ; "&amp;INDEX(Sheet!M$2:M$7967,$A137))</f>
        <v/>
      </c>
      <c r="AI137" s="1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G137" s="35" t="str">
        <f ca="1">IFERROR(VALUE(separ(INDEX(Sheet!Q$2:Q$7967,$A137),"-",1)),"")</f>
        <v/>
      </c>
      <c r="BH137" s="35" t="str">
        <f ca="1">IFERROR(VALUE(separ(INDEX(Sheet!R$2:R$7967,$A137),"-",1)),"")</f>
        <v/>
      </c>
      <c r="BI137" s="35" t="str">
        <f ca="1">IFERROR(VALUE(separ(INDEX(Sheet!S$2:S$7967,$A137),"-",1)),"")</f>
        <v/>
      </c>
      <c r="BJ137" s="35" t="str">
        <f ca="1">IFERROR(VALUE(separ(INDEX(Sheet!T$2:T$7967,$A137),"-",1)),"")</f>
        <v/>
      </c>
      <c r="BK137" s="35" t="str">
        <f ca="1">IFERROR(VALUE(separ(INDEX(Sheet!U$2:U$7967,$A137),"-",1)),"")</f>
        <v/>
      </c>
      <c r="BL137" s="35" t="str">
        <f ca="1">IFERROR(VALUE(separ(INDEX(Sheet!V$2:V$7967,$A137),"-",1)),"")</f>
        <v/>
      </c>
      <c r="BM137" s="35" t="str">
        <f ca="1">IFERROR(VALUE(separ(INDEX(Sheet!W$2:W$7967,$A137),"-",1)),"")</f>
        <v/>
      </c>
      <c r="BN137" s="35" t="str">
        <f ca="1">IFERROR(VALUE(separ(INDEX(Sheet!X$2:X$7967,$A137),"-",1)),"")</f>
        <v/>
      </c>
      <c r="BO137" s="35" t="str">
        <f ca="1">IFERROR(VALUE(separ(INDEX(Sheet!Y$2:Y$7967,$A137),"-",1)),"")</f>
        <v/>
      </c>
      <c r="BP137" s="35" t="str">
        <f ca="1">IFERROR(VALUE(separ(INDEX(Sheet!Z$2:Z$7967,$A137),"-",1)),"")</f>
        <v/>
      </c>
      <c r="BQ137" s="35" t="str">
        <f ca="1">IFERROR(VALUE(separ(INDEX(Sheet!AA$2:AA$7967,$A137),"-",1)),"")</f>
        <v/>
      </c>
      <c r="BR137" s="35" t="str">
        <f ca="1">IFERROR(VALUE(separ(INDEX(Sheet!AB$2:AB$7967,$A137),"-",1)),"")</f>
        <v/>
      </c>
      <c r="BS137" s="35" t="str">
        <f ca="1">IFERROR(VALUE(separ(INDEX(Sheet!AC$2:AC$7967,$A137),"-",1)),"")</f>
        <v/>
      </c>
      <c r="BT137" s="35" t="str">
        <f ca="1">IFERROR(VALUE(separ(INDEX(Sheet!AD$2:AD$7967,$A137),"-",1)),"")</f>
        <v/>
      </c>
      <c r="BU137" s="35" t="str">
        <f ca="1">IFERROR(VALUE(separ(INDEX(Sheet!AE$2:AE$7967,$A137),"-",1)),"")</f>
        <v/>
      </c>
      <c r="BV137" s="35"/>
      <c r="BW137" s="35" t="str">
        <f ca="1">IFERROR((separ(INDEX(Sheet!Q$2:Q$7967,$A137),"-",2)),"")</f>
        <v/>
      </c>
      <c r="BX137" s="35" t="str">
        <f ca="1">IFERROR((separ(INDEX(Sheet!R$2:R$7967,$A137),"-",2)),"")</f>
        <v/>
      </c>
      <c r="BY137" s="35" t="str">
        <f ca="1">IFERROR((separ(INDEX(Sheet!S$2:S$7967,$A137),"-",2)),"")</f>
        <v/>
      </c>
      <c r="BZ137" s="35" t="str">
        <f ca="1">IFERROR((separ(INDEX(Sheet!T$2:T$7967,$A137),"-",2)),"")</f>
        <v/>
      </c>
      <c r="CA137" s="35" t="str">
        <f ca="1">IFERROR((separ(INDEX(Sheet!U$2:U$7967,$A137),"-",2)),"")</f>
        <v/>
      </c>
      <c r="CB137" s="35" t="str">
        <f ca="1">IFERROR((separ(INDEX(Sheet!V$2:V$7967,$A137),"-",2)),"")</f>
        <v/>
      </c>
      <c r="CC137" s="35" t="str">
        <f ca="1">IFERROR((separ(INDEX(Sheet!W$2:W$7967,$A137),"-",2)),"")</f>
        <v/>
      </c>
      <c r="CD137" s="35" t="str">
        <f ca="1">IFERROR((separ(INDEX(Sheet!X$2:X$7967,$A137),"-",2)),"")</f>
        <v/>
      </c>
      <c r="CE137" s="35" t="str">
        <f ca="1">IFERROR((separ(INDEX(Sheet!Y$2:Y$7967,$A137),"-",2)),"")</f>
        <v/>
      </c>
      <c r="CF137" s="35" t="str">
        <f ca="1">IFERROR((separ(INDEX(Sheet!Z$2:Z$7967,$A137),"-",2)),"")</f>
        <v/>
      </c>
      <c r="CG137" s="35" t="str">
        <f ca="1">IFERROR((separ(INDEX(Sheet!AA$2:AA$7967,$A137),"-",2)),"")</f>
        <v/>
      </c>
      <c r="CH137" s="35" t="str">
        <f ca="1">IFERROR((separ(INDEX(Sheet!AB$2:AB$7967,$A137),"-",2)),"")</f>
        <v/>
      </c>
      <c r="CI137" s="35" t="str">
        <f ca="1">IFERROR((separ(INDEX(Sheet!AC$2:AC$7967,$A137),"-",2)),"")</f>
        <v/>
      </c>
      <c r="CJ137" s="35" t="str">
        <f ca="1">IFERROR((separ(INDEX(Sheet!AD$2:AD$7967,$A137),"-",2)),"")</f>
        <v/>
      </c>
      <c r="CK137" s="35" t="str">
        <f ca="1">IFERROR((separ(INDEX(Sheet!AE$2:AE$7967,$A137),"-",2)),"")</f>
        <v/>
      </c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</row>
    <row r="138" spans="1:104" s="29" customFormat="1">
      <c r="A138" s="45" t="str">
        <f ca="1">IFERROR(MATCH($B$3,OFFSET(Sheet!$D$2,A137,0):'Sheet'!$D$7657,0)+A137,"")</f>
        <v/>
      </c>
      <c r="B138" s="29" t="str">
        <f ca="1">IF(ROW(A131)&lt;=COUNT($A$6:$A$800),INDEX(Sheet!$A$2:$A$7967,$A138),IF(ROW(A131)=COUNT($A$6:$A$800)+1," ",IF(ROW(A131)=COUNT($A$6:$A$800)+2,"  ","")))</f>
        <v/>
      </c>
      <c r="C138" s="67" t="str">
        <f ca="1">IF($A138="","",INDEX(Sheet!E$2:E$7967,$A138))</f>
        <v/>
      </c>
      <c r="D138" s="31" t="str">
        <f ca="1">IF(B135=" ",$AR$1,IF(B138=" ",$AQ$1,IF(A138="","",INDEX(Sheet!G$2:G$7967,$A138))))</f>
        <v/>
      </c>
      <c r="E138" s="32" t="str">
        <f ca="1">IF($A138="","",TEXT(INDEX(Sheet!J$2:J$7967,$A138),"#,#")&amp;" "&amp;INDEX(Sheet!AT$2:AT$7967,$A138))</f>
        <v/>
      </c>
      <c r="F138" s="53" t="str">
        <f ca="1">IF($A138="","",INDEX(Sheet!F$2:F$7967,$A138))</f>
        <v/>
      </c>
      <c r="G138" s="32" t="str">
        <f ca="1">IF($A138="","",INDEX(Sheet!I$2:I$7967,$A138))</f>
        <v/>
      </c>
      <c r="H138" s="32" t="str">
        <f ca="1">IF($A138="","",INDEX(Sheet!L$2:L$7967,$A138))</f>
        <v/>
      </c>
      <c r="I138" s="32" t="str">
        <f ca="1">IF($A138="","",INDEX(Sheet!N$2:N$7967,$A138))</f>
        <v/>
      </c>
      <c r="J138" s="53" t="str">
        <f ca="1">IF($A138="","",INDEX(Sheet!AS$2:AS$7967,$A138))</f>
        <v/>
      </c>
      <c r="K138" s="33" t="str">
        <f ca="1">IF($A138="","",IF(INDEX(Sheet!S$2:S$7967,$A138)="","",INDEX(Sheet!S$2:S$7967,$A138)))</f>
        <v/>
      </c>
      <c r="L138" s="33" t="str">
        <f ca="1">IF($A138="","",IF(INDEX(Sheet!R$2:R$7967,$A138)="","",INDEX(Sheet!R$2:R$7967,$A138)))</f>
        <v/>
      </c>
      <c r="M138" s="33" t="str">
        <f ca="1">IF($A138="","",IF(INDEX(Sheet!AO$2:AO$7967,$A138)="","",INDEX(Sheet!AO$2:AO$7967,$A138)))</f>
        <v/>
      </c>
      <c r="N138" s="33" t="str">
        <f ca="1">IF($A138="","",IF(INDEX(Sheet!T$2:T$7967,$A138)="","",INDEX(Sheet!T$2:T$7967,$A138)))</f>
        <v/>
      </c>
      <c r="O138" s="33" t="str">
        <f ca="1">IF($A138="","",IF(INDEX(Sheet!U$2:U$7967,$A138)="","",INDEX(Sheet!U$2:U$7967,$A138)))</f>
        <v/>
      </c>
      <c r="P138" s="33" t="str">
        <f ca="1">IF($A138="","",IF(INDEX(Sheet!W$2:W$7967,$A138)="","",INDEX(Sheet!W$2:W$7967,$A138)))</f>
        <v/>
      </c>
      <c r="Q138" s="33" t="str">
        <f ca="1">IF($A138="","",IF(INDEX(Sheet!V$2:V$7967,$A138)="","",INDEX(Sheet!V$2:V$7967,$A138)))</f>
        <v/>
      </c>
      <c r="R138" s="33" t="str">
        <f ca="1">IF($A138="","",IF(INDEX(Sheet!Z$2:Z$7967,$A138)="","",INDEX(Sheet!Z$2:Z$7967,$A138)))</f>
        <v/>
      </c>
      <c r="S138" s="33" t="str">
        <f ca="1">IF($A138="","",IF(INDEX(Sheet!Y$2:Y$7967,$A138)="","",INDEX(Sheet!Y$2:Y$7967,$A138)))</f>
        <v/>
      </c>
      <c r="T138" s="33" t="str">
        <f ca="1">IF($A138="","",IF(INDEX(Sheet!X$2:X$7967,$A138)="","",INDEX(Sheet!X$2:X$7967,$A138)))</f>
        <v/>
      </c>
      <c r="U138" s="33" t="str">
        <f ca="1">IF($A138="","",IF(INDEX(Sheet!AA$2:AA$7967,$A138)="","",INDEX(Sheet!AA$2:AA$7967,$A138)))</f>
        <v/>
      </c>
      <c r="V138" s="33" t="str">
        <f ca="1">IF($A138="","",IF(INDEX(Sheet!AB$2:AB$7967,$A138)="","",INDEX(Sheet!AB$2:AB$7967,$A138)))</f>
        <v/>
      </c>
      <c r="W138" s="33" t="str">
        <f ca="1">IF($A138="","",IF(INDEX(Sheet!AH$2:AH$7967,$A138)="","",INDEX(Sheet!AH$2:AH$7967,$A138)))</f>
        <v/>
      </c>
      <c r="X138" s="33" t="str">
        <f ca="1">IF($A138="","",IF(INDEX(Sheet!AC$2:AC$7967,$A138)="","",INDEX(Sheet!AC$2:AC$7967,$A138)))</f>
        <v/>
      </c>
      <c r="Y138" s="33" t="str">
        <f ca="1">IF($A138="","",IF(INDEX(Sheet!AD$2:AD$7967,$A138)="","",INDEX(Sheet!AD$2:AD$7967,$A138)))</f>
        <v/>
      </c>
      <c r="Z138" s="33" t="str">
        <f ca="1">IF($A138="","",IF(INDEX(Sheet!AL$2:AL$7967,$A138)="","",INDEX(Sheet!AL$2:AL$7967,$A138)))</f>
        <v/>
      </c>
      <c r="AA138" s="33" t="str">
        <f ca="1">IF($A138="","",IF(INDEX(Sheet!AE$2:AE$7967,$A138)="","",INDEX(Sheet!AE$2:AE$7967,$A138)))</f>
        <v/>
      </c>
      <c r="AB138" s="33" t="str">
        <f ca="1">IF($A138="","",IF(INDEX(Sheet!AF$2:AF$7967,$A138)="","",INDEX(Sheet!AF$2:AF$7967,$A138)))</f>
        <v/>
      </c>
      <c r="AC138" s="33" t="str">
        <f ca="1">IF($A138="","",IF(INDEX(Sheet!AG$2:AG$7967,$A138)="","",INDEX(Sheet!AG$2:AG$7967,$A138)))</f>
        <v/>
      </c>
      <c r="AD138" s="33" t="str">
        <f ca="1">IF($A138="","",IF(INDEX(Sheet!AM$2:AM$7967,$A138)="","",INDEX(Sheet!AM$2:AM$7967,$A138)))</f>
        <v/>
      </c>
      <c r="AE138" s="33" t="str">
        <f ca="1">IF($A138="","",IF(INDEX(Sheet!AJ$2:AJ$7967,$A138)="","",INDEX(Sheet!AJ$2:AJ$7967,$A138)))</f>
        <v/>
      </c>
      <c r="AF138" s="33" t="str">
        <f ca="1">IF($A138="","",IF(INDEX(Sheet!AI$2:AI$7967,$A138)="","",INDEX(Sheet!AI$2:AI$7967,$A138)))</f>
        <v/>
      </c>
      <c r="AG138" s="33" t="str">
        <f ca="1">IF(D138="duyệt sản xuất"," Bảo Bảo, Ngày "&amp;DAY($J$4)&amp;" Tháng "&amp;MONTH($J$4)&amp;" Năm "&amp;YEAR($J$4),IF(D138="Phê duyệt","NGƯỜI LẬP",IF(D138="Nguyễn Ngọc Thắng","NGUYỄN THỊ MAI",IF($A138="","",INDEX(Sheet!AK$2:AK$7967,$A138)))))</f>
        <v/>
      </c>
      <c r="AH138" s="58" t="str">
        <f ca="1">IF($A138="","",INDEX(Sheet!AR$2:AR$7967,$A138)&amp;" ; "&amp;INDEX(Sheet!M$2:M$7967,$A138))</f>
        <v/>
      </c>
      <c r="AI138" s="1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G138" s="35" t="str">
        <f ca="1">IFERROR(VALUE(separ(INDEX(Sheet!Q$2:Q$7967,$A138),"-",1)),"")</f>
        <v/>
      </c>
      <c r="BH138" s="35" t="str">
        <f ca="1">IFERROR(VALUE(separ(INDEX(Sheet!R$2:R$7967,$A138),"-",1)),"")</f>
        <v/>
      </c>
      <c r="BI138" s="35" t="str">
        <f ca="1">IFERROR(VALUE(separ(INDEX(Sheet!S$2:S$7967,$A138),"-",1)),"")</f>
        <v/>
      </c>
      <c r="BJ138" s="35" t="str">
        <f ca="1">IFERROR(VALUE(separ(INDEX(Sheet!T$2:T$7967,$A138),"-",1)),"")</f>
        <v/>
      </c>
      <c r="BK138" s="35" t="str">
        <f ca="1">IFERROR(VALUE(separ(INDEX(Sheet!U$2:U$7967,$A138),"-",1)),"")</f>
        <v/>
      </c>
      <c r="BL138" s="35" t="str">
        <f ca="1">IFERROR(VALUE(separ(INDEX(Sheet!V$2:V$7967,$A138),"-",1)),"")</f>
        <v/>
      </c>
      <c r="BM138" s="35" t="str">
        <f ca="1">IFERROR(VALUE(separ(INDEX(Sheet!W$2:W$7967,$A138),"-",1)),"")</f>
        <v/>
      </c>
      <c r="BN138" s="35" t="str">
        <f ca="1">IFERROR(VALUE(separ(INDEX(Sheet!X$2:X$7967,$A138),"-",1)),"")</f>
        <v/>
      </c>
      <c r="BO138" s="35" t="str">
        <f ca="1">IFERROR(VALUE(separ(INDEX(Sheet!Y$2:Y$7967,$A138),"-",1)),"")</f>
        <v/>
      </c>
      <c r="BP138" s="35" t="str">
        <f ca="1">IFERROR(VALUE(separ(INDEX(Sheet!Z$2:Z$7967,$A138),"-",1)),"")</f>
        <v/>
      </c>
      <c r="BQ138" s="35" t="str">
        <f ca="1">IFERROR(VALUE(separ(INDEX(Sheet!AA$2:AA$7967,$A138),"-",1)),"")</f>
        <v/>
      </c>
      <c r="BR138" s="35" t="str">
        <f ca="1">IFERROR(VALUE(separ(INDEX(Sheet!AB$2:AB$7967,$A138),"-",1)),"")</f>
        <v/>
      </c>
      <c r="BS138" s="35" t="str">
        <f ca="1">IFERROR(VALUE(separ(INDEX(Sheet!AC$2:AC$7967,$A138),"-",1)),"")</f>
        <v/>
      </c>
      <c r="BT138" s="35" t="str">
        <f ca="1">IFERROR(VALUE(separ(INDEX(Sheet!AD$2:AD$7967,$A138),"-",1)),"")</f>
        <v/>
      </c>
      <c r="BU138" s="35" t="str">
        <f ca="1">IFERROR(VALUE(separ(INDEX(Sheet!AE$2:AE$7967,$A138),"-",1)),"")</f>
        <v/>
      </c>
      <c r="BV138" s="35"/>
      <c r="BW138" s="35" t="str">
        <f ca="1">IFERROR((separ(INDEX(Sheet!Q$2:Q$7967,$A138),"-",2)),"")</f>
        <v/>
      </c>
      <c r="BX138" s="35" t="str">
        <f ca="1">IFERROR((separ(INDEX(Sheet!R$2:R$7967,$A138),"-",2)),"")</f>
        <v/>
      </c>
      <c r="BY138" s="35" t="str">
        <f ca="1">IFERROR((separ(INDEX(Sheet!S$2:S$7967,$A138),"-",2)),"")</f>
        <v/>
      </c>
      <c r="BZ138" s="35" t="str">
        <f ca="1">IFERROR((separ(INDEX(Sheet!T$2:T$7967,$A138),"-",2)),"")</f>
        <v/>
      </c>
      <c r="CA138" s="35" t="str">
        <f ca="1">IFERROR((separ(INDEX(Sheet!U$2:U$7967,$A138),"-",2)),"")</f>
        <v/>
      </c>
      <c r="CB138" s="35" t="str">
        <f ca="1">IFERROR((separ(INDEX(Sheet!V$2:V$7967,$A138),"-",2)),"")</f>
        <v/>
      </c>
      <c r="CC138" s="35" t="str">
        <f ca="1">IFERROR((separ(INDEX(Sheet!W$2:W$7967,$A138),"-",2)),"")</f>
        <v/>
      </c>
      <c r="CD138" s="35" t="str">
        <f ca="1">IFERROR((separ(INDEX(Sheet!X$2:X$7967,$A138),"-",2)),"")</f>
        <v/>
      </c>
      <c r="CE138" s="35" t="str">
        <f ca="1">IFERROR((separ(INDEX(Sheet!Y$2:Y$7967,$A138),"-",2)),"")</f>
        <v/>
      </c>
      <c r="CF138" s="35" t="str">
        <f ca="1">IFERROR((separ(INDEX(Sheet!Z$2:Z$7967,$A138),"-",2)),"")</f>
        <v/>
      </c>
      <c r="CG138" s="35" t="str">
        <f ca="1">IFERROR((separ(INDEX(Sheet!AA$2:AA$7967,$A138),"-",2)),"")</f>
        <v/>
      </c>
      <c r="CH138" s="35" t="str">
        <f ca="1">IFERROR((separ(INDEX(Sheet!AB$2:AB$7967,$A138),"-",2)),"")</f>
        <v/>
      </c>
      <c r="CI138" s="35" t="str">
        <f ca="1">IFERROR((separ(INDEX(Sheet!AC$2:AC$7967,$A138),"-",2)),"")</f>
        <v/>
      </c>
      <c r="CJ138" s="35" t="str">
        <f ca="1">IFERROR((separ(INDEX(Sheet!AD$2:AD$7967,$A138),"-",2)),"")</f>
        <v/>
      </c>
      <c r="CK138" s="35" t="str">
        <f ca="1">IFERROR((separ(INDEX(Sheet!AE$2:AE$7967,$A138),"-",2)),"")</f>
        <v/>
      </c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</row>
    <row r="139" spans="1:104" s="29" customFormat="1">
      <c r="A139" s="45" t="str">
        <f ca="1">IFERROR(MATCH($B$3,OFFSET(Sheet!$D$2,A138,0):'Sheet'!$D$7657,0)+A138,"")</f>
        <v/>
      </c>
      <c r="B139" s="29" t="str">
        <f ca="1">IF(ROW(A132)&lt;=COUNT($A$6:$A$800),INDEX(Sheet!$A$2:$A$7967,$A139),IF(ROW(A132)=COUNT($A$6:$A$800)+1," ",IF(ROW(A132)=COUNT($A$6:$A$800)+2,"  ","")))</f>
        <v/>
      </c>
      <c r="C139" s="67" t="str">
        <f ca="1">IF($A139="","",INDEX(Sheet!E$2:E$7967,$A139))</f>
        <v/>
      </c>
      <c r="D139" s="31" t="str">
        <f ca="1">IF(B136=" ",$AR$1,IF(B139=" ",$AQ$1,IF(A139="","",INDEX(Sheet!G$2:G$7967,$A139))))</f>
        <v/>
      </c>
      <c r="E139" s="32" t="str">
        <f ca="1">IF($A139="","",TEXT(INDEX(Sheet!J$2:J$7967,$A139),"#,#")&amp;" "&amp;INDEX(Sheet!AT$2:AT$7967,$A139))</f>
        <v/>
      </c>
      <c r="F139" s="53" t="str">
        <f ca="1">IF($A139="","",INDEX(Sheet!F$2:F$7967,$A139))</f>
        <v/>
      </c>
      <c r="G139" s="32" t="str">
        <f ca="1">IF($A139="","",INDEX(Sheet!I$2:I$7967,$A139))</f>
        <v/>
      </c>
      <c r="H139" s="32" t="str">
        <f ca="1">IF($A139="","",INDEX(Sheet!L$2:L$7967,$A139))</f>
        <v/>
      </c>
      <c r="I139" s="32" t="str">
        <f ca="1">IF($A139="","",INDEX(Sheet!N$2:N$7967,$A139))</f>
        <v/>
      </c>
      <c r="J139" s="53" t="str">
        <f ca="1">IF($A139="","",INDEX(Sheet!AS$2:AS$7967,$A139))</f>
        <v/>
      </c>
      <c r="K139" s="33" t="str">
        <f ca="1">IF($A139="","",IF(INDEX(Sheet!S$2:S$7967,$A139)="","",INDEX(Sheet!S$2:S$7967,$A139)))</f>
        <v/>
      </c>
      <c r="L139" s="33" t="str">
        <f ca="1">IF($A139="","",IF(INDEX(Sheet!R$2:R$7967,$A139)="","",INDEX(Sheet!R$2:R$7967,$A139)))</f>
        <v/>
      </c>
      <c r="M139" s="33" t="str">
        <f ca="1">IF($A139="","",IF(INDEX(Sheet!AO$2:AO$7967,$A139)="","",INDEX(Sheet!AO$2:AO$7967,$A139)))</f>
        <v/>
      </c>
      <c r="N139" s="33" t="str">
        <f ca="1">IF($A139="","",IF(INDEX(Sheet!T$2:T$7967,$A139)="","",INDEX(Sheet!T$2:T$7967,$A139)))</f>
        <v/>
      </c>
      <c r="O139" s="33" t="str">
        <f ca="1">IF($A139="","",IF(INDEX(Sheet!U$2:U$7967,$A139)="","",INDEX(Sheet!U$2:U$7967,$A139)))</f>
        <v/>
      </c>
      <c r="P139" s="33" t="str">
        <f ca="1">IF($A139="","",IF(INDEX(Sheet!W$2:W$7967,$A139)="","",INDEX(Sheet!W$2:W$7967,$A139)))</f>
        <v/>
      </c>
      <c r="Q139" s="33" t="str">
        <f ca="1">IF($A139="","",IF(INDEX(Sheet!V$2:V$7967,$A139)="","",INDEX(Sheet!V$2:V$7967,$A139)))</f>
        <v/>
      </c>
      <c r="R139" s="33" t="str">
        <f ca="1">IF($A139="","",IF(INDEX(Sheet!Z$2:Z$7967,$A139)="","",INDEX(Sheet!Z$2:Z$7967,$A139)))</f>
        <v/>
      </c>
      <c r="S139" s="33" t="str">
        <f ca="1">IF($A139="","",IF(INDEX(Sheet!Y$2:Y$7967,$A139)="","",INDEX(Sheet!Y$2:Y$7967,$A139)))</f>
        <v/>
      </c>
      <c r="T139" s="33" t="str">
        <f ca="1">IF($A139="","",IF(INDEX(Sheet!X$2:X$7967,$A139)="","",INDEX(Sheet!X$2:X$7967,$A139)))</f>
        <v/>
      </c>
      <c r="U139" s="33" t="str">
        <f ca="1">IF($A139="","",IF(INDEX(Sheet!AA$2:AA$7967,$A139)="","",INDEX(Sheet!AA$2:AA$7967,$A139)))</f>
        <v/>
      </c>
      <c r="V139" s="33" t="str">
        <f ca="1">IF($A139="","",IF(INDEX(Sheet!AB$2:AB$7967,$A139)="","",INDEX(Sheet!AB$2:AB$7967,$A139)))</f>
        <v/>
      </c>
      <c r="W139" s="33" t="str">
        <f ca="1">IF($A139="","",IF(INDEX(Sheet!AH$2:AH$7967,$A139)="","",INDEX(Sheet!AH$2:AH$7967,$A139)))</f>
        <v/>
      </c>
      <c r="X139" s="33" t="str">
        <f ca="1">IF($A139="","",IF(INDEX(Sheet!AC$2:AC$7967,$A139)="","",INDEX(Sheet!AC$2:AC$7967,$A139)))</f>
        <v/>
      </c>
      <c r="Y139" s="33" t="str">
        <f ca="1">IF($A139="","",IF(INDEX(Sheet!AD$2:AD$7967,$A139)="","",INDEX(Sheet!AD$2:AD$7967,$A139)))</f>
        <v/>
      </c>
      <c r="Z139" s="33" t="str">
        <f ca="1">IF($A139="","",IF(INDEX(Sheet!AL$2:AL$7967,$A139)="","",INDEX(Sheet!AL$2:AL$7967,$A139)))</f>
        <v/>
      </c>
      <c r="AA139" s="33" t="str">
        <f ca="1">IF($A139="","",IF(INDEX(Sheet!AE$2:AE$7967,$A139)="","",INDEX(Sheet!AE$2:AE$7967,$A139)))</f>
        <v/>
      </c>
      <c r="AB139" s="33" t="str">
        <f ca="1">IF($A139="","",IF(INDEX(Sheet!AF$2:AF$7967,$A139)="","",INDEX(Sheet!AF$2:AF$7967,$A139)))</f>
        <v/>
      </c>
      <c r="AC139" s="33" t="str">
        <f ca="1">IF($A139="","",IF(INDEX(Sheet!AG$2:AG$7967,$A139)="","",INDEX(Sheet!AG$2:AG$7967,$A139)))</f>
        <v/>
      </c>
      <c r="AD139" s="33" t="str">
        <f ca="1">IF($A139="","",IF(INDEX(Sheet!AM$2:AM$7967,$A139)="","",INDEX(Sheet!AM$2:AM$7967,$A139)))</f>
        <v/>
      </c>
      <c r="AE139" s="33" t="str">
        <f ca="1">IF($A139="","",IF(INDEX(Sheet!AJ$2:AJ$7967,$A139)="","",INDEX(Sheet!AJ$2:AJ$7967,$A139)))</f>
        <v/>
      </c>
      <c r="AF139" s="33" t="str">
        <f ca="1">IF($A139="","",IF(INDEX(Sheet!AI$2:AI$7967,$A139)="","",INDEX(Sheet!AI$2:AI$7967,$A139)))</f>
        <v/>
      </c>
      <c r="AG139" s="33" t="str">
        <f ca="1">IF(D139="duyệt sản xuất"," Bảo Bảo, Ngày "&amp;DAY($J$4)&amp;" Tháng "&amp;MONTH($J$4)&amp;" Năm "&amp;YEAR($J$4),IF(D139="Phê duyệt","NGƯỜI LẬP",IF(D139="Nguyễn Ngọc Thắng","NGUYỄN THỊ MAI",IF($A139="","",INDEX(Sheet!AK$2:AK$7967,$A139)))))</f>
        <v/>
      </c>
      <c r="AH139" s="58" t="str">
        <f ca="1">IF($A139="","",INDEX(Sheet!AR$2:AR$7967,$A139)&amp;" ; "&amp;INDEX(Sheet!M$2:M$7967,$A139))</f>
        <v/>
      </c>
      <c r="AI139" s="1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G139" s="35" t="str">
        <f ca="1">IFERROR(VALUE(separ(INDEX(Sheet!Q$2:Q$7967,$A139),"-",1)),"")</f>
        <v/>
      </c>
      <c r="BH139" s="35" t="str">
        <f ca="1">IFERROR(VALUE(separ(INDEX(Sheet!R$2:R$7967,$A139),"-",1)),"")</f>
        <v/>
      </c>
      <c r="BI139" s="35" t="str">
        <f ca="1">IFERROR(VALUE(separ(INDEX(Sheet!S$2:S$7967,$A139),"-",1)),"")</f>
        <v/>
      </c>
      <c r="BJ139" s="35" t="str">
        <f ca="1">IFERROR(VALUE(separ(INDEX(Sheet!T$2:T$7967,$A139),"-",1)),"")</f>
        <v/>
      </c>
      <c r="BK139" s="35" t="str">
        <f ca="1">IFERROR(VALUE(separ(INDEX(Sheet!U$2:U$7967,$A139),"-",1)),"")</f>
        <v/>
      </c>
      <c r="BL139" s="35" t="str">
        <f ca="1">IFERROR(VALUE(separ(INDEX(Sheet!V$2:V$7967,$A139),"-",1)),"")</f>
        <v/>
      </c>
      <c r="BM139" s="35" t="str">
        <f ca="1">IFERROR(VALUE(separ(INDEX(Sheet!W$2:W$7967,$A139),"-",1)),"")</f>
        <v/>
      </c>
      <c r="BN139" s="35" t="str">
        <f ca="1">IFERROR(VALUE(separ(INDEX(Sheet!X$2:X$7967,$A139),"-",1)),"")</f>
        <v/>
      </c>
      <c r="BO139" s="35" t="str">
        <f ca="1">IFERROR(VALUE(separ(INDEX(Sheet!Y$2:Y$7967,$A139),"-",1)),"")</f>
        <v/>
      </c>
      <c r="BP139" s="35" t="str">
        <f ca="1">IFERROR(VALUE(separ(INDEX(Sheet!Z$2:Z$7967,$A139),"-",1)),"")</f>
        <v/>
      </c>
      <c r="BQ139" s="35" t="str">
        <f ca="1">IFERROR(VALUE(separ(INDEX(Sheet!AA$2:AA$7967,$A139),"-",1)),"")</f>
        <v/>
      </c>
      <c r="BR139" s="35" t="str">
        <f ca="1">IFERROR(VALUE(separ(INDEX(Sheet!AB$2:AB$7967,$A139),"-",1)),"")</f>
        <v/>
      </c>
      <c r="BS139" s="35" t="str">
        <f ca="1">IFERROR(VALUE(separ(INDEX(Sheet!AC$2:AC$7967,$A139),"-",1)),"")</f>
        <v/>
      </c>
      <c r="BT139" s="35" t="str">
        <f ca="1">IFERROR(VALUE(separ(INDEX(Sheet!AD$2:AD$7967,$A139),"-",1)),"")</f>
        <v/>
      </c>
      <c r="BU139" s="35" t="str">
        <f ca="1">IFERROR(VALUE(separ(INDEX(Sheet!AE$2:AE$7967,$A139),"-",1)),"")</f>
        <v/>
      </c>
      <c r="BV139" s="35"/>
      <c r="BW139" s="35" t="str">
        <f ca="1">IFERROR((separ(INDEX(Sheet!Q$2:Q$7967,$A139),"-",2)),"")</f>
        <v/>
      </c>
      <c r="BX139" s="35" t="str">
        <f ca="1">IFERROR((separ(INDEX(Sheet!R$2:R$7967,$A139),"-",2)),"")</f>
        <v/>
      </c>
      <c r="BY139" s="35" t="str">
        <f ca="1">IFERROR((separ(INDEX(Sheet!S$2:S$7967,$A139),"-",2)),"")</f>
        <v/>
      </c>
      <c r="BZ139" s="35" t="str">
        <f ca="1">IFERROR((separ(INDEX(Sheet!T$2:T$7967,$A139),"-",2)),"")</f>
        <v/>
      </c>
      <c r="CA139" s="35" t="str">
        <f ca="1">IFERROR((separ(INDEX(Sheet!U$2:U$7967,$A139),"-",2)),"")</f>
        <v/>
      </c>
      <c r="CB139" s="35" t="str">
        <f ca="1">IFERROR((separ(INDEX(Sheet!V$2:V$7967,$A139),"-",2)),"")</f>
        <v/>
      </c>
      <c r="CC139" s="35" t="str">
        <f ca="1">IFERROR((separ(INDEX(Sheet!W$2:W$7967,$A139),"-",2)),"")</f>
        <v/>
      </c>
      <c r="CD139" s="35" t="str">
        <f ca="1">IFERROR((separ(INDEX(Sheet!X$2:X$7967,$A139),"-",2)),"")</f>
        <v/>
      </c>
      <c r="CE139" s="35" t="str">
        <f ca="1">IFERROR((separ(INDEX(Sheet!Y$2:Y$7967,$A139),"-",2)),"")</f>
        <v/>
      </c>
      <c r="CF139" s="35" t="str">
        <f ca="1">IFERROR((separ(INDEX(Sheet!Z$2:Z$7967,$A139),"-",2)),"")</f>
        <v/>
      </c>
      <c r="CG139" s="35" t="str">
        <f ca="1">IFERROR((separ(INDEX(Sheet!AA$2:AA$7967,$A139),"-",2)),"")</f>
        <v/>
      </c>
      <c r="CH139" s="35" t="str">
        <f ca="1">IFERROR((separ(INDEX(Sheet!AB$2:AB$7967,$A139),"-",2)),"")</f>
        <v/>
      </c>
      <c r="CI139" s="35" t="str">
        <f ca="1">IFERROR((separ(INDEX(Sheet!AC$2:AC$7967,$A139),"-",2)),"")</f>
        <v/>
      </c>
      <c r="CJ139" s="35" t="str">
        <f ca="1">IFERROR((separ(INDEX(Sheet!AD$2:AD$7967,$A139),"-",2)),"")</f>
        <v/>
      </c>
      <c r="CK139" s="35" t="str">
        <f ca="1">IFERROR((separ(INDEX(Sheet!AE$2:AE$7967,$A139),"-",2)),"")</f>
        <v/>
      </c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</row>
    <row r="140" spans="1:104" s="29" customFormat="1">
      <c r="A140" s="45" t="str">
        <f ca="1">IFERROR(MATCH($B$3,OFFSET(Sheet!$D$2,A139,0):'Sheet'!$D$7657,0)+A139,"")</f>
        <v/>
      </c>
      <c r="B140" s="29" t="str">
        <f ca="1">IF(ROW(A133)&lt;=COUNT($A$6:$A$800),INDEX(Sheet!$A$2:$A$7967,$A140),IF(ROW(A133)=COUNT($A$6:$A$800)+1," ",IF(ROW(A133)=COUNT($A$6:$A$800)+2,"  ","")))</f>
        <v/>
      </c>
      <c r="C140" s="67" t="str">
        <f ca="1">IF($A140="","",INDEX(Sheet!E$2:E$7967,$A140))</f>
        <v/>
      </c>
      <c r="D140" s="31" t="str">
        <f ca="1">IF(B137=" ",$AR$1,IF(B140=" ",$AQ$1,IF(A140="","",INDEX(Sheet!G$2:G$7967,$A140))))</f>
        <v/>
      </c>
      <c r="E140" s="32" t="str">
        <f ca="1">IF($A140="","",TEXT(INDEX(Sheet!J$2:J$7967,$A140),"#,#")&amp;" "&amp;INDEX(Sheet!AT$2:AT$7967,$A140))</f>
        <v/>
      </c>
      <c r="F140" s="53" t="str">
        <f ca="1">IF($A140="","",INDEX(Sheet!F$2:F$7967,$A140))</f>
        <v/>
      </c>
      <c r="G140" s="32" t="str">
        <f ca="1">IF($A140="","",INDEX(Sheet!I$2:I$7967,$A140))</f>
        <v/>
      </c>
      <c r="H140" s="32" t="str">
        <f ca="1">IF($A140="","",INDEX(Sheet!L$2:L$7967,$A140))</f>
        <v/>
      </c>
      <c r="I140" s="32" t="str">
        <f ca="1">IF($A140="","",INDEX(Sheet!N$2:N$7967,$A140))</f>
        <v/>
      </c>
      <c r="J140" s="53" t="str">
        <f ca="1">IF($A140="","",INDEX(Sheet!AS$2:AS$7967,$A140))</f>
        <v/>
      </c>
      <c r="K140" s="33" t="str">
        <f ca="1">IF($A140="","",IF(INDEX(Sheet!S$2:S$7967,$A140)="","",INDEX(Sheet!S$2:S$7967,$A140)))</f>
        <v/>
      </c>
      <c r="L140" s="33" t="str">
        <f ca="1">IF($A140="","",IF(INDEX(Sheet!R$2:R$7967,$A140)="","",INDEX(Sheet!R$2:R$7967,$A140)))</f>
        <v/>
      </c>
      <c r="M140" s="33" t="str">
        <f ca="1">IF($A140="","",IF(INDEX(Sheet!AO$2:AO$7967,$A140)="","",INDEX(Sheet!AO$2:AO$7967,$A140)))</f>
        <v/>
      </c>
      <c r="N140" s="33" t="str">
        <f ca="1">IF($A140="","",IF(INDEX(Sheet!T$2:T$7967,$A140)="","",INDEX(Sheet!T$2:T$7967,$A140)))</f>
        <v/>
      </c>
      <c r="O140" s="33" t="str">
        <f ca="1">IF($A140="","",IF(INDEX(Sheet!U$2:U$7967,$A140)="","",INDEX(Sheet!U$2:U$7967,$A140)))</f>
        <v/>
      </c>
      <c r="P140" s="33" t="str">
        <f ca="1">IF($A140="","",IF(INDEX(Sheet!W$2:W$7967,$A140)="","",INDEX(Sheet!W$2:W$7967,$A140)))</f>
        <v/>
      </c>
      <c r="Q140" s="33" t="str">
        <f ca="1">IF($A140="","",IF(INDEX(Sheet!V$2:V$7967,$A140)="","",INDEX(Sheet!V$2:V$7967,$A140)))</f>
        <v/>
      </c>
      <c r="R140" s="33" t="str">
        <f ca="1">IF($A140="","",IF(INDEX(Sheet!Z$2:Z$7967,$A140)="","",INDEX(Sheet!Z$2:Z$7967,$A140)))</f>
        <v/>
      </c>
      <c r="S140" s="33" t="str">
        <f ca="1">IF($A140="","",IF(INDEX(Sheet!Y$2:Y$7967,$A140)="","",INDEX(Sheet!Y$2:Y$7967,$A140)))</f>
        <v/>
      </c>
      <c r="T140" s="33" t="str">
        <f ca="1">IF($A140="","",IF(INDEX(Sheet!X$2:X$7967,$A140)="","",INDEX(Sheet!X$2:X$7967,$A140)))</f>
        <v/>
      </c>
      <c r="U140" s="33" t="str">
        <f ca="1">IF($A140="","",IF(INDEX(Sheet!AA$2:AA$7967,$A140)="","",INDEX(Sheet!AA$2:AA$7967,$A140)))</f>
        <v/>
      </c>
      <c r="V140" s="33" t="str">
        <f ca="1">IF($A140="","",IF(INDEX(Sheet!AB$2:AB$7967,$A140)="","",INDEX(Sheet!AB$2:AB$7967,$A140)))</f>
        <v/>
      </c>
      <c r="W140" s="33" t="str">
        <f ca="1">IF($A140="","",IF(INDEX(Sheet!AH$2:AH$7967,$A140)="","",INDEX(Sheet!AH$2:AH$7967,$A140)))</f>
        <v/>
      </c>
      <c r="X140" s="33" t="str">
        <f ca="1">IF($A140="","",IF(INDEX(Sheet!AC$2:AC$7967,$A140)="","",INDEX(Sheet!AC$2:AC$7967,$A140)))</f>
        <v/>
      </c>
      <c r="Y140" s="33" t="str">
        <f ca="1">IF($A140="","",IF(INDEX(Sheet!AD$2:AD$7967,$A140)="","",INDEX(Sheet!AD$2:AD$7967,$A140)))</f>
        <v/>
      </c>
      <c r="Z140" s="33" t="str">
        <f ca="1">IF($A140="","",IF(INDEX(Sheet!AL$2:AL$7967,$A140)="","",INDEX(Sheet!AL$2:AL$7967,$A140)))</f>
        <v/>
      </c>
      <c r="AA140" s="33" t="str">
        <f ca="1">IF($A140="","",IF(INDEX(Sheet!AE$2:AE$7967,$A140)="","",INDEX(Sheet!AE$2:AE$7967,$A140)))</f>
        <v/>
      </c>
      <c r="AB140" s="33" t="str">
        <f ca="1">IF($A140="","",IF(INDEX(Sheet!AF$2:AF$7967,$A140)="","",INDEX(Sheet!AF$2:AF$7967,$A140)))</f>
        <v/>
      </c>
      <c r="AC140" s="33" t="str">
        <f ca="1">IF($A140="","",IF(INDEX(Sheet!AG$2:AG$7967,$A140)="","",INDEX(Sheet!AG$2:AG$7967,$A140)))</f>
        <v/>
      </c>
      <c r="AD140" s="33" t="str">
        <f ca="1">IF($A140="","",IF(INDEX(Sheet!AM$2:AM$7967,$A140)="","",INDEX(Sheet!AM$2:AM$7967,$A140)))</f>
        <v/>
      </c>
      <c r="AE140" s="33" t="str">
        <f ca="1">IF($A140="","",IF(INDEX(Sheet!AJ$2:AJ$7967,$A140)="","",INDEX(Sheet!AJ$2:AJ$7967,$A140)))</f>
        <v/>
      </c>
      <c r="AF140" s="33" t="str">
        <f ca="1">IF($A140="","",IF(INDEX(Sheet!AI$2:AI$7967,$A140)="","",INDEX(Sheet!AI$2:AI$7967,$A140)))</f>
        <v/>
      </c>
      <c r="AG140" s="33" t="str">
        <f ca="1">IF(D140="duyệt sản xuất"," Bảo Bảo, Ngày "&amp;DAY($J$4)&amp;" Tháng "&amp;MONTH($J$4)&amp;" Năm "&amp;YEAR($J$4),IF(D140="Phê duyệt","NGƯỜI LẬP",IF(D140="Nguyễn Ngọc Thắng","NGUYỄN THỊ MAI",IF($A140="","",INDEX(Sheet!AK$2:AK$7967,$A140)))))</f>
        <v/>
      </c>
      <c r="AH140" s="58" t="str">
        <f ca="1">IF($A140="","",INDEX(Sheet!AR$2:AR$7967,$A140)&amp;" ; "&amp;INDEX(Sheet!M$2:M$7967,$A140))</f>
        <v/>
      </c>
      <c r="AI140" s="1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G140" s="35" t="str">
        <f ca="1">IFERROR(VALUE(separ(INDEX(Sheet!Q$2:Q$7967,$A140),"-",1)),"")</f>
        <v/>
      </c>
      <c r="BH140" s="35" t="str">
        <f ca="1">IFERROR(VALUE(separ(INDEX(Sheet!R$2:R$7967,$A140),"-",1)),"")</f>
        <v/>
      </c>
      <c r="BI140" s="35" t="str">
        <f ca="1">IFERROR(VALUE(separ(INDEX(Sheet!S$2:S$7967,$A140),"-",1)),"")</f>
        <v/>
      </c>
      <c r="BJ140" s="35" t="str">
        <f ca="1">IFERROR(VALUE(separ(INDEX(Sheet!T$2:T$7967,$A140),"-",1)),"")</f>
        <v/>
      </c>
      <c r="BK140" s="35" t="str">
        <f ca="1">IFERROR(VALUE(separ(INDEX(Sheet!U$2:U$7967,$A140),"-",1)),"")</f>
        <v/>
      </c>
      <c r="BL140" s="35" t="str">
        <f ca="1">IFERROR(VALUE(separ(INDEX(Sheet!V$2:V$7967,$A140),"-",1)),"")</f>
        <v/>
      </c>
      <c r="BM140" s="35" t="str">
        <f ca="1">IFERROR(VALUE(separ(INDEX(Sheet!W$2:W$7967,$A140),"-",1)),"")</f>
        <v/>
      </c>
      <c r="BN140" s="35" t="str">
        <f ca="1">IFERROR(VALUE(separ(INDEX(Sheet!X$2:X$7967,$A140),"-",1)),"")</f>
        <v/>
      </c>
      <c r="BO140" s="35" t="str">
        <f ca="1">IFERROR(VALUE(separ(INDEX(Sheet!Y$2:Y$7967,$A140),"-",1)),"")</f>
        <v/>
      </c>
      <c r="BP140" s="35" t="str">
        <f ca="1">IFERROR(VALUE(separ(INDEX(Sheet!Z$2:Z$7967,$A140),"-",1)),"")</f>
        <v/>
      </c>
      <c r="BQ140" s="35" t="str">
        <f ca="1">IFERROR(VALUE(separ(INDEX(Sheet!AA$2:AA$7967,$A140),"-",1)),"")</f>
        <v/>
      </c>
      <c r="BR140" s="35" t="str">
        <f ca="1">IFERROR(VALUE(separ(INDEX(Sheet!AB$2:AB$7967,$A140),"-",1)),"")</f>
        <v/>
      </c>
      <c r="BS140" s="35" t="str">
        <f ca="1">IFERROR(VALUE(separ(INDEX(Sheet!AC$2:AC$7967,$A140),"-",1)),"")</f>
        <v/>
      </c>
      <c r="BT140" s="35" t="str">
        <f ca="1">IFERROR(VALUE(separ(INDEX(Sheet!AD$2:AD$7967,$A140),"-",1)),"")</f>
        <v/>
      </c>
      <c r="BU140" s="35" t="str">
        <f ca="1">IFERROR(VALUE(separ(INDEX(Sheet!AE$2:AE$7967,$A140),"-",1)),"")</f>
        <v/>
      </c>
      <c r="BV140" s="35"/>
      <c r="BW140" s="35" t="str">
        <f ca="1">IFERROR((separ(INDEX(Sheet!Q$2:Q$7967,$A140),"-",2)),"")</f>
        <v/>
      </c>
      <c r="BX140" s="35" t="str">
        <f ca="1">IFERROR((separ(INDEX(Sheet!R$2:R$7967,$A140),"-",2)),"")</f>
        <v/>
      </c>
      <c r="BY140" s="35" t="str">
        <f ca="1">IFERROR((separ(INDEX(Sheet!S$2:S$7967,$A140),"-",2)),"")</f>
        <v/>
      </c>
      <c r="BZ140" s="35" t="str">
        <f ca="1">IFERROR((separ(INDEX(Sheet!T$2:T$7967,$A140),"-",2)),"")</f>
        <v/>
      </c>
      <c r="CA140" s="35" t="str">
        <f ca="1">IFERROR((separ(INDEX(Sheet!U$2:U$7967,$A140),"-",2)),"")</f>
        <v/>
      </c>
      <c r="CB140" s="35" t="str">
        <f ca="1">IFERROR((separ(INDEX(Sheet!V$2:V$7967,$A140),"-",2)),"")</f>
        <v/>
      </c>
      <c r="CC140" s="35" t="str">
        <f ca="1">IFERROR((separ(INDEX(Sheet!W$2:W$7967,$A140),"-",2)),"")</f>
        <v/>
      </c>
      <c r="CD140" s="35" t="str">
        <f ca="1">IFERROR((separ(INDEX(Sheet!X$2:X$7967,$A140),"-",2)),"")</f>
        <v/>
      </c>
      <c r="CE140" s="35" t="str">
        <f ca="1">IFERROR((separ(INDEX(Sheet!Y$2:Y$7967,$A140),"-",2)),"")</f>
        <v/>
      </c>
      <c r="CF140" s="35" t="str">
        <f ca="1">IFERROR((separ(INDEX(Sheet!Z$2:Z$7967,$A140),"-",2)),"")</f>
        <v/>
      </c>
      <c r="CG140" s="35" t="str">
        <f ca="1">IFERROR((separ(INDEX(Sheet!AA$2:AA$7967,$A140),"-",2)),"")</f>
        <v/>
      </c>
      <c r="CH140" s="35" t="str">
        <f ca="1">IFERROR((separ(INDEX(Sheet!AB$2:AB$7967,$A140),"-",2)),"")</f>
        <v/>
      </c>
      <c r="CI140" s="35" t="str">
        <f ca="1">IFERROR((separ(INDEX(Sheet!AC$2:AC$7967,$A140),"-",2)),"")</f>
        <v/>
      </c>
      <c r="CJ140" s="35" t="str">
        <f ca="1">IFERROR((separ(INDEX(Sheet!AD$2:AD$7967,$A140),"-",2)),"")</f>
        <v/>
      </c>
      <c r="CK140" s="35" t="str">
        <f ca="1">IFERROR((separ(INDEX(Sheet!AE$2:AE$7967,$A140),"-",2)),"")</f>
        <v/>
      </c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</row>
    <row r="141" spans="1:104" s="29" customFormat="1">
      <c r="A141" s="45" t="str">
        <f ca="1">IFERROR(MATCH($B$3,OFFSET(Sheet!$D$2,A140,0):'Sheet'!$D$7657,0)+A140,"")</f>
        <v/>
      </c>
      <c r="B141" s="29" t="str">
        <f ca="1">IF(ROW(A134)&lt;=COUNT($A$6:$A$800),INDEX(Sheet!$A$2:$A$7967,$A141),IF(ROW(A134)=COUNT($A$6:$A$800)+1," ",IF(ROW(A134)=COUNT($A$6:$A$800)+2,"  ","")))</f>
        <v/>
      </c>
      <c r="C141" s="67" t="str">
        <f ca="1">IF($A141="","",INDEX(Sheet!E$2:E$7967,$A141))</f>
        <v/>
      </c>
      <c r="D141" s="31" t="str">
        <f ca="1">IF(B138=" ",$AR$1,IF(B141=" ",$AQ$1,IF(A141="","",INDEX(Sheet!G$2:G$7967,$A141))))</f>
        <v/>
      </c>
      <c r="E141" s="32" t="str">
        <f ca="1">IF($A141="","",TEXT(INDEX(Sheet!J$2:J$7967,$A141),"#,#")&amp;" "&amp;INDEX(Sheet!AT$2:AT$7967,$A141))</f>
        <v/>
      </c>
      <c r="F141" s="53" t="str">
        <f ca="1">IF($A141="","",INDEX(Sheet!F$2:F$7967,$A141))</f>
        <v/>
      </c>
      <c r="G141" s="32" t="str">
        <f ca="1">IF($A141="","",INDEX(Sheet!I$2:I$7967,$A141))</f>
        <v/>
      </c>
      <c r="H141" s="32" t="str">
        <f ca="1">IF($A141="","",INDEX(Sheet!L$2:L$7967,$A141))</f>
        <v/>
      </c>
      <c r="I141" s="32" t="str">
        <f ca="1">IF($A141="","",INDEX(Sheet!N$2:N$7967,$A141))</f>
        <v/>
      </c>
      <c r="J141" s="53" t="str">
        <f ca="1">IF($A141="","",INDEX(Sheet!AS$2:AS$7967,$A141))</f>
        <v/>
      </c>
      <c r="K141" s="33" t="str">
        <f ca="1">IF($A141="","",IF(INDEX(Sheet!S$2:S$7967,$A141)="","",INDEX(Sheet!S$2:S$7967,$A141)))</f>
        <v/>
      </c>
      <c r="L141" s="33" t="str">
        <f ca="1">IF($A141="","",IF(INDEX(Sheet!R$2:R$7967,$A141)="","",INDEX(Sheet!R$2:R$7967,$A141)))</f>
        <v/>
      </c>
      <c r="M141" s="33" t="str">
        <f ca="1">IF($A141="","",IF(INDEX(Sheet!AO$2:AO$7967,$A141)="","",INDEX(Sheet!AO$2:AO$7967,$A141)))</f>
        <v/>
      </c>
      <c r="N141" s="33" t="str">
        <f ca="1">IF($A141="","",IF(INDEX(Sheet!T$2:T$7967,$A141)="","",INDEX(Sheet!T$2:T$7967,$A141)))</f>
        <v/>
      </c>
      <c r="O141" s="33" t="str">
        <f ca="1">IF($A141="","",IF(INDEX(Sheet!U$2:U$7967,$A141)="","",INDEX(Sheet!U$2:U$7967,$A141)))</f>
        <v/>
      </c>
      <c r="P141" s="33" t="str">
        <f ca="1">IF($A141="","",IF(INDEX(Sheet!W$2:W$7967,$A141)="","",INDEX(Sheet!W$2:W$7967,$A141)))</f>
        <v/>
      </c>
      <c r="Q141" s="33" t="str">
        <f ca="1">IF($A141="","",IF(INDEX(Sheet!V$2:V$7967,$A141)="","",INDEX(Sheet!V$2:V$7967,$A141)))</f>
        <v/>
      </c>
      <c r="R141" s="33" t="str">
        <f ca="1">IF($A141="","",IF(INDEX(Sheet!Z$2:Z$7967,$A141)="","",INDEX(Sheet!Z$2:Z$7967,$A141)))</f>
        <v/>
      </c>
      <c r="S141" s="33" t="str">
        <f ca="1">IF($A141="","",IF(INDEX(Sheet!Y$2:Y$7967,$A141)="","",INDEX(Sheet!Y$2:Y$7967,$A141)))</f>
        <v/>
      </c>
      <c r="T141" s="33" t="str">
        <f ca="1">IF($A141="","",IF(INDEX(Sheet!X$2:X$7967,$A141)="","",INDEX(Sheet!X$2:X$7967,$A141)))</f>
        <v/>
      </c>
      <c r="U141" s="33" t="str">
        <f ca="1">IF($A141="","",IF(INDEX(Sheet!AA$2:AA$7967,$A141)="","",INDEX(Sheet!AA$2:AA$7967,$A141)))</f>
        <v/>
      </c>
      <c r="V141" s="33" t="str">
        <f ca="1">IF($A141="","",IF(INDEX(Sheet!AB$2:AB$7967,$A141)="","",INDEX(Sheet!AB$2:AB$7967,$A141)))</f>
        <v/>
      </c>
      <c r="W141" s="33" t="str">
        <f ca="1">IF($A141="","",IF(INDEX(Sheet!AH$2:AH$7967,$A141)="","",INDEX(Sheet!AH$2:AH$7967,$A141)))</f>
        <v/>
      </c>
      <c r="X141" s="33" t="str">
        <f ca="1">IF($A141="","",IF(INDEX(Sheet!AC$2:AC$7967,$A141)="","",INDEX(Sheet!AC$2:AC$7967,$A141)))</f>
        <v/>
      </c>
      <c r="Y141" s="33" t="str">
        <f ca="1">IF($A141="","",IF(INDEX(Sheet!AD$2:AD$7967,$A141)="","",INDEX(Sheet!AD$2:AD$7967,$A141)))</f>
        <v/>
      </c>
      <c r="Z141" s="33" t="str">
        <f ca="1">IF($A141="","",IF(INDEX(Sheet!AL$2:AL$7967,$A141)="","",INDEX(Sheet!AL$2:AL$7967,$A141)))</f>
        <v/>
      </c>
      <c r="AA141" s="33" t="str">
        <f ca="1">IF($A141="","",IF(INDEX(Sheet!AE$2:AE$7967,$A141)="","",INDEX(Sheet!AE$2:AE$7967,$A141)))</f>
        <v/>
      </c>
      <c r="AB141" s="33" t="str">
        <f ca="1">IF($A141="","",IF(INDEX(Sheet!AF$2:AF$7967,$A141)="","",INDEX(Sheet!AF$2:AF$7967,$A141)))</f>
        <v/>
      </c>
      <c r="AC141" s="33" t="str">
        <f ca="1">IF($A141="","",IF(INDEX(Sheet!AG$2:AG$7967,$A141)="","",INDEX(Sheet!AG$2:AG$7967,$A141)))</f>
        <v/>
      </c>
      <c r="AD141" s="33" t="str">
        <f ca="1">IF($A141="","",IF(INDEX(Sheet!AM$2:AM$7967,$A141)="","",INDEX(Sheet!AM$2:AM$7967,$A141)))</f>
        <v/>
      </c>
      <c r="AE141" s="33" t="str">
        <f ca="1">IF($A141="","",IF(INDEX(Sheet!AJ$2:AJ$7967,$A141)="","",INDEX(Sheet!AJ$2:AJ$7967,$A141)))</f>
        <v/>
      </c>
      <c r="AF141" s="33" t="str">
        <f ca="1">IF($A141="","",IF(INDEX(Sheet!AI$2:AI$7967,$A141)="","",INDEX(Sheet!AI$2:AI$7967,$A141)))</f>
        <v/>
      </c>
      <c r="AG141" s="33" t="str">
        <f ca="1">IF(D141="duyệt sản xuất"," Bảo Bảo, Ngày "&amp;DAY($J$4)&amp;" Tháng "&amp;MONTH($J$4)&amp;" Năm "&amp;YEAR($J$4),IF(D141="Phê duyệt","NGƯỜI LẬP",IF(D141="Nguyễn Ngọc Thắng","NGUYỄN THỊ MAI",IF($A141="","",INDEX(Sheet!AK$2:AK$7967,$A141)))))</f>
        <v/>
      </c>
      <c r="AH141" s="58" t="str">
        <f ca="1">IF($A141="","",INDEX(Sheet!AR$2:AR$7967,$A141)&amp;" ; "&amp;INDEX(Sheet!M$2:M$7967,$A141))</f>
        <v/>
      </c>
      <c r="AI141" s="1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G141" s="35" t="str">
        <f ca="1">IFERROR(VALUE(separ(INDEX(Sheet!Q$2:Q$7967,$A141),"-",1)),"")</f>
        <v/>
      </c>
      <c r="BH141" s="35" t="str">
        <f ca="1">IFERROR(VALUE(separ(INDEX(Sheet!R$2:R$7967,$A141),"-",1)),"")</f>
        <v/>
      </c>
      <c r="BI141" s="35" t="str">
        <f ca="1">IFERROR(VALUE(separ(INDEX(Sheet!S$2:S$7967,$A141),"-",1)),"")</f>
        <v/>
      </c>
      <c r="BJ141" s="35" t="str">
        <f ca="1">IFERROR(VALUE(separ(INDEX(Sheet!T$2:T$7967,$A141),"-",1)),"")</f>
        <v/>
      </c>
      <c r="BK141" s="35" t="str">
        <f ca="1">IFERROR(VALUE(separ(INDEX(Sheet!U$2:U$7967,$A141),"-",1)),"")</f>
        <v/>
      </c>
      <c r="BL141" s="35" t="str">
        <f ca="1">IFERROR(VALUE(separ(INDEX(Sheet!V$2:V$7967,$A141),"-",1)),"")</f>
        <v/>
      </c>
      <c r="BM141" s="35" t="str">
        <f ca="1">IFERROR(VALUE(separ(INDEX(Sheet!W$2:W$7967,$A141),"-",1)),"")</f>
        <v/>
      </c>
      <c r="BN141" s="35" t="str">
        <f ca="1">IFERROR(VALUE(separ(INDEX(Sheet!X$2:X$7967,$A141),"-",1)),"")</f>
        <v/>
      </c>
      <c r="BO141" s="35" t="str">
        <f ca="1">IFERROR(VALUE(separ(INDEX(Sheet!Y$2:Y$7967,$A141),"-",1)),"")</f>
        <v/>
      </c>
      <c r="BP141" s="35" t="str">
        <f ca="1">IFERROR(VALUE(separ(INDEX(Sheet!Z$2:Z$7967,$A141),"-",1)),"")</f>
        <v/>
      </c>
      <c r="BQ141" s="35" t="str">
        <f ca="1">IFERROR(VALUE(separ(INDEX(Sheet!AA$2:AA$7967,$A141),"-",1)),"")</f>
        <v/>
      </c>
      <c r="BR141" s="35" t="str">
        <f ca="1">IFERROR(VALUE(separ(INDEX(Sheet!AB$2:AB$7967,$A141),"-",1)),"")</f>
        <v/>
      </c>
      <c r="BS141" s="35" t="str">
        <f ca="1">IFERROR(VALUE(separ(INDEX(Sheet!AC$2:AC$7967,$A141),"-",1)),"")</f>
        <v/>
      </c>
      <c r="BT141" s="35" t="str">
        <f ca="1">IFERROR(VALUE(separ(INDEX(Sheet!AD$2:AD$7967,$A141),"-",1)),"")</f>
        <v/>
      </c>
      <c r="BU141" s="35" t="str">
        <f ca="1">IFERROR(VALUE(separ(INDEX(Sheet!AE$2:AE$7967,$A141),"-",1)),"")</f>
        <v/>
      </c>
      <c r="BV141" s="35"/>
      <c r="BW141" s="35" t="str">
        <f ca="1">IFERROR((separ(INDEX(Sheet!Q$2:Q$7967,$A141),"-",2)),"")</f>
        <v/>
      </c>
      <c r="BX141" s="35" t="str">
        <f ca="1">IFERROR((separ(INDEX(Sheet!R$2:R$7967,$A141),"-",2)),"")</f>
        <v/>
      </c>
      <c r="BY141" s="35" t="str">
        <f ca="1">IFERROR((separ(INDEX(Sheet!S$2:S$7967,$A141),"-",2)),"")</f>
        <v/>
      </c>
      <c r="BZ141" s="35" t="str">
        <f ca="1">IFERROR((separ(INDEX(Sheet!T$2:T$7967,$A141),"-",2)),"")</f>
        <v/>
      </c>
      <c r="CA141" s="35" t="str">
        <f ca="1">IFERROR((separ(INDEX(Sheet!U$2:U$7967,$A141),"-",2)),"")</f>
        <v/>
      </c>
      <c r="CB141" s="35" t="str">
        <f ca="1">IFERROR((separ(INDEX(Sheet!V$2:V$7967,$A141),"-",2)),"")</f>
        <v/>
      </c>
      <c r="CC141" s="35" t="str">
        <f ca="1">IFERROR((separ(INDEX(Sheet!W$2:W$7967,$A141),"-",2)),"")</f>
        <v/>
      </c>
      <c r="CD141" s="35" t="str">
        <f ca="1">IFERROR((separ(INDEX(Sheet!X$2:X$7967,$A141),"-",2)),"")</f>
        <v/>
      </c>
      <c r="CE141" s="35" t="str">
        <f ca="1">IFERROR((separ(INDEX(Sheet!Y$2:Y$7967,$A141),"-",2)),"")</f>
        <v/>
      </c>
      <c r="CF141" s="35" t="str">
        <f ca="1">IFERROR((separ(INDEX(Sheet!Z$2:Z$7967,$A141),"-",2)),"")</f>
        <v/>
      </c>
      <c r="CG141" s="35" t="str">
        <f ca="1">IFERROR((separ(INDEX(Sheet!AA$2:AA$7967,$A141),"-",2)),"")</f>
        <v/>
      </c>
      <c r="CH141" s="35" t="str">
        <f ca="1">IFERROR((separ(INDEX(Sheet!AB$2:AB$7967,$A141),"-",2)),"")</f>
        <v/>
      </c>
      <c r="CI141" s="35" t="str">
        <f ca="1">IFERROR((separ(INDEX(Sheet!AC$2:AC$7967,$A141),"-",2)),"")</f>
        <v/>
      </c>
      <c r="CJ141" s="35" t="str">
        <f ca="1">IFERROR((separ(INDEX(Sheet!AD$2:AD$7967,$A141),"-",2)),"")</f>
        <v/>
      </c>
      <c r="CK141" s="35" t="str">
        <f ca="1">IFERROR((separ(INDEX(Sheet!AE$2:AE$7967,$A141),"-",2)),"")</f>
        <v/>
      </c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</row>
    <row r="142" spans="1:104" s="29" customFormat="1">
      <c r="A142" s="45" t="str">
        <f ca="1">IFERROR(MATCH($B$3,OFFSET(Sheet!$D$2,A141,0):'Sheet'!$D$7657,0)+A141,"")</f>
        <v/>
      </c>
      <c r="B142" s="29" t="str">
        <f ca="1">IF(ROW(A135)&lt;=COUNT($A$6:$A$800),INDEX(Sheet!$A$2:$A$7967,$A142),IF(ROW(A135)=COUNT($A$6:$A$800)+1," ",IF(ROW(A135)=COUNT($A$6:$A$800)+2,"  ","")))</f>
        <v/>
      </c>
      <c r="C142" s="67" t="str">
        <f ca="1">IF($A142="","",INDEX(Sheet!E$2:E$7967,$A142))</f>
        <v/>
      </c>
      <c r="D142" s="31" t="str">
        <f ca="1">IF(B139=" ",$AR$1,IF(B142=" ",$AQ$1,IF(A142="","",INDEX(Sheet!G$2:G$7967,$A142))))</f>
        <v/>
      </c>
      <c r="E142" s="32" t="str">
        <f ca="1">IF($A142="","",TEXT(INDEX(Sheet!J$2:J$7967,$A142),"#,#")&amp;" "&amp;INDEX(Sheet!AT$2:AT$7967,$A142))</f>
        <v/>
      </c>
      <c r="F142" s="53" t="str">
        <f ca="1">IF($A142="","",INDEX(Sheet!F$2:F$7967,$A142))</f>
        <v/>
      </c>
      <c r="G142" s="32" t="str">
        <f ca="1">IF($A142="","",INDEX(Sheet!I$2:I$7967,$A142))</f>
        <v/>
      </c>
      <c r="H142" s="32" t="str">
        <f ca="1">IF($A142="","",INDEX(Sheet!L$2:L$7967,$A142))</f>
        <v/>
      </c>
      <c r="I142" s="32" t="str">
        <f ca="1">IF($A142="","",INDEX(Sheet!N$2:N$7967,$A142))</f>
        <v/>
      </c>
      <c r="J142" s="53" t="str">
        <f ca="1">IF($A142="","",INDEX(Sheet!AS$2:AS$7967,$A142))</f>
        <v/>
      </c>
      <c r="K142" s="33" t="str">
        <f ca="1">IF($A142="","",IF(INDEX(Sheet!S$2:S$7967,$A142)="","",INDEX(Sheet!S$2:S$7967,$A142)))</f>
        <v/>
      </c>
      <c r="L142" s="33" t="str">
        <f ca="1">IF($A142="","",IF(INDEX(Sheet!R$2:R$7967,$A142)="","",INDEX(Sheet!R$2:R$7967,$A142)))</f>
        <v/>
      </c>
      <c r="M142" s="33" t="str">
        <f ca="1">IF($A142="","",IF(INDEX(Sheet!AO$2:AO$7967,$A142)="","",INDEX(Sheet!AO$2:AO$7967,$A142)))</f>
        <v/>
      </c>
      <c r="N142" s="33" t="str">
        <f ca="1">IF($A142="","",IF(INDEX(Sheet!T$2:T$7967,$A142)="","",INDEX(Sheet!T$2:T$7967,$A142)))</f>
        <v/>
      </c>
      <c r="O142" s="33" t="str">
        <f ca="1">IF($A142="","",IF(INDEX(Sheet!U$2:U$7967,$A142)="","",INDEX(Sheet!U$2:U$7967,$A142)))</f>
        <v/>
      </c>
      <c r="P142" s="33" t="str">
        <f ca="1">IF($A142="","",IF(INDEX(Sheet!W$2:W$7967,$A142)="","",INDEX(Sheet!W$2:W$7967,$A142)))</f>
        <v/>
      </c>
      <c r="Q142" s="33" t="str">
        <f ca="1">IF($A142="","",IF(INDEX(Sheet!V$2:V$7967,$A142)="","",INDEX(Sheet!V$2:V$7967,$A142)))</f>
        <v/>
      </c>
      <c r="R142" s="33" t="str">
        <f ca="1">IF($A142="","",IF(INDEX(Sheet!Z$2:Z$7967,$A142)="","",INDEX(Sheet!Z$2:Z$7967,$A142)))</f>
        <v/>
      </c>
      <c r="S142" s="33" t="str">
        <f ca="1">IF($A142="","",IF(INDEX(Sheet!Y$2:Y$7967,$A142)="","",INDEX(Sheet!Y$2:Y$7967,$A142)))</f>
        <v/>
      </c>
      <c r="T142" s="33" t="str">
        <f ca="1">IF($A142="","",IF(INDEX(Sheet!X$2:X$7967,$A142)="","",INDEX(Sheet!X$2:X$7967,$A142)))</f>
        <v/>
      </c>
      <c r="U142" s="33" t="str">
        <f ca="1">IF($A142="","",IF(INDEX(Sheet!AA$2:AA$7967,$A142)="","",INDEX(Sheet!AA$2:AA$7967,$A142)))</f>
        <v/>
      </c>
      <c r="V142" s="33" t="str">
        <f ca="1">IF($A142="","",IF(INDEX(Sheet!AB$2:AB$7967,$A142)="","",INDEX(Sheet!AB$2:AB$7967,$A142)))</f>
        <v/>
      </c>
      <c r="W142" s="33" t="str">
        <f ca="1">IF($A142="","",IF(INDEX(Sheet!AH$2:AH$7967,$A142)="","",INDEX(Sheet!AH$2:AH$7967,$A142)))</f>
        <v/>
      </c>
      <c r="X142" s="33" t="str">
        <f ca="1">IF($A142="","",IF(INDEX(Sheet!AC$2:AC$7967,$A142)="","",INDEX(Sheet!AC$2:AC$7967,$A142)))</f>
        <v/>
      </c>
      <c r="Y142" s="33" t="str">
        <f ca="1">IF($A142="","",IF(INDEX(Sheet!AD$2:AD$7967,$A142)="","",INDEX(Sheet!AD$2:AD$7967,$A142)))</f>
        <v/>
      </c>
      <c r="Z142" s="33" t="str">
        <f ca="1">IF($A142="","",IF(INDEX(Sheet!AL$2:AL$7967,$A142)="","",INDEX(Sheet!AL$2:AL$7967,$A142)))</f>
        <v/>
      </c>
      <c r="AA142" s="33" t="str">
        <f ca="1">IF($A142="","",IF(INDEX(Sheet!AE$2:AE$7967,$A142)="","",INDEX(Sheet!AE$2:AE$7967,$A142)))</f>
        <v/>
      </c>
      <c r="AB142" s="33" t="str">
        <f ca="1">IF($A142="","",IF(INDEX(Sheet!AF$2:AF$7967,$A142)="","",INDEX(Sheet!AF$2:AF$7967,$A142)))</f>
        <v/>
      </c>
      <c r="AC142" s="33" t="str">
        <f ca="1">IF($A142="","",IF(INDEX(Sheet!AG$2:AG$7967,$A142)="","",INDEX(Sheet!AG$2:AG$7967,$A142)))</f>
        <v/>
      </c>
      <c r="AD142" s="33" t="str">
        <f ca="1">IF($A142="","",IF(INDEX(Sheet!AM$2:AM$7967,$A142)="","",INDEX(Sheet!AM$2:AM$7967,$A142)))</f>
        <v/>
      </c>
      <c r="AE142" s="33" t="str">
        <f ca="1">IF($A142="","",IF(INDEX(Sheet!AJ$2:AJ$7967,$A142)="","",INDEX(Sheet!AJ$2:AJ$7967,$A142)))</f>
        <v/>
      </c>
      <c r="AF142" s="33" t="str">
        <f ca="1">IF($A142="","",IF(INDEX(Sheet!AI$2:AI$7967,$A142)="","",INDEX(Sheet!AI$2:AI$7967,$A142)))</f>
        <v/>
      </c>
      <c r="AG142" s="33" t="str">
        <f ca="1">IF(D142="duyệt sản xuất"," Bảo Bảo, Ngày "&amp;DAY($J$4)&amp;" Tháng "&amp;MONTH($J$4)&amp;" Năm "&amp;YEAR($J$4),IF(D142="Phê duyệt","NGƯỜI LẬP",IF(D142="Nguyễn Ngọc Thắng","NGUYỄN THỊ MAI",IF($A142="","",INDEX(Sheet!AK$2:AK$7967,$A142)))))</f>
        <v/>
      </c>
      <c r="AH142" s="58" t="str">
        <f ca="1">IF($A142="","",INDEX(Sheet!AR$2:AR$7967,$A142)&amp;" ; "&amp;INDEX(Sheet!M$2:M$7967,$A142))</f>
        <v/>
      </c>
      <c r="AI142" s="1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G142" s="35" t="str">
        <f ca="1">IFERROR(VALUE(separ(INDEX(Sheet!Q$2:Q$7967,$A142),"-",1)),"")</f>
        <v/>
      </c>
      <c r="BH142" s="35" t="str">
        <f ca="1">IFERROR(VALUE(separ(INDEX(Sheet!R$2:R$7967,$A142),"-",1)),"")</f>
        <v/>
      </c>
      <c r="BI142" s="35" t="str">
        <f ca="1">IFERROR(VALUE(separ(INDEX(Sheet!S$2:S$7967,$A142),"-",1)),"")</f>
        <v/>
      </c>
      <c r="BJ142" s="35" t="str">
        <f ca="1">IFERROR(VALUE(separ(INDEX(Sheet!T$2:T$7967,$A142),"-",1)),"")</f>
        <v/>
      </c>
      <c r="BK142" s="35" t="str">
        <f ca="1">IFERROR(VALUE(separ(INDEX(Sheet!U$2:U$7967,$A142),"-",1)),"")</f>
        <v/>
      </c>
      <c r="BL142" s="35" t="str">
        <f ca="1">IFERROR(VALUE(separ(INDEX(Sheet!V$2:V$7967,$A142),"-",1)),"")</f>
        <v/>
      </c>
      <c r="BM142" s="35" t="str">
        <f ca="1">IFERROR(VALUE(separ(INDEX(Sheet!W$2:W$7967,$A142),"-",1)),"")</f>
        <v/>
      </c>
      <c r="BN142" s="35" t="str">
        <f ca="1">IFERROR(VALUE(separ(INDEX(Sheet!X$2:X$7967,$A142),"-",1)),"")</f>
        <v/>
      </c>
      <c r="BO142" s="35" t="str">
        <f ca="1">IFERROR(VALUE(separ(INDEX(Sheet!Y$2:Y$7967,$A142),"-",1)),"")</f>
        <v/>
      </c>
      <c r="BP142" s="35" t="str">
        <f ca="1">IFERROR(VALUE(separ(INDEX(Sheet!Z$2:Z$7967,$A142),"-",1)),"")</f>
        <v/>
      </c>
      <c r="BQ142" s="35" t="str">
        <f ca="1">IFERROR(VALUE(separ(INDEX(Sheet!AA$2:AA$7967,$A142),"-",1)),"")</f>
        <v/>
      </c>
      <c r="BR142" s="35" t="str">
        <f ca="1">IFERROR(VALUE(separ(INDEX(Sheet!AB$2:AB$7967,$A142),"-",1)),"")</f>
        <v/>
      </c>
      <c r="BS142" s="35" t="str">
        <f ca="1">IFERROR(VALUE(separ(INDEX(Sheet!AC$2:AC$7967,$A142),"-",1)),"")</f>
        <v/>
      </c>
      <c r="BT142" s="35" t="str">
        <f ca="1">IFERROR(VALUE(separ(INDEX(Sheet!AD$2:AD$7967,$A142),"-",1)),"")</f>
        <v/>
      </c>
      <c r="BU142" s="35" t="str">
        <f ca="1">IFERROR(VALUE(separ(INDEX(Sheet!AE$2:AE$7967,$A142),"-",1)),"")</f>
        <v/>
      </c>
      <c r="BV142" s="35"/>
      <c r="BW142" s="35" t="str">
        <f ca="1">IFERROR((separ(INDEX(Sheet!Q$2:Q$7967,$A142),"-",2)),"")</f>
        <v/>
      </c>
      <c r="BX142" s="35" t="str">
        <f ca="1">IFERROR((separ(INDEX(Sheet!R$2:R$7967,$A142),"-",2)),"")</f>
        <v/>
      </c>
      <c r="BY142" s="35" t="str">
        <f ca="1">IFERROR((separ(INDEX(Sheet!S$2:S$7967,$A142),"-",2)),"")</f>
        <v/>
      </c>
      <c r="BZ142" s="35" t="str">
        <f ca="1">IFERROR((separ(INDEX(Sheet!T$2:T$7967,$A142),"-",2)),"")</f>
        <v/>
      </c>
      <c r="CA142" s="35" t="str">
        <f ca="1">IFERROR((separ(INDEX(Sheet!U$2:U$7967,$A142),"-",2)),"")</f>
        <v/>
      </c>
      <c r="CB142" s="35" t="str">
        <f ca="1">IFERROR((separ(INDEX(Sheet!V$2:V$7967,$A142),"-",2)),"")</f>
        <v/>
      </c>
      <c r="CC142" s="35" t="str">
        <f ca="1">IFERROR((separ(INDEX(Sheet!W$2:W$7967,$A142),"-",2)),"")</f>
        <v/>
      </c>
      <c r="CD142" s="35" t="str">
        <f ca="1">IFERROR((separ(INDEX(Sheet!X$2:X$7967,$A142),"-",2)),"")</f>
        <v/>
      </c>
      <c r="CE142" s="35" t="str">
        <f ca="1">IFERROR((separ(INDEX(Sheet!Y$2:Y$7967,$A142),"-",2)),"")</f>
        <v/>
      </c>
      <c r="CF142" s="35" t="str">
        <f ca="1">IFERROR((separ(INDEX(Sheet!Z$2:Z$7967,$A142),"-",2)),"")</f>
        <v/>
      </c>
      <c r="CG142" s="35" t="str">
        <f ca="1">IFERROR((separ(INDEX(Sheet!AA$2:AA$7967,$A142),"-",2)),"")</f>
        <v/>
      </c>
      <c r="CH142" s="35" t="str">
        <f ca="1">IFERROR((separ(INDEX(Sheet!AB$2:AB$7967,$A142),"-",2)),"")</f>
        <v/>
      </c>
      <c r="CI142" s="35" t="str">
        <f ca="1">IFERROR((separ(INDEX(Sheet!AC$2:AC$7967,$A142),"-",2)),"")</f>
        <v/>
      </c>
      <c r="CJ142" s="35" t="str">
        <f ca="1">IFERROR((separ(INDEX(Sheet!AD$2:AD$7967,$A142),"-",2)),"")</f>
        <v/>
      </c>
      <c r="CK142" s="35" t="str">
        <f ca="1">IFERROR((separ(INDEX(Sheet!AE$2:AE$7967,$A142),"-",2)),"")</f>
        <v/>
      </c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</row>
    <row r="143" spans="1:104" s="29" customFormat="1">
      <c r="A143" s="45" t="str">
        <f ca="1">IFERROR(MATCH($B$3,OFFSET(Sheet!$D$2,A142,0):'Sheet'!$D$7657,0)+A142,"")</f>
        <v/>
      </c>
      <c r="B143" s="29" t="str">
        <f ca="1">IF(ROW(A136)&lt;=COUNT($A$6:$A$800),INDEX(Sheet!$A$2:$A$7967,$A143),IF(ROW(A136)=COUNT($A$6:$A$800)+1," ",IF(ROW(A136)=COUNT($A$6:$A$800)+2,"  ","")))</f>
        <v/>
      </c>
      <c r="C143" s="67" t="str">
        <f ca="1">IF($A143="","",INDEX(Sheet!E$2:E$7967,$A143))</f>
        <v/>
      </c>
      <c r="D143" s="31" t="str">
        <f ca="1">IF(B140=" ",$AR$1,IF(B143=" ",$AQ$1,IF(A143="","",INDEX(Sheet!G$2:G$7967,$A143))))</f>
        <v/>
      </c>
      <c r="E143" s="32" t="str">
        <f ca="1">IF($A143="","",TEXT(INDEX(Sheet!J$2:J$7967,$A143),"#,#")&amp;" "&amp;INDEX(Sheet!AT$2:AT$7967,$A143))</f>
        <v/>
      </c>
      <c r="F143" s="53" t="str">
        <f ca="1">IF($A143="","",INDEX(Sheet!F$2:F$7967,$A143))</f>
        <v/>
      </c>
      <c r="G143" s="32" t="str">
        <f ca="1">IF($A143="","",INDEX(Sheet!I$2:I$7967,$A143))</f>
        <v/>
      </c>
      <c r="H143" s="32" t="str">
        <f ca="1">IF($A143="","",INDEX(Sheet!L$2:L$7967,$A143))</f>
        <v/>
      </c>
      <c r="I143" s="32" t="str">
        <f ca="1">IF($A143="","",INDEX(Sheet!N$2:N$7967,$A143))</f>
        <v/>
      </c>
      <c r="J143" s="53" t="str">
        <f ca="1">IF($A143="","",INDEX(Sheet!AS$2:AS$7967,$A143))</f>
        <v/>
      </c>
      <c r="K143" s="33" t="str">
        <f ca="1">IF($A143="","",IF(INDEX(Sheet!S$2:S$7967,$A143)="","",INDEX(Sheet!S$2:S$7967,$A143)))</f>
        <v/>
      </c>
      <c r="L143" s="33" t="str">
        <f ca="1">IF($A143="","",IF(INDEX(Sheet!R$2:R$7967,$A143)="","",INDEX(Sheet!R$2:R$7967,$A143)))</f>
        <v/>
      </c>
      <c r="M143" s="33" t="str">
        <f ca="1">IF($A143="","",IF(INDEX(Sheet!AO$2:AO$7967,$A143)="","",INDEX(Sheet!AO$2:AO$7967,$A143)))</f>
        <v/>
      </c>
      <c r="N143" s="33" t="str">
        <f ca="1">IF($A143="","",IF(INDEX(Sheet!T$2:T$7967,$A143)="","",INDEX(Sheet!T$2:T$7967,$A143)))</f>
        <v/>
      </c>
      <c r="O143" s="33" t="str">
        <f ca="1">IF($A143="","",IF(INDEX(Sheet!U$2:U$7967,$A143)="","",INDEX(Sheet!U$2:U$7967,$A143)))</f>
        <v/>
      </c>
      <c r="P143" s="33" t="str">
        <f ca="1">IF($A143="","",IF(INDEX(Sheet!W$2:W$7967,$A143)="","",INDEX(Sheet!W$2:W$7967,$A143)))</f>
        <v/>
      </c>
      <c r="Q143" s="33" t="str">
        <f ca="1">IF($A143="","",IF(INDEX(Sheet!V$2:V$7967,$A143)="","",INDEX(Sheet!V$2:V$7967,$A143)))</f>
        <v/>
      </c>
      <c r="R143" s="33" t="str">
        <f ca="1">IF($A143="","",IF(INDEX(Sheet!Z$2:Z$7967,$A143)="","",INDEX(Sheet!Z$2:Z$7967,$A143)))</f>
        <v/>
      </c>
      <c r="S143" s="33" t="str">
        <f ca="1">IF($A143="","",IF(INDEX(Sheet!Y$2:Y$7967,$A143)="","",INDEX(Sheet!Y$2:Y$7967,$A143)))</f>
        <v/>
      </c>
      <c r="T143" s="33" t="str">
        <f ca="1">IF($A143="","",IF(INDEX(Sheet!X$2:X$7967,$A143)="","",INDEX(Sheet!X$2:X$7967,$A143)))</f>
        <v/>
      </c>
      <c r="U143" s="33" t="str">
        <f ca="1">IF($A143="","",IF(INDEX(Sheet!AA$2:AA$7967,$A143)="","",INDEX(Sheet!AA$2:AA$7967,$A143)))</f>
        <v/>
      </c>
      <c r="V143" s="33" t="str">
        <f ca="1">IF($A143="","",IF(INDEX(Sheet!AB$2:AB$7967,$A143)="","",INDEX(Sheet!AB$2:AB$7967,$A143)))</f>
        <v/>
      </c>
      <c r="W143" s="33" t="str">
        <f ca="1">IF($A143="","",IF(INDEX(Sheet!AH$2:AH$7967,$A143)="","",INDEX(Sheet!AH$2:AH$7967,$A143)))</f>
        <v/>
      </c>
      <c r="X143" s="33" t="str">
        <f ca="1">IF($A143="","",IF(INDEX(Sheet!AC$2:AC$7967,$A143)="","",INDEX(Sheet!AC$2:AC$7967,$A143)))</f>
        <v/>
      </c>
      <c r="Y143" s="33" t="str">
        <f ca="1">IF($A143="","",IF(INDEX(Sheet!AD$2:AD$7967,$A143)="","",INDEX(Sheet!AD$2:AD$7967,$A143)))</f>
        <v/>
      </c>
      <c r="Z143" s="33" t="str">
        <f ca="1">IF($A143="","",IF(INDEX(Sheet!AL$2:AL$7967,$A143)="","",INDEX(Sheet!AL$2:AL$7967,$A143)))</f>
        <v/>
      </c>
      <c r="AA143" s="33" t="str">
        <f ca="1">IF($A143="","",IF(INDEX(Sheet!AE$2:AE$7967,$A143)="","",INDEX(Sheet!AE$2:AE$7967,$A143)))</f>
        <v/>
      </c>
      <c r="AB143" s="33" t="str">
        <f ca="1">IF($A143="","",IF(INDEX(Sheet!AF$2:AF$7967,$A143)="","",INDEX(Sheet!AF$2:AF$7967,$A143)))</f>
        <v/>
      </c>
      <c r="AC143" s="33" t="str">
        <f ca="1">IF($A143="","",IF(INDEX(Sheet!AG$2:AG$7967,$A143)="","",INDEX(Sheet!AG$2:AG$7967,$A143)))</f>
        <v/>
      </c>
      <c r="AD143" s="33" t="str">
        <f ca="1">IF($A143="","",IF(INDEX(Sheet!AM$2:AM$7967,$A143)="","",INDEX(Sheet!AM$2:AM$7967,$A143)))</f>
        <v/>
      </c>
      <c r="AE143" s="33" t="str">
        <f ca="1">IF($A143="","",IF(INDEX(Sheet!AJ$2:AJ$7967,$A143)="","",INDEX(Sheet!AJ$2:AJ$7967,$A143)))</f>
        <v/>
      </c>
      <c r="AF143" s="33" t="str">
        <f ca="1">IF($A143="","",IF(INDEX(Sheet!AI$2:AI$7967,$A143)="","",INDEX(Sheet!AI$2:AI$7967,$A143)))</f>
        <v/>
      </c>
      <c r="AG143" s="33" t="str">
        <f ca="1">IF(D143="duyệt sản xuất"," Bảo Bảo, Ngày "&amp;DAY($J$4)&amp;" Tháng "&amp;MONTH($J$4)&amp;" Năm "&amp;YEAR($J$4),IF(D143="Phê duyệt","NGƯỜI LẬP",IF(D143="Nguyễn Ngọc Thắng","NGUYỄN THỊ MAI",IF($A143="","",INDEX(Sheet!AK$2:AK$7967,$A143)))))</f>
        <v/>
      </c>
      <c r="AH143" s="58" t="str">
        <f ca="1">IF($A143="","",INDEX(Sheet!AR$2:AR$7967,$A143)&amp;" ; "&amp;INDEX(Sheet!M$2:M$7967,$A143))</f>
        <v/>
      </c>
      <c r="AI143" s="1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G143" s="35" t="str">
        <f ca="1">IFERROR(VALUE(separ(INDEX(Sheet!Q$2:Q$7967,$A143),"-",1)),"")</f>
        <v/>
      </c>
      <c r="BH143" s="35" t="str">
        <f ca="1">IFERROR(VALUE(separ(INDEX(Sheet!R$2:R$7967,$A143),"-",1)),"")</f>
        <v/>
      </c>
      <c r="BI143" s="35" t="str">
        <f ca="1">IFERROR(VALUE(separ(INDEX(Sheet!S$2:S$7967,$A143),"-",1)),"")</f>
        <v/>
      </c>
      <c r="BJ143" s="35" t="str">
        <f ca="1">IFERROR(VALUE(separ(INDEX(Sheet!T$2:T$7967,$A143),"-",1)),"")</f>
        <v/>
      </c>
      <c r="BK143" s="35" t="str">
        <f ca="1">IFERROR(VALUE(separ(INDEX(Sheet!U$2:U$7967,$A143),"-",1)),"")</f>
        <v/>
      </c>
      <c r="BL143" s="35" t="str">
        <f ca="1">IFERROR(VALUE(separ(INDEX(Sheet!V$2:V$7967,$A143),"-",1)),"")</f>
        <v/>
      </c>
      <c r="BM143" s="35" t="str">
        <f ca="1">IFERROR(VALUE(separ(INDEX(Sheet!W$2:W$7967,$A143),"-",1)),"")</f>
        <v/>
      </c>
      <c r="BN143" s="35" t="str">
        <f ca="1">IFERROR(VALUE(separ(INDEX(Sheet!X$2:X$7967,$A143),"-",1)),"")</f>
        <v/>
      </c>
      <c r="BO143" s="35" t="str">
        <f ca="1">IFERROR(VALUE(separ(INDEX(Sheet!Y$2:Y$7967,$A143),"-",1)),"")</f>
        <v/>
      </c>
      <c r="BP143" s="35" t="str">
        <f ca="1">IFERROR(VALUE(separ(INDEX(Sheet!Z$2:Z$7967,$A143),"-",1)),"")</f>
        <v/>
      </c>
      <c r="BQ143" s="35" t="str">
        <f ca="1">IFERROR(VALUE(separ(INDEX(Sheet!AA$2:AA$7967,$A143),"-",1)),"")</f>
        <v/>
      </c>
      <c r="BR143" s="35" t="str">
        <f ca="1">IFERROR(VALUE(separ(INDEX(Sheet!AB$2:AB$7967,$A143),"-",1)),"")</f>
        <v/>
      </c>
      <c r="BS143" s="35" t="str">
        <f ca="1">IFERROR(VALUE(separ(INDEX(Sheet!AC$2:AC$7967,$A143),"-",1)),"")</f>
        <v/>
      </c>
      <c r="BT143" s="35" t="str">
        <f ca="1">IFERROR(VALUE(separ(INDEX(Sheet!AD$2:AD$7967,$A143),"-",1)),"")</f>
        <v/>
      </c>
      <c r="BU143" s="35" t="str">
        <f ca="1">IFERROR(VALUE(separ(INDEX(Sheet!AE$2:AE$7967,$A143),"-",1)),"")</f>
        <v/>
      </c>
      <c r="BV143" s="35"/>
      <c r="BW143" s="35" t="str">
        <f ca="1">IFERROR((separ(INDEX(Sheet!Q$2:Q$7967,$A143),"-",2)),"")</f>
        <v/>
      </c>
      <c r="BX143" s="35" t="str">
        <f ca="1">IFERROR((separ(INDEX(Sheet!R$2:R$7967,$A143),"-",2)),"")</f>
        <v/>
      </c>
      <c r="BY143" s="35" t="str">
        <f ca="1">IFERROR((separ(INDEX(Sheet!S$2:S$7967,$A143),"-",2)),"")</f>
        <v/>
      </c>
      <c r="BZ143" s="35" t="str">
        <f ca="1">IFERROR((separ(INDEX(Sheet!T$2:T$7967,$A143),"-",2)),"")</f>
        <v/>
      </c>
      <c r="CA143" s="35" t="str">
        <f ca="1">IFERROR((separ(INDEX(Sheet!U$2:U$7967,$A143),"-",2)),"")</f>
        <v/>
      </c>
      <c r="CB143" s="35" t="str">
        <f ca="1">IFERROR((separ(INDEX(Sheet!V$2:V$7967,$A143),"-",2)),"")</f>
        <v/>
      </c>
      <c r="CC143" s="35" t="str">
        <f ca="1">IFERROR((separ(INDEX(Sheet!W$2:W$7967,$A143),"-",2)),"")</f>
        <v/>
      </c>
      <c r="CD143" s="35" t="str">
        <f ca="1">IFERROR((separ(INDEX(Sheet!X$2:X$7967,$A143),"-",2)),"")</f>
        <v/>
      </c>
      <c r="CE143" s="35" t="str">
        <f ca="1">IFERROR((separ(INDEX(Sheet!Y$2:Y$7967,$A143),"-",2)),"")</f>
        <v/>
      </c>
      <c r="CF143" s="35" t="str">
        <f ca="1">IFERROR((separ(INDEX(Sheet!Z$2:Z$7967,$A143),"-",2)),"")</f>
        <v/>
      </c>
      <c r="CG143" s="35" t="str">
        <f ca="1">IFERROR((separ(INDEX(Sheet!AA$2:AA$7967,$A143),"-",2)),"")</f>
        <v/>
      </c>
      <c r="CH143" s="35" t="str">
        <f ca="1">IFERROR((separ(INDEX(Sheet!AB$2:AB$7967,$A143),"-",2)),"")</f>
        <v/>
      </c>
      <c r="CI143" s="35" t="str">
        <f ca="1">IFERROR((separ(INDEX(Sheet!AC$2:AC$7967,$A143),"-",2)),"")</f>
        <v/>
      </c>
      <c r="CJ143" s="35" t="str">
        <f ca="1">IFERROR((separ(INDEX(Sheet!AD$2:AD$7967,$A143),"-",2)),"")</f>
        <v/>
      </c>
      <c r="CK143" s="35" t="str">
        <f ca="1">IFERROR((separ(INDEX(Sheet!AE$2:AE$7967,$A143),"-",2)),"")</f>
        <v/>
      </c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</row>
    <row r="144" spans="1:104" s="29" customFormat="1">
      <c r="A144" s="45" t="str">
        <f ca="1">IFERROR(MATCH($B$3,OFFSET(Sheet!$D$2,A143,0):'Sheet'!$D$7657,0)+A143,"")</f>
        <v/>
      </c>
      <c r="B144" s="29" t="str">
        <f ca="1">IF(ROW(A137)&lt;=COUNT($A$6:$A$800),INDEX(Sheet!$A$2:$A$7967,$A144),IF(ROW(A137)=COUNT($A$6:$A$800)+1," ",IF(ROW(A137)=COUNT($A$6:$A$800)+2,"  ","")))</f>
        <v/>
      </c>
      <c r="C144" s="67" t="str">
        <f ca="1">IF($A144="","",INDEX(Sheet!E$2:E$7967,$A144))</f>
        <v/>
      </c>
      <c r="D144" s="31" t="str">
        <f ca="1">IF(B141=" ",$AR$1,IF(B144=" ",$AQ$1,IF(A144="","",INDEX(Sheet!G$2:G$7967,$A144))))</f>
        <v/>
      </c>
      <c r="E144" s="32" t="str">
        <f ca="1">IF($A144="","",TEXT(INDEX(Sheet!J$2:J$7967,$A144),"#,#")&amp;" "&amp;INDEX(Sheet!AT$2:AT$7967,$A144))</f>
        <v/>
      </c>
      <c r="F144" s="53" t="str">
        <f ca="1">IF($A144="","",INDEX(Sheet!F$2:F$7967,$A144))</f>
        <v/>
      </c>
      <c r="G144" s="32" t="str">
        <f ca="1">IF($A144="","",INDEX(Sheet!I$2:I$7967,$A144))</f>
        <v/>
      </c>
      <c r="H144" s="32" t="str">
        <f ca="1">IF($A144="","",INDEX(Sheet!L$2:L$7967,$A144))</f>
        <v/>
      </c>
      <c r="I144" s="32" t="str">
        <f ca="1">IF($A144="","",INDEX(Sheet!N$2:N$7967,$A144))</f>
        <v/>
      </c>
      <c r="J144" s="53" t="str">
        <f ca="1">IF($A144="","",INDEX(Sheet!AS$2:AS$7967,$A144))</f>
        <v/>
      </c>
      <c r="K144" s="33" t="str">
        <f ca="1">IF($A144="","",IF(INDEX(Sheet!S$2:S$7967,$A144)="","",INDEX(Sheet!S$2:S$7967,$A144)))</f>
        <v/>
      </c>
      <c r="L144" s="33" t="str">
        <f ca="1">IF($A144="","",IF(INDEX(Sheet!R$2:R$7967,$A144)="","",INDEX(Sheet!R$2:R$7967,$A144)))</f>
        <v/>
      </c>
      <c r="M144" s="33" t="str">
        <f ca="1">IF($A144="","",IF(INDEX(Sheet!AO$2:AO$7967,$A144)="","",INDEX(Sheet!AO$2:AO$7967,$A144)))</f>
        <v/>
      </c>
      <c r="N144" s="33" t="str">
        <f ca="1">IF($A144="","",IF(INDEX(Sheet!T$2:T$7967,$A144)="","",INDEX(Sheet!T$2:T$7967,$A144)))</f>
        <v/>
      </c>
      <c r="O144" s="33" t="str">
        <f ca="1">IF($A144="","",IF(INDEX(Sheet!U$2:U$7967,$A144)="","",INDEX(Sheet!U$2:U$7967,$A144)))</f>
        <v/>
      </c>
      <c r="P144" s="33" t="str">
        <f ca="1">IF($A144="","",IF(INDEX(Sheet!W$2:W$7967,$A144)="","",INDEX(Sheet!W$2:W$7967,$A144)))</f>
        <v/>
      </c>
      <c r="Q144" s="33" t="str">
        <f ca="1">IF($A144="","",IF(INDEX(Sheet!V$2:V$7967,$A144)="","",INDEX(Sheet!V$2:V$7967,$A144)))</f>
        <v/>
      </c>
      <c r="R144" s="33" t="str">
        <f ca="1">IF($A144="","",IF(INDEX(Sheet!Z$2:Z$7967,$A144)="","",INDEX(Sheet!Z$2:Z$7967,$A144)))</f>
        <v/>
      </c>
      <c r="S144" s="33" t="str">
        <f ca="1">IF($A144="","",IF(INDEX(Sheet!Y$2:Y$7967,$A144)="","",INDEX(Sheet!Y$2:Y$7967,$A144)))</f>
        <v/>
      </c>
      <c r="T144" s="33" t="str">
        <f ca="1">IF($A144="","",IF(INDEX(Sheet!X$2:X$7967,$A144)="","",INDEX(Sheet!X$2:X$7967,$A144)))</f>
        <v/>
      </c>
      <c r="U144" s="33" t="str">
        <f ca="1">IF($A144="","",IF(INDEX(Sheet!AA$2:AA$7967,$A144)="","",INDEX(Sheet!AA$2:AA$7967,$A144)))</f>
        <v/>
      </c>
      <c r="V144" s="33" t="str">
        <f ca="1">IF($A144="","",IF(INDEX(Sheet!AB$2:AB$7967,$A144)="","",INDEX(Sheet!AB$2:AB$7967,$A144)))</f>
        <v/>
      </c>
      <c r="W144" s="33" t="str">
        <f ca="1">IF($A144="","",IF(INDEX(Sheet!AH$2:AH$7967,$A144)="","",INDEX(Sheet!AH$2:AH$7967,$A144)))</f>
        <v/>
      </c>
      <c r="X144" s="33" t="str">
        <f ca="1">IF($A144="","",IF(INDEX(Sheet!AC$2:AC$7967,$A144)="","",INDEX(Sheet!AC$2:AC$7967,$A144)))</f>
        <v/>
      </c>
      <c r="Y144" s="33" t="str">
        <f ca="1">IF($A144="","",IF(INDEX(Sheet!AD$2:AD$7967,$A144)="","",INDEX(Sheet!AD$2:AD$7967,$A144)))</f>
        <v/>
      </c>
      <c r="Z144" s="33" t="str">
        <f ca="1">IF($A144="","",IF(INDEX(Sheet!AL$2:AL$7967,$A144)="","",INDEX(Sheet!AL$2:AL$7967,$A144)))</f>
        <v/>
      </c>
      <c r="AA144" s="33" t="str">
        <f ca="1">IF($A144="","",IF(INDEX(Sheet!AE$2:AE$7967,$A144)="","",INDEX(Sheet!AE$2:AE$7967,$A144)))</f>
        <v/>
      </c>
      <c r="AB144" s="33" t="str">
        <f ca="1">IF($A144="","",IF(INDEX(Sheet!AF$2:AF$7967,$A144)="","",INDEX(Sheet!AF$2:AF$7967,$A144)))</f>
        <v/>
      </c>
      <c r="AC144" s="33" t="str">
        <f ca="1">IF($A144="","",IF(INDEX(Sheet!AG$2:AG$7967,$A144)="","",INDEX(Sheet!AG$2:AG$7967,$A144)))</f>
        <v/>
      </c>
      <c r="AD144" s="33" t="str">
        <f ca="1">IF($A144="","",IF(INDEX(Sheet!AM$2:AM$7967,$A144)="","",INDEX(Sheet!AM$2:AM$7967,$A144)))</f>
        <v/>
      </c>
      <c r="AE144" s="33" t="str">
        <f ca="1">IF($A144="","",IF(INDEX(Sheet!AJ$2:AJ$7967,$A144)="","",INDEX(Sheet!AJ$2:AJ$7967,$A144)))</f>
        <v/>
      </c>
      <c r="AF144" s="33" t="str">
        <f ca="1">IF($A144="","",IF(INDEX(Sheet!AI$2:AI$7967,$A144)="","",INDEX(Sheet!AI$2:AI$7967,$A144)))</f>
        <v/>
      </c>
      <c r="AG144" s="33" t="str">
        <f ca="1">IF(D144="duyệt sản xuất"," Bảo Bảo, Ngày "&amp;DAY($J$4)&amp;" Tháng "&amp;MONTH($J$4)&amp;" Năm "&amp;YEAR($J$4),IF(D144="Phê duyệt","NGƯỜI LẬP",IF(D144="Nguyễn Ngọc Thắng","NGUYỄN THỊ MAI",IF($A144="","",INDEX(Sheet!AK$2:AK$7967,$A144)))))</f>
        <v/>
      </c>
      <c r="AH144" s="58" t="str">
        <f ca="1">IF($A144="","",INDEX(Sheet!AR$2:AR$7967,$A144)&amp;" ; "&amp;INDEX(Sheet!M$2:M$7967,$A144))</f>
        <v/>
      </c>
      <c r="AI144" s="1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G144" s="35" t="str">
        <f ca="1">IFERROR(VALUE(separ(INDEX(Sheet!Q$2:Q$7967,$A144),"-",1)),"")</f>
        <v/>
      </c>
      <c r="BH144" s="35" t="str">
        <f ca="1">IFERROR(VALUE(separ(INDEX(Sheet!R$2:R$7967,$A144),"-",1)),"")</f>
        <v/>
      </c>
      <c r="BI144" s="35" t="str">
        <f ca="1">IFERROR(VALUE(separ(INDEX(Sheet!S$2:S$7967,$A144),"-",1)),"")</f>
        <v/>
      </c>
      <c r="BJ144" s="35" t="str">
        <f ca="1">IFERROR(VALUE(separ(INDEX(Sheet!T$2:T$7967,$A144),"-",1)),"")</f>
        <v/>
      </c>
      <c r="BK144" s="35" t="str">
        <f ca="1">IFERROR(VALUE(separ(INDEX(Sheet!U$2:U$7967,$A144),"-",1)),"")</f>
        <v/>
      </c>
      <c r="BL144" s="35" t="str">
        <f ca="1">IFERROR(VALUE(separ(INDEX(Sheet!V$2:V$7967,$A144),"-",1)),"")</f>
        <v/>
      </c>
      <c r="BM144" s="35" t="str">
        <f ca="1">IFERROR(VALUE(separ(INDEX(Sheet!W$2:W$7967,$A144),"-",1)),"")</f>
        <v/>
      </c>
      <c r="BN144" s="35" t="str">
        <f ca="1">IFERROR(VALUE(separ(INDEX(Sheet!X$2:X$7967,$A144),"-",1)),"")</f>
        <v/>
      </c>
      <c r="BO144" s="35" t="str">
        <f ca="1">IFERROR(VALUE(separ(INDEX(Sheet!Y$2:Y$7967,$A144),"-",1)),"")</f>
        <v/>
      </c>
      <c r="BP144" s="35" t="str">
        <f ca="1">IFERROR(VALUE(separ(INDEX(Sheet!Z$2:Z$7967,$A144),"-",1)),"")</f>
        <v/>
      </c>
      <c r="BQ144" s="35" t="str">
        <f ca="1">IFERROR(VALUE(separ(INDEX(Sheet!AA$2:AA$7967,$A144),"-",1)),"")</f>
        <v/>
      </c>
      <c r="BR144" s="35" t="str">
        <f ca="1">IFERROR(VALUE(separ(INDEX(Sheet!AB$2:AB$7967,$A144),"-",1)),"")</f>
        <v/>
      </c>
      <c r="BS144" s="35" t="str">
        <f ca="1">IFERROR(VALUE(separ(INDEX(Sheet!AC$2:AC$7967,$A144),"-",1)),"")</f>
        <v/>
      </c>
      <c r="BT144" s="35" t="str">
        <f ca="1">IFERROR(VALUE(separ(INDEX(Sheet!AD$2:AD$7967,$A144),"-",1)),"")</f>
        <v/>
      </c>
      <c r="BU144" s="35" t="str">
        <f ca="1">IFERROR(VALUE(separ(INDEX(Sheet!AE$2:AE$7967,$A144),"-",1)),"")</f>
        <v/>
      </c>
      <c r="BV144" s="35"/>
      <c r="BW144" s="35" t="str">
        <f ca="1">IFERROR((separ(INDEX(Sheet!Q$2:Q$7967,$A144),"-",2)),"")</f>
        <v/>
      </c>
      <c r="BX144" s="35" t="str">
        <f ca="1">IFERROR((separ(INDEX(Sheet!R$2:R$7967,$A144),"-",2)),"")</f>
        <v/>
      </c>
      <c r="BY144" s="35" t="str">
        <f ca="1">IFERROR((separ(INDEX(Sheet!S$2:S$7967,$A144),"-",2)),"")</f>
        <v/>
      </c>
      <c r="BZ144" s="35" t="str">
        <f ca="1">IFERROR((separ(INDEX(Sheet!T$2:T$7967,$A144),"-",2)),"")</f>
        <v/>
      </c>
      <c r="CA144" s="35" t="str">
        <f ca="1">IFERROR((separ(INDEX(Sheet!U$2:U$7967,$A144),"-",2)),"")</f>
        <v/>
      </c>
      <c r="CB144" s="35" t="str">
        <f ca="1">IFERROR((separ(INDEX(Sheet!V$2:V$7967,$A144),"-",2)),"")</f>
        <v/>
      </c>
      <c r="CC144" s="35" t="str">
        <f ca="1">IFERROR((separ(INDEX(Sheet!W$2:W$7967,$A144),"-",2)),"")</f>
        <v/>
      </c>
      <c r="CD144" s="35" t="str">
        <f ca="1">IFERROR((separ(INDEX(Sheet!X$2:X$7967,$A144),"-",2)),"")</f>
        <v/>
      </c>
      <c r="CE144" s="35" t="str">
        <f ca="1">IFERROR((separ(INDEX(Sheet!Y$2:Y$7967,$A144),"-",2)),"")</f>
        <v/>
      </c>
      <c r="CF144" s="35" t="str">
        <f ca="1">IFERROR((separ(INDEX(Sheet!Z$2:Z$7967,$A144),"-",2)),"")</f>
        <v/>
      </c>
      <c r="CG144" s="35" t="str">
        <f ca="1">IFERROR((separ(INDEX(Sheet!AA$2:AA$7967,$A144),"-",2)),"")</f>
        <v/>
      </c>
      <c r="CH144" s="35" t="str">
        <f ca="1">IFERROR((separ(INDEX(Sheet!AB$2:AB$7967,$A144),"-",2)),"")</f>
        <v/>
      </c>
      <c r="CI144" s="35" t="str">
        <f ca="1">IFERROR((separ(INDEX(Sheet!AC$2:AC$7967,$A144),"-",2)),"")</f>
        <v/>
      </c>
      <c r="CJ144" s="35" t="str">
        <f ca="1">IFERROR((separ(INDEX(Sheet!AD$2:AD$7967,$A144),"-",2)),"")</f>
        <v/>
      </c>
      <c r="CK144" s="35" t="str">
        <f ca="1">IFERROR((separ(INDEX(Sheet!AE$2:AE$7967,$A144),"-",2)),"")</f>
        <v/>
      </c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</row>
    <row r="145" spans="1:104" s="29" customFormat="1">
      <c r="A145" s="45" t="str">
        <f ca="1">IFERROR(MATCH($B$3,OFFSET(Sheet!$D$2,A144,0):'Sheet'!$D$7657,0)+A144,"")</f>
        <v/>
      </c>
      <c r="B145" s="29" t="str">
        <f ca="1">IF(ROW(A138)&lt;=COUNT($A$6:$A$800),INDEX(Sheet!$A$2:$A$7967,$A145),IF(ROW(A138)=COUNT($A$6:$A$800)+1," ",IF(ROW(A138)=COUNT($A$6:$A$800)+2,"  ","")))</f>
        <v/>
      </c>
      <c r="C145" s="67" t="str">
        <f ca="1">IF($A145="","",INDEX(Sheet!E$2:E$7967,$A145))</f>
        <v/>
      </c>
      <c r="D145" s="31" t="str">
        <f ca="1">IF(B142=" ",$AR$1,IF(B145=" ",$AQ$1,IF(A145="","",INDEX(Sheet!G$2:G$7967,$A145))))</f>
        <v/>
      </c>
      <c r="E145" s="32" t="str">
        <f ca="1">IF($A145="","",TEXT(INDEX(Sheet!J$2:J$7967,$A145),"#,#")&amp;" "&amp;INDEX(Sheet!AT$2:AT$7967,$A145))</f>
        <v/>
      </c>
      <c r="F145" s="53" t="str">
        <f ca="1">IF($A145="","",INDEX(Sheet!F$2:F$7967,$A145))</f>
        <v/>
      </c>
      <c r="G145" s="32" t="str">
        <f ca="1">IF($A145="","",INDEX(Sheet!I$2:I$7967,$A145))</f>
        <v/>
      </c>
      <c r="H145" s="32" t="str">
        <f ca="1">IF($A145="","",INDEX(Sheet!L$2:L$7967,$A145))</f>
        <v/>
      </c>
      <c r="I145" s="32" t="str">
        <f ca="1">IF($A145="","",INDEX(Sheet!N$2:N$7967,$A145))</f>
        <v/>
      </c>
      <c r="J145" s="53" t="str">
        <f ca="1">IF($A145="","",INDEX(Sheet!AS$2:AS$7967,$A145))</f>
        <v/>
      </c>
      <c r="K145" s="33" t="str">
        <f ca="1">IF($A145="","",IF(INDEX(Sheet!S$2:S$7967,$A145)="","",INDEX(Sheet!S$2:S$7967,$A145)))</f>
        <v/>
      </c>
      <c r="L145" s="33" t="str">
        <f ca="1">IF($A145="","",IF(INDEX(Sheet!R$2:R$7967,$A145)="","",INDEX(Sheet!R$2:R$7967,$A145)))</f>
        <v/>
      </c>
      <c r="M145" s="33" t="str">
        <f ca="1">IF($A145="","",IF(INDEX(Sheet!AO$2:AO$7967,$A145)="","",INDEX(Sheet!AO$2:AO$7967,$A145)))</f>
        <v/>
      </c>
      <c r="N145" s="33" t="str">
        <f ca="1">IF($A145="","",IF(INDEX(Sheet!T$2:T$7967,$A145)="","",INDEX(Sheet!T$2:T$7967,$A145)))</f>
        <v/>
      </c>
      <c r="O145" s="33" t="str">
        <f ca="1">IF($A145="","",IF(INDEX(Sheet!U$2:U$7967,$A145)="","",INDEX(Sheet!U$2:U$7967,$A145)))</f>
        <v/>
      </c>
      <c r="P145" s="33" t="str">
        <f ca="1">IF($A145="","",IF(INDEX(Sheet!W$2:W$7967,$A145)="","",INDEX(Sheet!W$2:W$7967,$A145)))</f>
        <v/>
      </c>
      <c r="Q145" s="33" t="str">
        <f ca="1">IF($A145="","",IF(INDEX(Sheet!V$2:V$7967,$A145)="","",INDEX(Sheet!V$2:V$7967,$A145)))</f>
        <v/>
      </c>
      <c r="R145" s="33" t="str">
        <f ca="1">IF($A145="","",IF(INDEX(Sheet!Z$2:Z$7967,$A145)="","",INDEX(Sheet!Z$2:Z$7967,$A145)))</f>
        <v/>
      </c>
      <c r="S145" s="33" t="str">
        <f ca="1">IF($A145="","",IF(INDEX(Sheet!Y$2:Y$7967,$A145)="","",INDEX(Sheet!Y$2:Y$7967,$A145)))</f>
        <v/>
      </c>
      <c r="T145" s="33" t="str">
        <f ca="1">IF($A145="","",IF(INDEX(Sheet!X$2:X$7967,$A145)="","",INDEX(Sheet!X$2:X$7967,$A145)))</f>
        <v/>
      </c>
      <c r="U145" s="33" t="str">
        <f ca="1">IF($A145="","",IF(INDEX(Sheet!AA$2:AA$7967,$A145)="","",INDEX(Sheet!AA$2:AA$7967,$A145)))</f>
        <v/>
      </c>
      <c r="V145" s="33" t="str">
        <f ca="1">IF($A145="","",IF(INDEX(Sheet!AB$2:AB$7967,$A145)="","",INDEX(Sheet!AB$2:AB$7967,$A145)))</f>
        <v/>
      </c>
      <c r="W145" s="33" t="str">
        <f ca="1">IF($A145="","",IF(INDEX(Sheet!AH$2:AH$7967,$A145)="","",INDEX(Sheet!AH$2:AH$7967,$A145)))</f>
        <v/>
      </c>
      <c r="X145" s="33" t="str">
        <f ca="1">IF($A145="","",IF(INDEX(Sheet!AC$2:AC$7967,$A145)="","",INDEX(Sheet!AC$2:AC$7967,$A145)))</f>
        <v/>
      </c>
      <c r="Y145" s="33" t="str">
        <f ca="1">IF($A145="","",IF(INDEX(Sheet!AD$2:AD$7967,$A145)="","",INDEX(Sheet!AD$2:AD$7967,$A145)))</f>
        <v/>
      </c>
      <c r="Z145" s="33" t="str">
        <f ca="1">IF($A145="","",IF(INDEX(Sheet!AL$2:AL$7967,$A145)="","",INDEX(Sheet!AL$2:AL$7967,$A145)))</f>
        <v/>
      </c>
      <c r="AA145" s="33" t="str">
        <f ca="1">IF($A145="","",IF(INDEX(Sheet!AE$2:AE$7967,$A145)="","",INDEX(Sheet!AE$2:AE$7967,$A145)))</f>
        <v/>
      </c>
      <c r="AB145" s="33" t="str">
        <f ca="1">IF($A145="","",IF(INDEX(Sheet!AF$2:AF$7967,$A145)="","",INDEX(Sheet!AF$2:AF$7967,$A145)))</f>
        <v/>
      </c>
      <c r="AC145" s="33" t="str">
        <f ca="1">IF($A145="","",IF(INDEX(Sheet!AG$2:AG$7967,$A145)="","",INDEX(Sheet!AG$2:AG$7967,$A145)))</f>
        <v/>
      </c>
      <c r="AD145" s="33" t="str">
        <f ca="1">IF($A145="","",IF(INDEX(Sheet!AM$2:AM$7967,$A145)="","",INDEX(Sheet!AM$2:AM$7967,$A145)))</f>
        <v/>
      </c>
      <c r="AE145" s="33" t="str">
        <f ca="1">IF($A145="","",IF(INDEX(Sheet!AJ$2:AJ$7967,$A145)="","",INDEX(Sheet!AJ$2:AJ$7967,$A145)))</f>
        <v/>
      </c>
      <c r="AF145" s="33" t="str">
        <f ca="1">IF($A145="","",IF(INDEX(Sheet!AI$2:AI$7967,$A145)="","",INDEX(Sheet!AI$2:AI$7967,$A145)))</f>
        <v/>
      </c>
      <c r="AG145" s="33" t="str">
        <f ca="1">IF(D145="duyệt sản xuất"," Bảo Bảo, Ngày "&amp;DAY($J$4)&amp;" Tháng "&amp;MONTH($J$4)&amp;" Năm "&amp;YEAR($J$4),IF(D145="Phê duyệt","NGƯỜI LẬP",IF(D145="Nguyễn Ngọc Thắng","NGUYỄN THỊ MAI",IF($A145="","",INDEX(Sheet!AK$2:AK$7967,$A145)))))</f>
        <v/>
      </c>
      <c r="AH145" s="58" t="str">
        <f ca="1">IF($A145="","",INDEX(Sheet!AR$2:AR$7967,$A145)&amp;" ; "&amp;INDEX(Sheet!M$2:M$7967,$A145))</f>
        <v/>
      </c>
      <c r="AI145" s="1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G145" s="35" t="str">
        <f ca="1">IFERROR(VALUE(separ(INDEX(Sheet!Q$2:Q$7967,$A145),"-",1)),"")</f>
        <v/>
      </c>
      <c r="BH145" s="35" t="str">
        <f ca="1">IFERROR(VALUE(separ(INDEX(Sheet!R$2:R$7967,$A145),"-",1)),"")</f>
        <v/>
      </c>
      <c r="BI145" s="35" t="str">
        <f ca="1">IFERROR(VALUE(separ(INDEX(Sheet!S$2:S$7967,$A145),"-",1)),"")</f>
        <v/>
      </c>
      <c r="BJ145" s="35" t="str">
        <f ca="1">IFERROR(VALUE(separ(INDEX(Sheet!T$2:T$7967,$A145),"-",1)),"")</f>
        <v/>
      </c>
      <c r="BK145" s="35" t="str">
        <f ca="1">IFERROR(VALUE(separ(INDEX(Sheet!U$2:U$7967,$A145),"-",1)),"")</f>
        <v/>
      </c>
      <c r="BL145" s="35" t="str">
        <f ca="1">IFERROR(VALUE(separ(INDEX(Sheet!V$2:V$7967,$A145),"-",1)),"")</f>
        <v/>
      </c>
      <c r="BM145" s="35" t="str">
        <f ca="1">IFERROR(VALUE(separ(INDEX(Sheet!W$2:W$7967,$A145),"-",1)),"")</f>
        <v/>
      </c>
      <c r="BN145" s="35" t="str">
        <f ca="1">IFERROR(VALUE(separ(INDEX(Sheet!X$2:X$7967,$A145),"-",1)),"")</f>
        <v/>
      </c>
      <c r="BO145" s="35" t="str">
        <f ca="1">IFERROR(VALUE(separ(INDEX(Sheet!Y$2:Y$7967,$A145),"-",1)),"")</f>
        <v/>
      </c>
      <c r="BP145" s="35" t="str">
        <f ca="1">IFERROR(VALUE(separ(INDEX(Sheet!Z$2:Z$7967,$A145),"-",1)),"")</f>
        <v/>
      </c>
      <c r="BQ145" s="35" t="str">
        <f ca="1">IFERROR(VALUE(separ(INDEX(Sheet!AA$2:AA$7967,$A145),"-",1)),"")</f>
        <v/>
      </c>
      <c r="BR145" s="35" t="str">
        <f ca="1">IFERROR(VALUE(separ(INDEX(Sheet!AB$2:AB$7967,$A145),"-",1)),"")</f>
        <v/>
      </c>
      <c r="BS145" s="35" t="str">
        <f ca="1">IFERROR(VALUE(separ(INDEX(Sheet!AC$2:AC$7967,$A145),"-",1)),"")</f>
        <v/>
      </c>
      <c r="BT145" s="35" t="str">
        <f ca="1">IFERROR(VALUE(separ(INDEX(Sheet!AD$2:AD$7967,$A145),"-",1)),"")</f>
        <v/>
      </c>
      <c r="BU145" s="35" t="str">
        <f ca="1">IFERROR(VALUE(separ(INDEX(Sheet!AE$2:AE$7967,$A145),"-",1)),"")</f>
        <v/>
      </c>
      <c r="BV145" s="35"/>
      <c r="BW145" s="35" t="str">
        <f ca="1">IFERROR((separ(INDEX(Sheet!Q$2:Q$7967,$A145),"-",2)),"")</f>
        <v/>
      </c>
      <c r="BX145" s="35" t="str">
        <f ca="1">IFERROR((separ(INDEX(Sheet!R$2:R$7967,$A145),"-",2)),"")</f>
        <v/>
      </c>
      <c r="BY145" s="35" t="str">
        <f ca="1">IFERROR((separ(INDEX(Sheet!S$2:S$7967,$A145),"-",2)),"")</f>
        <v/>
      </c>
      <c r="BZ145" s="35" t="str">
        <f ca="1">IFERROR((separ(INDEX(Sheet!T$2:T$7967,$A145),"-",2)),"")</f>
        <v/>
      </c>
      <c r="CA145" s="35" t="str">
        <f ca="1">IFERROR((separ(INDEX(Sheet!U$2:U$7967,$A145),"-",2)),"")</f>
        <v/>
      </c>
      <c r="CB145" s="35" t="str">
        <f ca="1">IFERROR((separ(INDEX(Sheet!V$2:V$7967,$A145),"-",2)),"")</f>
        <v/>
      </c>
      <c r="CC145" s="35" t="str">
        <f ca="1">IFERROR((separ(INDEX(Sheet!W$2:W$7967,$A145),"-",2)),"")</f>
        <v/>
      </c>
      <c r="CD145" s="35" t="str">
        <f ca="1">IFERROR((separ(INDEX(Sheet!X$2:X$7967,$A145),"-",2)),"")</f>
        <v/>
      </c>
      <c r="CE145" s="35" t="str">
        <f ca="1">IFERROR((separ(INDEX(Sheet!Y$2:Y$7967,$A145),"-",2)),"")</f>
        <v/>
      </c>
      <c r="CF145" s="35" t="str">
        <f ca="1">IFERROR((separ(INDEX(Sheet!Z$2:Z$7967,$A145),"-",2)),"")</f>
        <v/>
      </c>
      <c r="CG145" s="35" t="str">
        <f ca="1">IFERROR((separ(INDEX(Sheet!AA$2:AA$7967,$A145),"-",2)),"")</f>
        <v/>
      </c>
      <c r="CH145" s="35" t="str">
        <f ca="1">IFERROR((separ(INDEX(Sheet!AB$2:AB$7967,$A145),"-",2)),"")</f>
        <v/>
      </c>
      <c r="CI145" s="35" t="str">
        <f ca="1">IFERROR((separ(INDEX(Sheet!AC$2:AC$7967,$A145),"-",2)),"")</f>
        <v/>
      </c>
      <c r="CJ145" s="35" t="str">
        <f ca="1">IFERROR((separ(INDEX(Sheet!AD$2:AD$7967,$A145),"-",2)),"")</f>
        <v/>
      </c>
      <c r="CK145" s="35" t="str">
        <f ca="1">IFERROR((separ(INDEX(Sheet!AE$2:AE$7967,$A145),"-",2)),"")</f>
        <v/>
      </c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</row>
    <row r="146" spans="1:104" s="29" customFormat="1">
      <c r="A146" s="45" t="str">
        <f ca="1">IFERROR(MATCH($B$3,OFFSET(Sheet!$D$2,A145,0):'Sheet'!$D$7657,0)+A145,"")</f>
        <v/>
      </c>
      <c r="B146" s="29" t="str">
        <f ca="1">IF(ROW(A139)&lt;=COUNT($A$6:$A$800),INDEX(Sheet!$A$2:$A$7967,$A146),IF(ROW(A139)=COUNT($A$6:$A$800)+1," ",IF(ROW(A139)=COUNT($A$6:$A$800)+2,"  ","")))</f>
        <v/>
      </c>
      <c r="C146" s="67" t="str">
        <f ca="1">IF($A146="","",INDEX(Sheet!E$2:E$7967,$A146))</f>
        <v/>
      </c>
      <c r="D146" s="31" t="str">
        <f ca="1">IF(B143=" ",$AR$1,IF(B146=" ",$AQ$1,IF(A146="","",INDEX(Sheet!G$2:G$7967,$A146))))</f>
        <v/>
      </c>
      <c r="E146" s="32" t="str">
        <f ca="1">IF($A146="","",TEXT(INDEX(Sheet!J$2:J$7967,$A146),"#,#")&amp;" "&amp;INDEX(Sheet!AT$2:AT$7967,$A146))</f>
        <v/>
      </c>
      <c r="F146" s="53" t="str">
        <f ca="1">IF($A146="","",INDEX(Sheet!F$2:F$7967,$A146))</f>
        <v/>
      </c>
      <c r="G146" s="32" t="str">
        <f ca="1">IF($A146="","",INDEX(Sheet!I$2:I$7967,$A146))</f>
        <v/>
      </c>
      <c r="H146" s="32" t="str">
        <f ca="1">IF($A146="","",INDEX(Sheet!L$2:L$7967,$A146))</f>
        <v/>
      </c>
      <c r="I146" s="32" t="str">
        <f ca="1">IF($A146="","",INDEX(Sheet!N$2:N$7967,$A146))</f>
        <v/>
      </c>
      <c r="J146" s="53" t="str">
        <f ca="1">IF($A146="","",INDEX(Sheet!AS$2:AS$7967,$A146))</f>
        <v/>
      </c>
      <c r="K146" s="33" t="str">
        <f ca="1">IF($A146="","",IF(INDEX(Sheet!S$2:S$7967,$A146)="","",INDEX(Sheet!S$2:S$7967,$A146)))</f>
        <v/>
      </c>
      <c r="L146" s="33" t="str">
        <f ca="1">IF($A146="","",IF(INDEX(Sheet!R$2:R$7967,$A146)="","",INDEX(Sheet!R$2:R$7967,$A146)))</f>
        <v/>
      </c>
      <c r="M146" s="33" t="str">
        <f ca="1">IF($A146="","",IF(INDEX(Sheet!AO$2:AO$7967,$A146)="","",INDEX(Sheet!AO$2:AO$7967,$A146)))</f>
        <v/>
      </c>
      <c r="N146" s="33" t="str">
        <f ca="1">IF($A146="","",IF(INDEX(Sheet!T$2:T$7967,$A146)="","",INDEX(Sheet!T$2:T$7967,$A146)))</f>
        <v/>
      </c>
      <c r="O146" s="33" t="str">
        <f ca="1">IF($A146="","",IF(INDEX(Sheet!U$2:U$7967,$A146)="","",INDEX(Sheet!U$2:U$7967,$A146)))</f>
        <v/>
      </c>
      <c r="P146" s="33" t="str">
        <f ca="1">IF($A146="","",IF(INDEX(Sheet!W$2:W$7967,$A146)="","",INDEX(Sheet!W$2:W$7967,$A146)))</f>
        <v/>
      </c>
      <c r="Q146" s="33" t="str">
        <f ca="1">IF($A146="","",IF(INDEX(Sheet!V$2:V$7967,$A146)="","",INDEX(Sheet!V$2:V$7967,$A146)))</f>
        <v/>
      </c>
      <c r="R146" s="33" t="str">
        <f ca="1">IF($A146="","",IF(INDEX(Sheet!Z$2:Z$7967,$A146)="","",INDEX(Sheet!Z$2:Z$7967,$A146)))</f>
        <v/>
      </c>
      <c r="S146" s="33" t="str">
        <f ca="1">IF($A146="","",IF(INDEX(Sheet!Y$2:Y$7967,$A146)="","",INDEX(Sheet!Y$2:Y$7967,$A146)))</f>
        <v/>
      </c>
      <c r="T146" s="33" t="str">
        <f ca="1">IF($A146="","",IF(INDEX(Sheet!X$2:X$7967,$A146)="","",INDEX(Sheet!X$2:X$7967,$A146)))</f>
        <v/>
      </c>
      <c r="U146" s="33" t="str">
        <f ca="1">IF($A146="","",IF(INDEX(Sheet!AA$2:AA$7967,$A146)="","",INDEX(Sheet!AA$2:AA$7967,$A146)))</f>
        <v/>
      </c>
      <c r="V146" s="33" t="str">
        <f ca="1">IF($A146="","",IF(INDEX(Sheet!AB$2:AB$7967,$A146)="","",INDEX(Sheet!AB$2:AB$7967,$A146)))</f>
        <v/>
      </c>
      <c r="W146" s="33" t="str">
        <f ca="1">IF($A146="","",IF(INDEX(Sheet!AH$2:AH$7967,$A146)="","",INDEX(Sheet!AH$2:AH$7967,$A146)))</f>
        <v/>
      </c>
      <c r="X146" s="33" t="str">
        <f ca="1">IF($A146="","",IF(INDEX(Sheet!AC$2:AC$7967,$A146)="","",INDEX(Sheet!AC$2:AC$7967,$A146)))</f>
        <v/>
      </c>
      <c r="Y146" s="33" t="str">
        <f ca="1">IF($A146="","",IF(INDEX(Sheet!AD$2:AD$7967,$A146)="","",INDEX(Sheet!AD$2:AD$7967,$A146)))</f>
        <v/>
      </c>
      <c r="Z146" s="33" t="str">
        <f ca="1">IF($A146="","",IF(INDEX(Sheet!AL$2:AL$7967,$A146)="","",INDEX(Sheet!AL$2:AL$7967,$A146)))</f>
        <v/>
      </c>
      <c r="AA146" s="33" t="str">
        <f ca="1">IF($A146="","",IF(INDEX(Sheet!AE$2:AE$7967,$A146)="","",INDEX(Sheet!AE$2:AE$7967,$A146)))</f>
        <v/>
      </c>
      <c r="AB146" s="33" t="str">
        <f ca="1">IF($A146="","",IF(INDEX(Sheet!AF$2:AF$7967,$A146)="","",INDEX(Sheet!AF$2:AF$7967,$A146)))</f>
        <v/>
      </c>
      <c r="AC146" s="33" t="str">
        <f ca="1">IF($A146="","",IF(INDEX(Sheet!AG$2:AG$7967,$A146)="","",INDEX(Sheet!AG$2:AG$7967,$A146)))</f>
        <v/>
      </c>
      <c r="AD146" s="33" t="str">
        <f ca="1">IF($A146="","",IF(INDEX(Sheet!AM$2:AM$7967,$A146)="","",INDEX(Sheet!AM$2:AM$7967,$A146)))</f>
        <v/>
      </c>
      <c r="AE146" s="33" t="str">
        <f ca="1">IF($A146="","",IF(INDEX(Sheet!AJ$2:AJ$7967,$A146)="","",INDEX(Sheet!AJ$2:AJ$7967,$A146)))</f>
        <v/>
      </c>
      <c r="AF146" s="33" t="str">
        <f ca="1">IF($A146="","",IF(INDEX(Sheet!AI$2:AI$7967,$A146)="","",INDEX(Sheet!AI$2:AI$7967,$A146)))</f>
        <v/>
      </c>
      <c r="AG146" s="33" t="str">
        <f ca="1">IF(D146="duyệt sản xuất"," Bảo Bảo, Ngày "&amp;DAY($J$4)&amp;" Tháng "&amp;MONTH($J$4)&amp;" Năm "&amp;YEAR($J$4),IF(D146="Phê duyệt","NGƯỜI LẬP",IF(D146="Nguyễn Ngọc Thắng","NGUYỄN THỊ MAI",IF($A146="","",INDEX(Sheet!AK$2:AK$7967,$A146)))))</f>
        <v/>
      </c>
      <c r="AH146" s="58" t="str">
        <f ca="1">IF($A146="","",INDEX(Sheet!AR$2:AR$7967,$A146)&amp;" ; "&amp;INDEX(Sheet!M$2:M$7967,$A146))</f>
        <v/>
      </c>
      <c r="AI146" s="1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G146" s="35" t="str">
        <f ca="1">IFERROR(VALUE(separ(INDEX(Sheet!Q$2:Q$7967,$A146),"-",1)),"")</f>
        <v/>
      </c>
      <c r="BH146" s="35" t="str">
        <f ca="1">IFERROR(VALUE(separ(INDEX(Sheet!R$2:R$7967,$A146),"-",1)),"")</f>
        <v/>
      </c>
      <c r="BI146" s="35" t="str">
        <f ca="1">IFERROR(VALUE(separ(INDEX(Sheet!S$2:S$7967,$A146),"-",1)),"")</f>
        <v/>
      </c>
      <c r="BJ146" s="35" t="str">
        <f ca="1">IFERROR(VALUE(separ(INDEX(Sheet!T$2:T$7967,$A146),"-",1)),"")</f>
        <v/>
      </c>
      <c r="BK146" s="35" t="str">
        <f ca="1">IFERROR(VALUE(separ(INDEX(Sheet!U$2:U$7967,$A146),"-",1)),"")</f>
        <v/>
      </c>
      <c r="BL146" s="35" t="str">
        <f ca="1">IFERROR(VALUE(separ(INDEX(Sheet!V$2:V$7967,$A146),"-",1)),"")</f>
        <v/>
      </c>
      <c r="BM146" s="35" t="str">
        <f ca="1">IFERROR(VALUE(separ(INDEX(Sheet!W$2:W$7967,$A146),"-",1)),"")</f>
        <v/>
      </c>
      <c r="BN146" s="35" t="str">
        <f ca="1">IFERROR(VALUE(separ(INDEX(Sheet!X$2:X$7967,$A146),"-",1)),"")</f>
        <v/>
      </c>
      <c r="BO146" s="35" t="str">
        <f ca="1">IFERROR(VALUE(separ(INDEX(Sheet!Y$2:Y$7967,$A146),"-",1)),"")</f>
        <v/>
      </c>
      <c r="BP146" s="35" t="str">
        <f ca="1">IFERROR(VALUE(separ(INDEX(Sheet!Z$2:Z$7967,$A146),"-",1)),"")</f>
        <v/>
      </c>
      <c r="BQ146" s="35" t="str">
        <f ca="1">IFERROR(VALUE(separ(INDEX(Sheet!AA$2:AA$7967,$A146),"-",1)),"")</f>
        <v/>
      </c>
      <c r="BR146" s="35" t="str">
        <f ca="1">IFERROR(VALUE(separ(INDEX(Sheet!AB$2:AB$7967,$A146),"-",1)),"")</f>
        <v/>
      </c>
      <c r="BS146" s="35" t="str">
        <f ca="1">IFERROR(VALUE(separ(INDEX(Sheet!AC$2:AC$7967,$A146),"-",1)),"")</f>
        <v/>
      </c>
      <c r="BT146" s="35" t="str">
        <f ca="1">IFERROR(VALUE(separ(INDEX(Sheet!AD$2:AD$7967,$A146),"-",1)),"")</f>
        <v/>
      </c>
      <c r="BU146" s="35" t="str">
        <f ca="1">IFERROR(VALUE(separ(INDEX(Sheet!AE$2:AE$7967,$A146),"-",1)),"")</f>
        <v/>
      </c>
      <c r="BV146" s="35"/>
      <c r="BW146" s="35" t="str">
        <f ca="1">IFERROR((separ(INDEX(Sheet!Q$2:Q$7967,$A146),"-",2)),"")</f>
        <v/>
      </c>
      <c r="BX146" s="35" t="str">
        <f ca="1">IFERROR((separ(INDEX(Sheet!R$2:R$7967,$A146),"-",2)),"")</f>
        <v/>
      </c>
      <c r="BY146" s="35" t="str">
        <f ca="1">IFERROR((separ(INDEX(Sheet!S$2:S$7967,$A146),"-",2)),"")</f>
        <v/>
      </c>
      <c r="BZ146" s="35" t="str">
        <f ca="1">IFERROR((separ(INDEX(Sheet!T$2:T$7967,$A146),"-",2)),"")</f>
        <v/>
      </c>
      <c r="CA146" s="35" t="str">
        <f ca="1">IFERROR((separ(INDEX(Sheet!U$2:U$7967,$A146),"-",2)),"")</f>
        <v/>
      </c>
      <c r="CB146" s="35" t="str">
        <f ca="1">IFERROR((separ(INDEX(Sheet!V$2:V$7967,$A146),"-",2)),"")</f>
        <v/>
      </c>
      <c r="CC146" s="35" t="str">
        <f ca="1">IFERROR((separ(INDEX(Sheet!W$2:W$7967,$A146),"-",2)),"")</f>
        <v/>
      </c>
      <c r="CD146" s="35" t="str">
        <f ca="1">IFERROR((separ(INDEX(Sheet!X$2:X$7967,$A146),"-",2)),"")</f>
        <v/>
      </c>
      <c r="CE146" s="35" t="str">
        <f ca="1">IFERROR((separ(INDEX(Sheet!Y$2:Y$7967,$A146),"-",2)),"")</f>
        <v/>
      </c>
      <c r="CF146" s="35" t="str">
        <f ca="1">IFERROR((separ(INDEX(Sheet!Z$2:Z$7967,$A146),"-",2)),"")</f>
        <v/>
      </c>
      <c r="CG146" s="35" t="str">
        <f ca="1">IFERROR((separ(INDEX(Sheet!AA$2:AA$7967,$A146),"-",2)),"")</f>
        <v/>
      </c>
      <c r="CH146" s="35" t="str">
        <f ca="1">IFERROR((separ(INDEX(Sheet!AB$2:AB$7967,$A146),"-",2)),"")</f>
        <v/>
      </c>
      <c r="CI146" s="35" t="str">
        <f ca="1">IFERROR((separ(INDEX(Sheet!AC$2:AC$7967,$A146),"-",2)),"")</f>
        <v/>
      </c>
      <c r="CJ146" s="35" t="str">
        <f ca="1">IFERROR((separ(INDEX(Sheet!AD$2:AD$7967,$A146),"-",2)),"")</f>
        <v/>
      </c>
      <c r="CK146" s="35" t="str">
        <f ca="1">IFERROR((separ(INDEX(Sheet!AE$2:AE$7967,$A146),"-",2)),"")</f>
        <v/>
      </c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</row>
    <row r="147" spans="1:104" s="29" customFormat="1">
      <c r="A147" s="45" t="str">
        <f ca="1">IFERROR(MATCH($B$3,OFFSET(Sheet!$D$2,A146,0):'Sheet'!$D$7657,0)+A146,"")</f>
        <v/>
      </c>
      <c r="B147" s="29" t="str">
        <f ca="1">IF(ROW(A140)&lt;=COUNT($A$6:$A$800),INDEX(Sheet!$A$2:$A$7967,$A147),IF(ROW(A140)=COUNT($A$6:$A$800)+1," ",IF(ROW(A140)=COUNT($A$6:$A$800)+2,"  ","")))</f>
        <v/>
      </c>
      <c r="C147" s="67" t="str">
        <f ca="1">IF($A147="","",INDEX(Sheet!E$2:E$7967,$A147))</f>
        <v/>
      </c>
      <c r="D147" s="31" t="str">
        <f ca="1">IF(B144=" ",$AR$1,IF(B147=" ",$AQ$1,IF(A147="","",INDEX(Sheet!G$2:G$7967,$A147))))</f>
        <v/>
      </c>
      <c r="E147" s="32" t="str">
        <f ca="1">IF($A147="","",TEXT(INDEX(Sheet!J$2:J$7967,$A147),"#,#")&amp;" "&amp;INDEX(Sheet!AT$2:AT$7967,$A147))</f>
        <v/>
      </c>
      <c r="F147" s="53" t="str">
        <f ca="1">IF($A147="","",INDEX(Sheet!F$2:F$7967,$A147))</f>
        <v/>
      </c>
      <c r="G147" s="32" t="str">
        <f ca="1">IF($A147="","",INDEX(Sheet!I$2:I$7967,$A147))</f>
        <v/>
      </c>
      <c r="H147" s="32" t="str">
        <f ca="1">IF($A147="","",INDEX(Sheet!L$2:L$7967,$A147))</f>
        <v/>
      </c>
      <c r="I147" s="32" t="str">
        <f ca="1">IF($A147="","",INDEX(Sheet!N$2:N$7967,$A147))</f>
        <v/>
      </c>
      <c r="J147" s="53" t="str">
        <f ca="1">IF($A147="","",INDEX(Sheet!AS$2:AS$7967,$A147))</f>
        <v/>
      </c>
      <c r="K147" s="33" t="str">
        <f ca="1">IF($A147="","",IF(INDEX(Sheet!S$2:S$7967,$A147)="","",INDEX(Sheet!S$2:S$7967,$A147)))</f>
        <v/>
      </c>
      <c r="L147" s="33" t="str">
        <f ca="1">IF($A147="","",IF(INDEX(Sheet!R$2:R$7967,$A147)="","",INDEX(Sheet!R$2:R$7967,$A147)))</f>
        <v/>
      </c>
      <c r="M147" s="33" t="str">
        <f ca="1">IF($A147="","",IF(INDEX(Sheet!AO$2:AO$7967,$A147)="","",INDEX(Sheet!AO$2:AO$7967,$A147)))</f>
        <v/>
      </c>
      <c r="N147" s="33" t="str">
        <f ca="1">IF($A147="","",IF(INDEX(Sheet!T$2:T$7967,$A147)="","",INDEX(Sheet!T$2:T$7967,$A147)))</f>
        <v/>
      </c>
      <c r="O147" s="33" t="str">
        <f ca="1">IF($A147="","",IF(INDEX(Sheet!U$2:U$7967,$A147)="","",INDEX(Sheet!U$2:U$7967,$A147)))</f>
        <v/>
      </c>
      <c r="P147" s="33" t="str">
        <f ca="1">IF($A147="","",IF(INDEX(Sheet!W$2:W$7967,$A147)="","",INDEX(Sheet!W$2:W$7967,$A147)))</f>
        <v/>
      </c>
      <c r="Q147" s="33" t="str">
        <f ca="1">IF($A147="","",IF(INDEX(Sheet!V$2:V$7967,$A147)="","",INDEX(Sheet!V$2:V$7967,$A147)))</f>
        <v/>
      </c>
      <c r="R147" s="33" t="str">
        <f ca="1">IF($A147="","",IF(INDEX(Sheet!Z$2:Z$7967,$A147)="","",INDEX(Sheet!Z$2:Z$7967,$A147)))</f>
        <v/>
      </c>
      <c r="S147" s="33" t="str">
        <f ca="1">IF($A147="","",IF(INDEX(Sheet!Y$2:Y$7967,$A147)="","",INDEX(Sheet!Y$2:Y$7967,$A147)))</f>
        <v/>
      </c>
      <c r="T147" s="33" t="str">
        <f ca="1">IF($A147="","",IF(INDEX(Sheet!X$2:X$7967,$A147)="","",INDEX(Sheet!X$2:X$7967,$A147)))</f>
        <v/>
      </c>
      <c r="U147" s="33" t="str">
        <f ca="1">IF($A147="","",IF(INDEX(Sheet!AA$2:AA$7967,$A147)="","",INDEX(Sheet!AA$2:AA$7967,$A147)))</f>
        <v/>
      </c>
      <c r="V147" s="33" t="str">
        <f ca="1">IF($A147="","",IF(INDEX(Sheet!AB$2:AB$7967,$A147)="","",INDEX(Sheet!AB$2:AB$7967,$A147)))</f>
        <v/>
      </c>
      <c r="W147" s="33" t="str">
        <f ca="1">IF($A147="","",IF(INDEX(Sheet!AH$2:AH$7967,$A147)="","",INDEX(Sheet!AH$2:AH$7967,$A147)))</f>
        <v/>
      </c>
      <c r="X147" s="33" t="str">
        <f ca="1">IF($A147="","",IF(INDEX(Sheet!AC$2:AC$7967,$A147)="","",INDEX(Sheet!AC$2:AC$7967,$A147)))</f>
        <v/>
      </c>
      <c r="Y147" s="33" t="str">
        <f ca="1">IF($A147="","",IF(INDEX(Sheet!AD$2:AD$7967,$A147)="","",INDEX(Sheet!AD$2:AD$7967,$A147)))</f>
        <v/>
      </c>
      <c r="Z147" s="33" t="str">
        <f ca="1">IF($A147="","",IF(INDEX(Sheet!AL$2:AL$7967,$A147)="","",INDEX(Sheet!AL$2:AL$7967,$A147)))</f>
        <v/>
      </c>
      <c r="AA147" s="33" t="str">
        <f ca="1">IF($A147="","",IF(INDEX(Sheet!AE$2:AE$7967,$A147)="","",INDEX(Sheet!AE$2:AE$7967,$A147)))</f>
        <v/>
      </c>
      <c r="AB147" s="33" t="str">
        <f ca="1">IF($A147="","",IF(INDEX(Sheet!AF$2:AF$7967,$A147)="","",INDEX(Sheet!AF$2:AF$7967,$A147)))</f>
        <v/>
      </c>
      <c r="AC147" s="33" t="str">
        <f ca="1">IF($A147="","",IF(INDEX(Sheet!AG$2:AG$7967,$A147)="","",INDEX(Sheet!AG$2:AG$7967,$A147)))</f>
        <v/>
      </c>
      <c r="AD147" s="33" t="str">
        <f ca="1">IF($A147="","",IF(INDEX(Sheet!AM$2:AM$7967,$A147)="","",INDEX(Sheet!AM$2:AM$7967,$A147)))</f>
        <v/>
      </c>
      <c r="AE147" s="33" t="str">
        <f ca="1">IF($A147="","",IF(INDEX(Sheet!AJ$2:AJ$7967,$A147)="","",INDEX(Sheet!AJ$2:AJ$7967,$A147)))</f>
        <v/>
      </c>
      <c r="AF147" s="33" t="str">
        <f ca="1">IF($A147="","",IF(INDEX(Sheet!AI$2:AI$7967,$A147)="","",INDEX(Sheet!AI$2:AI$7967,$A147)))</f>
        <v/>
      </c>
      <c r="AG147" s="33" t="str">
        <f ca="1">IF(D147="duyệt sản xuất"," Bảo Bảo, Ngày "&amp;DAY($J$4)&amp;" Tháng "&amp;MONTH($J$4)&amp;" Năm "&amp;YEAR($J$4),IF(D147="Phê duyệt","NGƯỜI LẬP",IF(D147="Nguyễn Ngọc Thắng","NGUYỄN THỊ MAI",IF($A147="","",INDEX(Sheet!AK$2:AK$7967,$A147)))))</f>
        <v/>
      </c>
      <c r="AH147" s="58" t="str">
        <f ca="1">IF($A147="","",INDEX(Sheet!AR$2:AR$7967,$A147)&amp;" ; "&amp;INDEX(Sheet!M$2:M$7967,$A147))</f>
        <v/>
      </c>
      <c r="AI147" s="1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G147" s="35" t="str">
        <f ca="1">IFERROR(VALUE(separ(INDEX(Sheet!Q$2:Q$7967,$A147),"-",1)),"")</f>
        <v/>
      </c>
      <c r="BH147" s="35" t="str">
        <f ca="1">IFERROR(VALUE(separ(INDEX(Sheet!R$2:R$7967,$A147),"-",1)),"")</f>
        <v/>
      </c>
      <c r="BI147" s="35" t="str">
        <f ca="1">IFERROR(VALUE(separ(INDEX(Sheet!S$2:S$7967,$A147),"-",1)),"")</f>
        <v/>
      </c>
      <c r="BJ147" s="35" t="str">
        <f ca="1">IFERROR(VALUE(separ(INDEX(Sheet!T$2:T$7967,$A147),"-",1)),"")</f>
        <v/>
      </c>
      <c r="BK147" s="35" t="str">
        <f ca="1">IFERROR(VALUE(separ(INDEX(Sheet!U$2:U$7967,$A147),"-",1)),"")</f>
        <v/>
      </c>
      <c r="BL147" s="35" t="str">
        <f ca="1">IFERROR(VALUE(separ(INDEX(Sheet!V$2:V$7967,$A147),"-",1)),"")</f>
        <v/>
      </c>
      <c r="BM147" s="35" t="str">
        <f ca="1">IFERROR(VALUE(separ(INDEX(Sheet!W$2:W$7967,$A147),"-",1)),"")</f>
        <v/>
      </c>
      <c r="BN147" s="35" t="str">
        <f ca="1">IFERROR(VALUE(separ(INDEX(Sheet!X$2:X$7967,$A147),"-",1)),"")</f>
        <v/>
      </c>
      <c r="BO147" s="35" t="str">
        <f ca="1">IFERROR(VALUE(separ(INDEX(Sheet!Y$2:Y$7967,$A147),"-",1)),"")</f>
        <v/>
      </c>
      <c r="BP147" s="35" t="str">
        <f ca="1">IFERROR(VALUE(separ(INDEX(Sheet!Z$2:Z$7967,$A147),"-",1)),"")</f>
        <v/>
      </c>
      <c r="BQ147" s="35" t="str">
        <f ca="1">IFERROR(VALUE(separ(INDEX(Sheet!AA$2:AA$7967,$A147),"-",1)),"")</f>
        <v/>
      </c>
      <c r="BR147" s="35" t="str">
        <f ca="1">IFERROR(VALUE(separ(INDEX(Sheet!AB$2:AB$7967,$A147),"-",1)),"")</f>
        <v/>
      </c>
      <c r="BS147" s="35" t="str">
        <f ca="1">IFERROR(VALUE(separ(INDEX(Sheet!AC$2:AC$7967,$A147),"-",1)),"")</f>
        <v/>
      </c>
      <c r="BT147" s="35" t="str">
        <f ca="1">IFERROR(VALUE(separ(INDEX(Sheet!AD$2:AD$7967,$A147),"-",1)),"")</f>
        <v/>
      </c>
      <c r="BU147" s="35" t="str">
        <f ca="1">IFERROR(VALUE(separ(INDEX(Sheet!AE$2:AE$7967,$A147),"-",1)),"")</f>
        <v/>
      </c>
      <c r="BV147" s="35"/>
      <c r="BW147" s="35" t="str">
        <f ca="1">IFERROR((separ(INDEX(Sheet!Q$2:Q$7967,$A147),"-",2)),"")</f>
        <v/>
      </c>
      <c r="BX147" s="35" t="str">
        <f ca="1">IFERROR((separ(INDEX(Sheet!R$2:R$7967,$A147),"-",2)),"")</f>
        <v/>
      </c>
      <c r="BY147" s="35" t="str">
        <f ca="1">IFERROR((separ(INDEX(Sheet!S$2:S$7967,$A147),"-",2)),"")</f>
        <v/>
      </c>
      <c r="BZ147" s="35" t="str">
        <f ca="1">IFERROR((separ(INDEX(Sheet!T$2:T$7967,$A147),"-",2)),"")</f>
        <v/>
      </c>
      <c r="CA147" s="35" t="str">
        <f ca="1">IFERROR((separ(INDEX(Sheet!U$2:U$7967,$A147),"-",2)),"")</f>
        <v/>
      </c>
      <c r="CB147" s="35" t="str">
        <f ca="1">IFERROR((separ(INDEX(Sheet!V$2:V$7967,$A147),"-",2)),"")</f>
        <v/>
      </c>
      <c r="CC147" s="35" t="str">
        <f ca="1">IFERROR((separ(INDEX(Sheet!W$2:W$7967,$A147),"-",2)),"")</f>
        <v/>
      </c>
      <c r="CD147" s="35" t="str">
        <f ca="1">IFERROR((separ(INDEX(Sheet!X$2:X$7967,$A147),"-",2)),"")</f>
        <v/>
      </c>
      <c r="CE147" s="35" t="str">
        <f ca="1">IFERROR((separ(INDEX(Sheet!Y$2:Y$7967,$A147),"-",2)),"")</f>
        <v/>
      </c>
      <c r="CF147" s="35" t="str">
        <f ca="1">IFERROR((separ(INDEX(Sheet!Z$2:Z$7967,$A147),"-",2)),"")</f>
        <v/>
      </c>
      <c r="CG147" s="35" t="str">
        <f ca="1">IFERROR((separ(INDEX(Sheet!AA$2:AA$7967,$A147),"-",2)),"")</f>
        <v/>
      </c>
      <c r="CH147" s="35" t="str">
        <f ca="1">IFERROR((separ(INDEX(Sheet!AB$2:AB$7967,$A147),"-",2)),"")</f>
        <v/>
      </c>
      <c r="CI147" s="35" t="str">
        <f ca="1">IFERROR((separ(INDEX(Sheet!AC$2:AC$7967,$A147),"-",2)),"")</f>
        <v/>
      </c>
      <c r="CJ147" s="35" t="str">
        <f ca="1">IFERROR((separ(INDEX(Sheet!AD$2:AD$7967,$A147),"-",2)),"")</f>
        <v/>
      </c>
      <c r="CK147" s="35" t="str">
        <f ca="1">IFERROR((separ(INDEX(Sheet!AE$2:AE$7967,$A147),"-",2)),"")</f>
        <v/>
      </c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</row>
    <row r="148" spans="1:104" s="29" customFormat="1">
      <c r="A148" s="45" t="str">
        <f ca="1">IFERROR(MATCH($B$3,OFFSET(Sheet!$D$2,A147,0):'Sheet'!$D$7657,0)+A147,"")</f>
        <v/>
      </c>
      <c r="B148" s="29" t="str">
        <f ca="1">IF(ROW(A141)&lt;=COUNT($A$6:$A$800),INDEX(Sheet!$A$2:$A$7967,$A148),IF(ROW(A141)=COUNT($A$6:$A$800)+1," ",IF(ROW(A141)=COUNT($A$6:$A$800)+2,"  ","")))</f>
        <v/>
      </c>
      <c r="C148" s="67" t="str">
        <f ca="1">IF($A148="","",INDEX(Sheet!E$2:E$7967,$A148))</f>
        <v/>
      </c>
      <c r="D148" s="31" t="str">
        <f ca="1">IF(B145=" ",$AR$1,IF(B148=" ",$AQ$1,IF(A148="","",INDEX(Sheet!G$2:G$7967,$A148))))</f>
        <v/>
      </c>
      <c r="E148" s="32" t="str">
        <f ca="1">IF($A148="","",TEXT(INDEX(Sheet!J$2:J$7967,$A148),"#,#")&amp;" "&amp;INDEX(Sheet!AT$2:AT$7967,$A148))</f>
        <v/>
      </c>
      <c r="F148" s="53" t="str">
        <f ca="1">IF($A148="","",INDEX(Sheet!F$2:F$7967,$A148))</f>
        <v/>
      </c>
      <c r="G148" s="32" t="str">
        <f ca="1">IF($A148="","",INDEX(Sheet!I$2:I$7967,$A148))</f>
        <v/>
      </c>
      <c r="H148" s="32" t="str">
        <f ca="1">IF($A148="","",INDEX(Sheet!L$2:L$7967,$A148))</f>
        <v/>
      </c>
      <c r="I148" s="32" t="str">
        <f ca="1">IF($A148="","",INDEX(Sheet!N$2:N$7967,$A148))</f>
        <v/>
      </c>
      <c r="J148" s="53" t="str">
        <f ca="1">IF($A148="","",INDEX(Sheet!AS$2:AS$7967,$A148))</f>
        <v/>
      </c>
      <c r="K148" s="33" t="str">
        <f ca="1">IF($A148="","",IF(INDEX(Sheet!S$2:S$7967,$A148)="","",INDEX(Sheet!S$2:S$7967,$A148)))</f>
        <v/>
      </c>
      <c r="L148" s="33" t="str">
        <f ca="1">IF($A148="","",IF(INDEX(Sheet!R$2:R$7967,$A148)="","",INDEX(Sheet!R$2:R$7967,$A148)))</f>
        <v/>
      </c>
      <c r="M148" s="33" t="str">
        <f ca="1">IF($A148="","",IF(INDEX(Sheet!AO$2:AO$7967,$A148)="","",INDEX(Sheet!AO$2:AO$7967,$A148)))</f>
        <v/>
      </c>
      <c r="N148" s="33" t="str">
        <f ca="1">IF($A148="","",IF(INDEX(Sheet!T$2:T$7967,$A148)="","",INDEX(Sheet!T$2:T$7967,$A148)))</f>
        <v/>
      </c>
      <c r="O148" s="33" t="str">
        <f ca="1">IF($A148="","",IF(INDEX(Sheet!U$2:U$7967,$A148)="","",INDEX(Sheet!U$2:U$7967,$A148)))</f>
        <v/>
      </c>
      <c r="P148" s="33" t="str">
        <f ca="1">IF($A148="","",IF(INDEX(Sheet!W$2:W$7967,$A148)="","",INDEX(Sheet!W$2:W$7967,$A148)))</f>
        <v/>
      </c>
      <c r="Q148" s="33" t="str">
        <f ca="1">IF($A148="","",IF(INDEX(Sheet!V$2:V$7967,$A148)="","",INDEX(Sheet!V$2:V$7967,$A148)))</f>
        <v/>
      </c>
      <c r="R148" s="33" t="str">
        <f ca="1">IF($A148="","",IF(INDEX(Sheet!Z$2:Z$7967,$A148)="","",INDEX(Sheet!Z$2:Z$7967,$A148)))</f>
        <v/>
      </c>
      <c r="S148" s="33" t="str">
        <f ca="1">IF($A148="","",IF(INDEX(Sheet!Y$2:Y$7967,$A148)="","",INDEX(Sheet!Y$2:Y$7967,$A148)))</f>
        <v/>
      </c>
      <c r="T148" s="33" t="str">
        <f ca="1">IF($A148="","",IF(INDEX(Sheet!X$2:X$7967,$A148)="","",INDEX(Sheet!X$2:X$7967,$A148)))</f>
        <v/>
      </c>
      <c r="U148" s="33" t="str">
        <f ca="1">IF($A148="","",IF(INDEX(Sheet!AA$2:AA$7967,$A148)="","",INDEX(Sheet!AA$2:AA$7967,$A148)))</f>
        <v/>
      </c>
      <c r="V148" s="33" t="str">
        <f ca="1">IF($A148="","",IF(INDEX(Sheet!AB$2:AB$7967,$A148)="","",INDEX(Sheet!AB$2:AB$7967,$A148)))</f>
        <v/>
      </c>
      <c r="W148" s="33" t="str">
        <f ca="1">IF($A148="","",IF(INDEX(Sheet!AH$2:AH$7967,$A148)="","",INDEX(Sheet!AH$2:AH$7967,$A148)))</f>
        <v/>
      </c>
      <c r="X148" s="33" t="str">
        <f ca="1">IF($A148="","",IF(INDEX(Sheet!AC$2:AC$7967,$A148)="","",INDEX(Sheet!AC$2:AC$7967,$A148)))</f>
        <v/>
      </c>
      <c r="Y148" s="33" t="str">
        <f ca="1">IF($A148="","",IF(INDEX(Sheet!AD$2:AD$7967,$A148)="","",INDEX(Sheet!AD$2:AD$7967,$A148)))</f>
        <v/>
      </c>
      <c r="Z148" s="33" t="str">
        <f ca="1">IF($A148="","",IF(INDEX(Sheet!AL$2:AL$7967,$A148)="","",INDEX(Sheet!AL$2:AL$7967,$A148)))</f>
        <v/>
      </c>
      <c r="AA148" s="33" t="str">
        <f ca="1">IF($A148="","",IF(INDEX(Sheet!AE$2:AE$7967,$A148)="","",INDEX(Sheet!AE$2:AE$7967,$A148)))</f>
        <v/>
      </c>
      <c r="AB148" s="33" t="str">
        <f ca="1">IF($A148="","",IF(INDEX(Sheet!AF$2:AF$7967,$A148)="","",INDEX(Sheet!AF$2:AF$7967,$A148)))</f>
        <v/>
      </c>
      <c r="AC148" s="33" t="str">
        <f ca="1">IF($A148="","",IF(INDEX(Sheet!AG$2:AG$7967,$A148)="","",INDEX(Sheet!AG$2:AG$7967,$A148)))</f>
        <v/>
      </c>
      <c r="AD148" s="33" t="str">
        <f ca="1">IF($A148="","",IF(INDEX(Sheet!AM$2:AM$7967,$A148)="","",INDEX(Sheet!AM$2:AM$7967,$A148)))</f>
        <v/>
      </c>
      <c r="AE148" s="33" t="str">
        <f ca="1">IF($A148="","",IF(INDEX(Sheet!AJ$2:AJ$7967,$A148)="","",INDEX(Sheet!AJ$2:AJ$7967,$A148)))</f>
        <v/>
      </c>
      <c r="AF148" s="33" t="str">
        <f ca="1">IF($A148="","",IF(INDEX(Sheet!AI$2:AI$7967,$A148)="","",INDEX(Sheet!AI$2:AI$7967,$A148)))</f>
        <v/>
      </c>
      <c r="AG148" s="33" t="str">
        <f ca="1">IF(D148="duyệt sản xuất"," Bảo Bảo, Ngày "&amp;DAY($J$4)&amp;" Tháng "&amp;MONTH($J$4)&amp;" Năm "&amp;YEAR($J$4),IF(D148="Phê duyệt","NGƯỜI LẬP",IF(D148="Nguyễn Ngọc Thắng","NGUYỄN THỊ MAI",IF($A148="","",INDEX(Sheet!AK$2:AK$7967,$A148)))))</f>
        <v/>
      </c>
      <c r="AH148" s="58" t="str">
        <f ca="1">IF($A148="","",INDEX(Sheet!AR$2:AR$7967,$A148)&amp;" ; "&amp;INDEX(Sheet!M$2:M$7967,$A148))</f>
        <v/>
      </c>
      <c r="AI148" s="1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G148" s="35" t="str">
        <f ca="1">IFERROR(VALUE(separ(INDEX(Sheet!Q$2:Q$7967,$A148),"-",1)),"")</f>
        <v/>
      </c>
      <c r="BH148" s="35" t="str">
        <f ca="1">IFERROR(VALUE(separ(INDEX(Sheet!R$2:R$7967,$A148),"-",1)),"")</f>
        <v/>
      </c>
      <c r="BI148" s="35" t="str">
        <f ca="1">IFERROR(VALUE(separ(INDEX(Sheet!S$2:S$7967,$A148),"-",1)),"")</f>
        <v/>
      </c>
      <c r="BJ148" s="35" t="str">
        <f ca="1">IFERROR(VALUE(separ(INDEX(Sheet!T$2:T$7967,$A148),"-",1)),"")</f>
        <v/>
      </c>
      <c r="BK148" s="35" t="str">
        <f ca="1">IFERROR(VALUE(separ(INDEX(Sheet!U$2:U$7967,$A148),"-",1)),"")</f>
        <v/>
      </c>
      <c r="BL148" s="35" t="str">
        <f ca="1">IFERROR(VALUE(separ(INDEX(Sheet!V$2:V$7967,$A148),"-",1)),"")</f>
        <v/>
      </c>
      <c r="BM148" s="35" t="str">
        <f ca="1">IFERROR(VALUE(separ(INDEX(Sheet!W$2:W$7967,$A148),"-",1)),"")</f>
        <v/>
      </c>
      <c r="BN148" s="35" t="str">
        <f ca="1">IFERROR(VALUE(separ(INDEX(Sheet!X$2:X$7967,$A148),"-",1)),"")</f>
        <v/>
      </c>
      <c r="BO148" s="35" t="str">
        <f ca="1">IFERROR(VALUE(separ(INDEX(Sheet!Y$2:Y$7967,$A148),"-",1)),"")</f>
        <v/>
      </c>
      <c r="BP148" s="35" t="str">
        <f ca="1">IFERROR(VALUE(separ(INDEX(Sheet!Z$2:Z$7967,$A148),"-",1)),"")</f>
        <v/>
      </c>
      <c r="BQ148" s="35" t="str">
        <f ca="1">IFERROR(VALUE(separ(INDEX(Sheet!AA$2:AA$7967,$A148),"-",1)),"")</f>
        <v/>
      </c>
      <c r="BR148" s="35" t="str">
        <f ca="1">IFERROR(VALUE(separ(INDEX(Sheet!AB$2:AB$7967,$A148),"-",1)),"")</f>
        <v/>
      </c>
      <c r="BS148" s="35" t="str">
        <f ca="1">IFERROR(VALUE(separ(INDEX(Sheet!AC$2:AC$7967,$A148),"-",1)),"")</f>
        <v/>
      </c>
      <c r="BT148" s="35" t="str">
        <f ca="1">IFERROR(VALUE(separ(INDEX(Sheet!AD$2:AD$7967,$A148),"-",1)),"")</f>
        <v/>
      </c>
      <c r="BU148" s="35" t="str">
        <f ca="1">IFERROR(VALUE(separ(INDEX(Sheet!AE$2:AE$7967,$A148),"-",1)),"")</f>
        <v/>
      </c>
      <c r="BV148" s="35"/>
      <c r="BW148" s="35" t="str">
        <f ca="1">IFERROR((separ(INDEX(Sheet!Q$2:Q$7967,$A148),"-",2)),"")</f>
        <v/>
      </c>
      <c r="BX148" s="35" t="str">
        <f ca="1">IFERROR((separ(INDEX(Sheet!R$2:R$7967,$A148),"-",2)),"")</f>
        <v/>
      </c>
      <c r="BY148" s="35" t="str">
        <f ca="1">IFERROR((separ(INDEX(Sheet!S$2:S$7967,$A148),"-",2)),"")</f>
        <v/>
      </c>
      <c r="BZ148" s="35" t="str">
        <f ca="1">IFERROR((separ(INDEX(Sheet!T$2:T$7967,$A148),"-",2)),"")</f>
        <v/>
      </c>
      <c r="CA148" s="35" t="str">
        <f ca="1">IFERROR((separ(INDEX(Sheet!U$2:U$7967,$A148),"-",2)),"")</f>
        <v/>
      </c>
      <c r="CB148" s="35" t="str">
        <f ca="1">IFERROR((separ(INDEX(Sheet!V$2:V$7967,$A148),"-",2)),"")</f>
        <v/>
      </c>
      <c r="CC148" s="35" t="str">
        <f ca="1">IFERROR((separ(INDEX(Sheet!W$2:W$7967,$A148),"-",2)),"")</f>
        <v/>
      </c>
      <c r="CD148" s="35" t="str">
        <f ca="1">IFERROR((separ(INDEX(Sheet!X$2:X$7967,$A148),"-",2)),"")</f>
        <v/>
      </c>
      <c r="CE148" s="35" t="str">
        <f ca="1">IFERROR((separ(INDEX(Sheet!Y$2:Y$7967,$A148),"-",2)),"")</f>
        <v/>
      </c>
      <c r="CF148" s="35" t="str">
        <f ca="1">IFERROR((separ(INDEX(Sheet!Z$2:Z$7967,$A148),"-",2)),"")</f>
        <v/>
      </c>
      <c r="CG148" s="35" t="str">
        <f ca="1">IFERROR((separ(INDEX(Sheet!AA$2:AA$7967,$A148),"-",2)),"")</f>
        <v/>
      </c>
      <c r="CH148" s="35" t="str">
        <f ca="1">IFERROR((separ(INDEX(Sheet!AB$2:AB$7967,$A148),"-",2)),"")</f>
        <v/>
      </c>
      <c r="CI148" s="35" t="str">
        <f ca="1">IFERROR((separ(INDEX(Sheet!AC$2:AC$7967,$A148),"-",2)),"")</f>
        <v/>
      </c>
      <c r="CJ148" s="35" t="str">
        <f ca="1">IFERROR((separ(INDEX(Sheet!AD$2:AD$7967,$A148),"-",2)),"")</f>
        <v/>
      </c>
      <c r="CK148" s="35" t="str">
        <f ca="1">IFERROR((separ(INDEX(Sheet!AE$2:AE$7967,$A148),"-",2)),"")</f>
        <v/>
      </c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</row>
    <row r="149" spans="1:104" s="29" customFormat="1">
      <c r="A149" s="45" t="str">
        <f ca="1">IFERROR(MATCH($B$3,OFFSET(Sheet!$D$2,A148,0):'Sheet'!$D$7657,0)+A148,"")</f>
        <v/>
      </c>
      <c r="B149" s="29" t="str">
        <f ca="1">IF(ROW(A142)&lt;=COUNT($A$6:$A$800),INDEX(Sheet!$A$2:$A$7967,$A149),IF(ROW(A142)=COUNT($A$6:$A$800)+1," ",IF(ROW(A142)=COUNT($A$6:$A$800)+2,"  ","")))</f>
        <v/>
      </c>
      <c r="C149" s="67" t="str">
        <f ca="1">IF($A149="","",INDEX(Sheet!E$2:E$7967,$A149))</f>
        <v/>
      </c>
      <c r="D149" s="31" t="str">
        <f ca="1">IF(B146=" ",$AR$1,IF(B149=" ",$AQ$1,IF(A149="","",INDEX(Sheet!G$2:G$7967,$A149))))</f>
        <v/>
      </c>
      <c r="E149" s="32" t="str">
        <f ca="1">IF($A149="","",TEXT(INDEX(Sheet!J$2:J$7967,$A149),"#,#")&amp;" "&amp;INDEX(Sheet!AT$2:AT$7967,$A149))</f>
        <v/>
      </c>
      <c r="F149" s="53" t="str">
        <f ca="1">IF($A149="","",INDEX(Sheet!F$2:F$7967,$A149))</f>
        <v/>
      </c>
      <c r="G149" s="32" t="str">
        <f ca="1">IF($A149="","",INDEX(Sheet!I$2:I$7967,$A149))</f>
        <v/>
      </c>
      <c r="H149" s="32" t="str">
        <f ca="1">IF($A149="","",INDEX(Sheet!L$2:L$7967,$A149))</f>
        <v/>
      </c>
      <c r="I149" s="32" t="str">
        <f ca="1">IF($A149="","",INDEX(Sheet!N$2:N$7967,$A149))</f>
        <v/>
      </c>
      <c r="J149" s="53" t="str">
        <f ca="1">IF($A149="","",INDEX(Sheet!AS$2:AS$7967,$A149))</f>
        <v/>
      </c>
      <c r="K149" s="33" t="str">
        <f ca="1">IF($A149="","",IF(INDEX(Sheet!S$2:S$7967,$A149)="","",INDEX(Sheet!S$2:S$7967,$A149)))</f>
        <v/>
      </c>
      <c r="L149" s="33" t="str">
        <f ca="1">IF($A149="","",IF(INDEX(Sheet!R$2:R$7967,$A149)="","",INDEX(Sheet!R$2:R$7967,$A149)))</f>
        <v/>
      </c>
      <c r="M149" s="33" t="str">
        <f ca="1">IF($A149="","",IF(INDEX(Sheet!AO$2:AO$7967,$A149)="","",INDEX(Sheet!AO$2:AO$7967,$A149)))</f>
        <v/>
      </c>
      <c r="N149" s="33" t="str">
        <f ca="1">IF($A149="","",IF(INDEX(Sheet!T$2:T$7967,$A149)="","",INDEX(Sheet!T$2:T$7967,$A149)))</f>
        <v/>
      </c>
      <c r="O149" s="33" t="str">
        <f ca="1">IF($A149="","",IF(INDEX(Sheet!U$2:U$7967,$A149)="","",INDEX(Sheet!U$2:U$7967,$A149)))</f>
        <v/>
      </c>
      <c r="P149" s="33" t="str">
        <f ca="1">IF($A149="","",IF(INDEX(Sheet!W$2:W$7967,$A149)="","",INDEX(Sheet!W$2:W$7967,$A149)))</f>
        <v/>
      </c>
      <c r="Q149" s="33" t="str">
        <f ca="1">IF($A149="","",IF(INDEX(Sheet!V$2:V$7967,$A149)="","",INDEX(Sheet!V$2:V$7967,$A149)))</f>
        <v/>
      </c>
      <c r="R149" s="33" t="str">
        <f ca="1">IF($A149="","",IF(INDEX(Sheet!Z$2:Z$7967,$A149)="","",INDEX(Sheet!Z$2:Z$7967,$A149)))</f>
        <v/>
      </c>
      <c r="S149" s="33" t="str">
        <f ca="1">IF($A149="","",IF(INDEX(Sheet!Y$2:Y$7967,$A149)="","",INDEX(Sheet!Y$2:Y$7967,$A149)))</f>
        <v/>
      </c>
      <c r="T149" s="33" t="str">
        <f ca="1">IF($A149="","",IF(INDEX(Sheet!X$2:X$7967,$A149)="","",INDEX(Sheet!X$2:X$7967,$A149)))</f>
        <v/>
      </c>
      <c r="U149" s="33" t="str">
        <f ca="1">IF($A149="","",IF(INDEX(Sheet!AA$2:AA$7967,$A149)="","",INDEX(Sheet!AA$2:AA$7967,$A149)))</f>
        <v/>
      </c>
      <c r="V149" s="33" t="str">
        <f ca="1">IF($A149="","",IF(INDEX(Sheet!AB$2:AB$7967,$A149)="","",INDEX(Sheet!AB$2:AB$7967,$A149)))</f>
        <v/>
      </c>
      <c r="W149" s="33" t="str">
        <f ca="1">IF($A149="","",IF(INDEX(Sheet!AH$2:AH$7967,$A149)="","",INDEX(Sheet!AH$2:AH$7967,$A149)))</f>
        <v/>
      </c>
      <c r="X149" s="33" t="str">
        <f ca="1">IF($A149="","",IF(INDEX(Sheet!AC$2:AC$7967,$A149)="","",INDEX(Sheet!AC$2:AC$7967,$A149)))</f>
        <v/>
      </c>
      <c r="Y149" s="33" t="str">
        <f ca="1">IF($A149="","",IF(INDEX(Sheet!AD$2:AD$7967,$A149)="","",INDEX(Sheet!AD$2:AD$7967,$A149)))</f>
        <v/>
      </c>
      <c r="Z149" s="33" t="str">
        <f ca="1">IF($A149="","",IF(INDEX(Sheet!AL$2:AL$7967,$A149)="","",INDEX(Sheet!AL$2:AL$7967,$A149)))</f>
        <v/>
      </c>
      <c r="AA149" s="33" t="str">
        <f ca="1">IF($A149="","",IF(INDEX(Sheet!AE$2:AE$7967,$A149)="","",INDEX(Sheet!AE$2:AE$7967,$A149)))</f>
        <v/>
      </c>
      <c r="AB149" s="33" t="str">
        <f ca="1">IF($A149="","",IF(INDEX(Sheet!AF$2:AF$7967,$A149)="","",INDEX(Sheet!AF$2:AF$7967,$A149)))</f>
        <v/>
      </c>
      <c r="AC149" s="33" t="str">
        <f ca="1">IF($A149="","",IF(INDEX(Sheet!AG$2:AG$7967,$A149)="","",INDEX(Sheet!AG$2:AG$7967,$A149)))</f>
        <v/>
      </c>
      <c r="AD149" s="33" t="str">
        <f ca="1">IF($A149="","",IF(INDEX(Sheet!AM$2:AM$7967,$A149)="","",INDEX(Sheet!AM$2:AM$7967,$A149)))</f>
        <v/>
      </c>
      <c r="AE149" s="33" t="str">
        <f ca="1">IF($A149="","",IF(INDEX(Sheet!AJ$2:AJ$7967,$A149)="","",INDEX(Sheet!AJ$2:AJ$7967,$A149)))</f>
        <v/>
      </c>
      <c r="AF149" s="33" t="str">
        <f ca="1">IF($A149="","",IF(INDEX(Sheet!AI$2:AI$7967,$A149)="","",INDEX(Sheet!AI$2:AI$7967,$A149)))</f>
        <v/>
      </c>
      <c r="AG149" s="33" t="str">
        <f ca="1">IF(D149="duyệt sản xuất"," Bảo Bảo, Ngày "&amp;DAY($J$4)&amp;" Tháng "&amp;MONTH($J$4)&amp;" Năm "&amp;YEAR($J$4),IF(D149="Phê duyệt","NGƯỜI LẬP",IF(D149="Nguyễn Ngọc Thắng","NGUYỄN THỊ MAI",IF($A149="","",INDEX(Sheet!AK$2:AK$7967,$A149)))))</f>
        <v/>
      </c>
      <c r="AH149" s="58" t="str">
        <f ca="1">IF($A149="","",INDEX(Sheet!AR$2:AR$7967,$A149)&amp;" ; "&amp;INDEX(Sheet!M$2:M$7967,$A149))</f>
        <v/>
      </c>
      <c r="AI149" s="1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G149" s="35" t="str">
        <f ca="1">IFERROR(VALUE(separ(INDEX(Sheet!Q$2:Q$7967,$A149),"-",1)),"")</f>
        <v/>
      </c>
      <c r="BH149" s="35" t="str">
        <f ca="1">IFERROR(VALUE(separ(INDEX(Sheet!R$2:R$7967,$A149),"-",1)),"")</f>
        <v/>
      </c>
      <c r="BI149" s="35" t="str">
        <f ca="1">IFERROR(VALUE(separ(INDEX(Sheet!S$2:S$7967,$A149),"-",1)),"")</f>
        <v/>
      </c>
      <c r="BJ149" s="35" t="str">
        <f ca="1">IFERROR(VALUE(separ(INDEX(Sheet!T$2:T$7967,$A149),"-",1)),"")</f>
        <v/>
      </c>
      <c r="BK149" s="35" t="str">
        <f ca="1">IFERROR(VALUE(separ(INDEX(Sheet!U$2:U$7967,$A149),"-",1)),"")</f>
        <v/>
      </c>
      <c r="BL149" s="35" t="str">
        <f ca="1">IFERROR(VALUE(separ(INDEX(Sheet!V$2:V$7967,$A149),"-",1)),"")</f>
        <v/>
      </c>
      <c r="BM149" s="35" t="str">
        <f ca="1">IFERROR(VALUE(separ(INDEX(Sheet!W$2:W$7967,$A149),"-",1)),"")</f>
        <v/>
      </c>
      <c r="BN149" s="35" t="str">
        <f ca="1">IFERROR(VALUE(separ(INDEX(Sheet!X$2:X$7967,$A149),"-",1)),"")</f>
        <v/>
      </c>
      <c r="BO149" s="35" t="str">
        <f ca="1">IFERROR(VALUE(separ(INDEX(Sheet!Y$2:Y$7967,$A149),"-",1)),"")</f>
        <v/>
      </c>
      <c r="BP149" s="35" t="str">
        <f ca="1">IFERROR(VALUE(separ(INDEX(Sheet!Z$2:Z$7967,$A149),"-",1)),"")</f>
        <v/>
      </c>
      <c r="BQ149" s="35" t="str">
        <f ca="1">IFERROR(VALUE(separ(INDEX(Sheet!AA$2:AA$7967,$A149),"-",1)),"")</f>
        <v/>
      </c>
      <c r="BR149" s="35" t="str">
        <f ca="1">IFERROR(VALUE(separ(INDEX(Sheet!AB$2:AB$7967,$A149),"-",1)),"")</f>
        <v/>
      </c>
      <c r="BS149" s="35" t="str">
        <f ca="1">IFERROR(VALUE(separ(INDEX(Sheet!AC$2:AC$7967,$A149),"-",1)),"")</f>
        <v/>
      </c>
      <c r="BT149" s="35" t="str">
        <f ca="1">IFERROR(VALUE(separ(INDEX(Sheet!AD$2:AD$7967,$A149),"-",1)),"")</f>
        <v/>
      </c>
      <c r="BU149" s="35" t="str">
        <f ca="1">IFERROR(VALUE(separ(INDEX(Sheet!AE$2:AE$7967,$A149),"-",1)),"")</f>
        <v/>
      </c>
      <c r="BV149" s="35"/>
      <c r="BW149" s="35" t="str">
        <f ca="1">IFERROR((separ(INDEX(Sheet!Q$2:Q$7967,$A149),"-",2)),"")</f>
        <v/>
      </c>
      <c r="BX149" s="35" t="str">
        <f ca="1">IFERROR((separ(INDEX(Sheet!R$2:R$7967,$A149),"-",2)),"")</f>
        <v/>
      </c>
      <c r="BY149" s="35" t="str">
        <f ca="1">IFERROR((separ(INDEX(Sheet!S$2:S$7967,$A149),"-",2)),"")</f>
        <v/>
      </c>
      <c r="BZ149" s="35" t="str">
        <f ca="1">IFERROR((separ(INDEX(Sheet!T$2:T$7967,$A149),"-",2)),"")</f>
        <v/>
      </c>
      <c r="CA149" s="35" t="str">
        <f ca="1">IFERROR((separ(INDEX(Sheet!U$2:U$7967,$A149),"-",2)),"")</f>
        <v/>
      </c>
      <c r="CB149" s="35" t="str">
        <f ca="1">IFERROR((separ(INDEX(Sheet!V$2:V$7967,$A149),"-",2)),"")</f>
        <v/>
      </c>
      <c r="CC149" s="35" t="str">
        <f ca="1">IFERROR((separ(INDEX(Sheet!W$2:W$7967,$A149),"-",2)),"")</f>
        <v/>
      </c>
      <c r="CD149" s="35" t="str">
        <f ca="1">IFERROR((separ(INDEX(Sheet!X$2:X$7967,$A149),"-",2)),"")</f>
        <v/>
      </c>
      <c r="CE149" s="35" t="str">
        <f ca="1">IFERROR((separ(INDEX(Sheet!Y$2:Y$7967,$A149),"-",2)),"")</f>
        <v/>
      </c>
      <c r="CF149" s="35" t="str">
        <f ca="1">IFERROR((separ(INDEX(Sheet!Z$2:Z$7967,$A149),"-",2)),"")</f>
        <v/>
      </c>
      <c r="CG149" s="35" t="str">
        <f ca="1">IFERROR((separ(INDEX(Sheet!AA$2:AA$7967,$A149),"-",2)),"")</f>
        <v/>
      </c>
      <c r="CH149" s="35" t="str">
        <f ca="1">IFERROR((separ(INDEX(Sheet!AB$2:AB$7967,$A149),"-",2)),"")</f>
        <v/>
      </c>
      <c r="CI149" s="35" t="str">
        <f ca="1">IFERROR((separ(INDEX(Sheet!AC$2:AC$7967,$A149),"-",2)),"")</f>
        <v/>
      </c>
      <c r="CJ149" s="35" t="str">
        <f ca="1">IFERROR((separ(INDEX(Sheet!AD$2:AD$7967,$A149),"-",2)),"")</f>
        <v/>
      </c>
      <c r="CK149" s="35" t="str">
        <f ca="1">IFERROR((separ(INDEX(Sheet!AE$2:AE$7967,$A149),"-",2)),"")</f>
        <v/>
      </c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</row>
    <row r="150" spans="1:104" s="29" customFormat="1">
      <c r="A150" s="45" t="str">
        <f ca="1">IFERROR(MATCH($B$3,OFFSET(Sheet!$D$2,A149,0):'Sheet'!$D$7657,0)+A149,"")</f>
        <v/>
      </c>
      <c r="B150" s="29" t="str">
        <f ca="1">IF(ROW(A143)&lt;=COUNT($A$6:$A$800),INDEX(Sheet!$A$2:$A$7967,$A150),IF(ROW(A143)=COUNT($A$6:$A$800)+1," ",IF(ROW(A143)=COUNT($A$6:$A$800)+2,"  ","")))</f>
        <v/>
      </c>
      <c r="C150" s="67" t="str">
        <f ca="1">IF($A150="","",INDEX(Sheet!E$2:E$7967,$A150))</f>
        <v/>
      </c>
      <c r="D150" s="31" t="str">
        <f ca="1">IF(B147=" ",$AR$1,IF(B150=" ",$AQ$1,IF(A150="","",INDEX(Sheet!G$2:G$7967,$A150))))</f>
        <v/>
      </c>
      <c r="E150" s="32" t="str">
        <f ca="1">IF($A150="","",TEXT(INDEX(Sheet!J$2:J$7967,$A150),"#,#")&amp;" "&amp;INDEX(Sheet!AT$2:AT$7967,$A150))</f>
        <v/>
      </c>
      <c r="F150" s="53" t="str">
        <f ca="1">IF($A150="","",INDEX(Sheet!F$2:F$7967,$A150))</f>
        <v/>
      </c>
      <c r="G150" s="32" t="str">
        <f ca="1">IF($A150="","",INDEX(Sheet!I$2:I$7967,$A150))</f>
        <v/>
      </c>
      <c r="H150" s="32" t="str">
        <f ca="1">IF($A150="","",INDEX(Sheet!L$2:L$7967,$A150))</f>
        <v/>
      </c>
      <c r="I150" s="32" t="str">
        <f ca="1">IF($A150="","",INDEX(Sheet!N$2:N$7967,$A150))</f>
        <v/>
      </c>
      <c r="J150" s="53" t="str">
        <f ca="1">IF($A150="","",INDEX(Sheet!AS$2:AS$7967,$A150))</f>
        <v/>
      </c>
      <c r="K150" s="33" t="str">
        <f ca="1">IF($A150="","",IF(INDEX(Sheet!S$2:S$7967,$A150)="","",INDEX(Sheet!S$2:S$7967,$A150)))</f>
        <v/>
      </c>
      <c r="L150" s="33" t="str">
        <f ca="1">IF($A150="","",IF(INDEX(Sheet!R$2:R$7967,$A150)="","",INDEX(Sheet!R$2:R$7967,$A150)))</f>
        <v/>
      </c>
      <c r="M150" s="33" t="str">
        <f ca="1">IF($A150="","",IF(INDEX(Sheet!AO$2:AO$7967,$A150)="","",INDEX(Sheet!AO$2:AO$7967,$A150)))</f>
        <v/>
      </c>
      <c r="N150" s="33" t="str">
        <f ca="1">IF($A150="","",IF(INDEX(Sheet!T$2:T$7967,$A150)="","",INDEX(Sheet!T$2:T$7967,$A150)))</f>
        <v/>
      </c>
      <c r="O150" s="33" t="str">
        <f ca="1">IF($A150="","",IF(INDEX(Sheet!U$2:U$7967,$A150)="","",INDEX(Sheet!U$2:U$7967,$A150)))</f>
        <v/>
      </c>
      <c r="P150" s="33" t="str">
        <f ca="1">IF($A150="","",IF(INDEX(Sheet!W$2:W$7967,$A150)="","",INDEX(Sheet!W$2:W$7967,$A150)))</f>
        <v/>
      </c>
      <c r="Q150" s="33" t="str">
        <f ca="1">IF($A150="","",IF(INDEX(Sheet!V$2:V$7967,$A150)="","",INDEX(Sheet!V$2:V$7967,$A150)))</f>
        <v/>
      </c>
      <c r="R150" s="33" t="str">
        <f ca="1">IF($A150="","",IF(INDEX(Sheet!Z$2:Z$7967,$A150)="","",INDEX(Sheet!Z$2:Z$7967,$A150)))</f>
        <v/>
      </c>
      <c r="S150" s="33" t="str">
        <f ca="1">IF($A150="","",IF(INDEX(Sheet!Y$2:Y$7967,$A150)="","",INDEX(Sheet!Y$2:Y$7967,$A150)))</f>
        <v/>
      </c>
      <c r="T150" s="33" t="str">
        <f ca="1">IF($A150="","",IF(INDEX(Sheet!X$2:X$7967,$A150)="","",INDEX(Sheet!X$2:X$7967,$A150)))</f>
        <v/>
      </c>
      <c r="U150" s="33" t="str">
        <f ca="1">IF($A150="","",IF(INDEX(Sheet!AA$2:AA$7967,$A150)="","",INDEX(Sheet!AA$2:AA$7967,$A150)))</f>
        <v/>
      </c>
      <c r="V150" s="33" t="str">
        <f ca="1">IF($A150="","",IF(INDEX(Sheet!AB$2:AB$7967,$A150)="","",INDEX(Sheet!AB$2:AB$7967,$A150)))</f>
        <v/>
      </c>
      <c r="W150" s="33" t="str">
        <f ca="1">IF($A150="","",IF(INDEX(Sheet!AH$2:AH$7967,$A150)="","",INDEX(Sheet!AH$2:AH$7967,$A150)))</f>
        <v/>
      </c>
      <c r="X150" s="33" t="str">
        <f ca="1">IF($A150="","",IF(INDEX(Sheet!AC$2:AC$7967,$A150)="","",INDEX(Sheet!AC$2:AC$7967,$A150)))</f>
        <v/>
      </c>
      <c r="Y150" s="33" t="str">
        <f ca="1">IF($A150="","",IF(INDEX(Sheet!AD$2:AD$7967,$A150)="","",INDEX(Sheet!AD$2:AD$7967,$A150)))</f>
        <v/>
      </c>
      <c r="Z150" s="33" t="str">
        <f ca="1">IF($A150="","",IF(INDEX(Sheet!AL$2:AL$7967,$A150)="","",INDEX(Sheet!AL$2:AL$7967,$A150)))</f>
        <v/>
      </c>
      <c r="AA150" s="33" t="str">
        <f ca="1">IF($A150="","",IF(INDEX(Sheet!AE$2:AE$7967,$A150)="","",INDEX(Sheet!AE$2:AE$7967,$A150)))</f>
        <v/>
      </c>
      <c r="AB150" s="33" t="str">
        <f ca="1">IF($A150="","",IF(INDEX(Sheet!AF$2:AF$7967,$A150)="","",INDEX(Sheet!AF$2:AF$7967,$A150)))</f>
        <v/>
      </c>
      <c r="AC150" s="33" t="str">
        <f ca="1">IF($A150="","",IF(INDEX(Sheet!AG$2:AG$7967,$A150)="","",INDEX(Sheet!AG$2:AG$7967,$A150)))</f>
        <v/>
      </c>
      <c r="AD150" s="33" t="str">
        <f ca="1">IF($A150="","",IF(INDEX(Sheet!AM$2:AM$7967,$A150)="","",INDEX(Sheet!AM$2:AM$7967,$A150)))</f>
        <v/>
      </c>
      <c r="AE150" s="33" t="str">
        <f ca="1">IF($A150="","",IF(INDEX(Sheet!AJ$2:AJ$7967,$A150)="","",INDEX(Sheet!AJ$2:AJ$7967,$A150)))</f>
        <v/>
      </c>
      <c r="AF150" s="33" t="str">
        <f ca="1">IF($A150="","",IF(INDEX(Sheet!AI$2:AI$7967,$A150)="","",INDEX(Sheet!AI$2:AI$7967,$A150)))</f>
        <v/>
      </c>
      <c r="AG150" s="33" t="str">
        <f ca="1">IF(D150="duyệt sản xuất"," Bảo Bảo, Ngày "&amp;DAY($J$4)&amp;" Tháng "&amp;MONTH($J$4)&amp;" Năm "&amp;YEAR($J$4),IF(D150="Phê duyệt","NGƯỜI LẬP",IF(D150="Nguyễn Ngọc Thắng","NGUYỄN THỊ MAI",IF($A150="","",INDEX(Sheet!AK$2:AK$7967,$A150)))))</f>
        <v/>
      </c>
      <c r="AH150" s="58" t="str">
        <f ca="1">IF($A150="","",INDEX(Sheet!AR$2:AR$7967,$A150)&amp;" ; "&amp;INDEX(Sheet!M$2:M$7967,$A150))</f>
        <v/>
      </c>
      <c r="AI150" s="1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G150" s="35" t="str">
        <f ca="1">IFERROR(VALUE(separ(INDEX(Sheet!Q$2:Q$7967,$A150),"-",1)),"")</f>
        <v/>
      </c>
      <c r="BH150" s="35" t="str">
        <f ca="1">IFERROR(VALUE(separ(INDEX(Sheet!R$2:R$7967,$A150),"-",1)),"")</f>
        <v/>
      </c>
      <c r="BI150" s="35" t="str">
        <f ca="1">IFERROR(VALUE(separ(INDEX(Sheet!S$2:S$7967,$A150),"-",1)),"")</f>
        <v/>
      </c>
      <c r="BJ150" s="35" t="str">
        <f ca="1">IFERROR(VALUE(separ(INDEX(Sheet!T$2:T$7967,$A150),"-",1)),"")</f>
        <v/>
      </c>
      <c r="BK150" s="35" t="str">
        <f ca="1">IFERROR(VALUE(separ(INDEX(Sheet!U$2:U$7967,$A150),"-",1)),"")</f>
        <v/>
      </c>
      <c r="BL150" s="35" t="str">
        <f ca="1">IFERROR(VALUE(separ(INDEX(Sheet!V$2:V$7967,$A150),"-",1)),"")</f>
        <v/>
      </c>
      <c r="BM150" s="35" t="str">
        <f ca="1">IFERROR(VALUE(separ(INDEX(Sheet!W$2:W$7967,$A150),"-",1)),"")</f>
        <v/>
      </c>
      <c r="BN150" s="35" t="str">
        <f ca="1">IFERROR(VALUE(separ(INDEX(Sheet!X$2:X$7967,$A150),"-",1)),"")</f>
        <v/>
      </c>
      <c r="BO150" s="35" t="str">
        <f ca="1">IFERROR(VALUE(separ(INDEX(Sheet!Y$2:Y$7967,$A150),"-",1)),"")</f>
        <v/>
      </c>
      <c r="BP150" s="35" t="str">
        <f ca="1">IFERROR(VALUE(separ(INDEX(Sheet!Z$2:Z$7967,$A150),"-",1)),"")</f>
        <v/>
      </c>
      <c r="BQ150" s="35" t="str">
        <f ca="1">IFERROR(VALUE(separ(INDEX(Sheet!AA$2:AA$7967,$A150),"-",1)),"")</f>
        <v/>
      </c>
      <c r="BR150" s="35" t="str">
        <f ca="1">IFERROR(VALUE(separ(INDEX(Sheet!AB$2:AB$7967,$A150),"-",1)),"")</f>
        <v/>
      </c>
      <c r="BS150" s="35" t="str">
        <f ca="1">IFERROR(VALUE(separ(INDEX(Sheet!AC$2:AC$7967,$A150),"-",1)),"")</f>
        <v/>
      </c>
      <c r="BT150" s="35" t="str">
        <f ca="1">IFERROR(VALUE(separ(INDEX(Sheet!AD$2:AD$7967,$A150),"-",1)),"")</f>
        <v/>
      </c>
      <c r="BU150" s="35" t="str">
        <f ca="1">IFERROR(VALUE(separ(INDEX(Sheet!AE$2:AE$7967,$A150),"-",1)),"")</f>
        <v/>
      </c>
      <c r="BV150" s="35"/>
      <c r="BW150" s="35" t="str">
        <f ca="1">IFERROR((separ(INDEX(Sheet!Q$2:Q$7967,$A150),"-",2)),"")</f>
        <v/>
      </c>
      <c r="BX150" s="35" t="str">
        <f ca="1">IFERROR((separ(INDEX(Sheet!R$2:R$7967,$A150),"-",2)),"")</f>
        <v/>
      </c>
      <c r="BY150" s="35" t="str">
        <f ca="1">IFERROR((separ(INDEX(Sheet!S$2:S$7967,$A150),"-",2)),"")</f>
        <v/>
      </c>
      <c r="BZ150" s="35" t="str">
        <f ca="1">IFERROR((separ(INDEX(Sheet!T$2:T$7967,$A150),"-",2)),"")</f>
        <v/>
      </c>
      <c r="CA150" s="35" t="str">
        <f ca="1">IFERROR((separ(INDEX(Sheet!U$2:U$7967,$A150),"-",2)),"")</f>
        <v/>
      </c>
      <c r="CB150" s="35" t="str">
        <f ca="1">IFERROR((separ(INDEX(Sheet!V$2:V$7967,$A150),"-",2)),"")</f>
        <v/>
      </c>
      <c r="CC150" s="35" t="str">
        <f ca="1">IFERROR((separ(INDEX(Sheet!W$2:W$7967,$A150),"-",2)),"")</f>
        <v/>
      </c>
      <c r="CD150" s="35" t="str">
        <f ca="1">IFERROR((separ(INDEX(Sheet!X$2:X$7967,$A150),"-",2)),"")</f>
        <v/>
      </c>
      <c r="CE150" s="35" t="str">
        <f ca="1">IFERROR((separ(INDEX(Sheet!Y$2:Y$7967,$A150),"-",2)),"")</f>
        <v/>
      </c>
      <c r="CF150" s="35" t="str">
        <f ca="1">IFERROR((separ(INDEX(Sheet!Z$2:Z$7967,$A150),"-",2)),"")</f>
        <v/>
      </c>
      <c r="CG150" s="35" t="str">
        <f ca="1">IFERROR((separ(INDEX(Sheet!AA$2:AA$7967,$A150),"-",2)),"")</f>
        <v/>
      </c>
      <c r="CH150" s="35" t="str">
        <f ca="1">IFERROR((separ(INDEX(Sheet!AB$2:AB$7967,$A150),"-",2)),"")</f>
        <v/>
      </c>
      <c r="CI150" s="35" t="str">
        <f ca="1">IFERROR((separ(INDEX(Sheet!AC$2:AC$7967,$A150),"-",2)),"")</f>
        <v/>
      </c>
      <c r="CJ150" s="35" t="str">
        <f ca="1">IFERROR((separ(INDEX(Sheet!AD$2:AD$7967,$A150),"-",2)),"")</f>
        <v/>
      </c>
      <c r="CK150" s="35" t="str">
        <f ca="1">IFERROR((separ(INDEX(Sheet!AE$2:AE$7967,$A150),"-",2)),"")</f>
        <v/>
      </c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</row>
    <row r="151" spans="1:104" s="29" customFormat="1">
      <c r="A151" s="45" t="str">
        <f ca="1">IFERROR(MATCH($B$3,OFFSET(Sheet!$D$2,A150,0):'Sheet'!$D$7657,0)+A150,"")</f>
        <v/>
      </c>
      <c r="B151" s="29" t="str">
        <f ca="1">IF(ROW(A144)&lt;=COUNT($A$6:$A$800),INDEX(Sheet!$A$2:$A$7967,$A151),IF(ROW(A144)=COUNT($A$6:$A$800)+1," ",IF(ROW(A144)=COUNT($A$6:$A$800)+2,"  ","")))</f>
        <v/>
      </c>
      <c r="C151" s="67" t="str">
        <f ca="1">IF($A151="","",INDEX(Sheet!E$2:E$7967,$A151))</f>
        <v/>
      </c>
      <c r="D151" s="31" t="str">
        <f ca="1">IF(B148=" ",$AR$1,IF(B151=" ",$AQ$1,IF(A151="","",INDEX(Sheet!G$2:G$7967,$A151))))</f>
        <v/>
      </c>
      <c r="E151" s="32" t="str">
        <f ca="1">IF($A151="","",TEXT(INDEX(Sheet!J$2:J$7967,$A151),"#,#")&amp;" "&amp;INDEX(Sheet!AT$2:AT$7967,$A151))</f>
        <v/>
      </c>
      <c r="F151" s="53" t="str">
        <f ca="1">IF($A151="","",INDEX(Sheet!F$2:F$7967,$A151))</f>
        <v/>
      </c>
      <c r="G151" s="32" t="str">
        <f ca="1">IF($A151="","",INDEX(Sheet!I$2:I$7967,$A151))</f>
        <v/>
      </c>
      <c r="H151" s="32" t="str">
        <f ca="1">IF($A151="","",INDEX(Sheet!L$2:L$7967,$A151))</f>
        <v/>
      </c>
      <c r="I151" s="32" t="str">
        <f ca="1">IF($A151="","",INDEX(Sheet!N$2:N$7967,$A151))</f>
        <v/>
      </c>
      <c r="J151" s="53" t="str">
        <f ca="1">IF($A151="","",INDEX(Sheet!AS$2:AS$7967,$A151))</f>
        <v/>
      </c>
      <c r="K151" s="33" t="str">
        <f ca="1">IF($A151="","",IF(INDEX(Sheet!S$2:S$7967,$A151)="","",INDEX(Sheet!S$2:S$7967,$A151)))</f>
        <v/>
      </c>
      <c r="L151" s="33" t="str">
        <f ca="1">IF($A151="","",IF(INDEX(Sheet!R$2:R$7967,$A151)="","",INDEX(Sheet!R$2:R$7967,$A151)))</f>
        <v/>
      </c>
      <c r="M151" s="33" t="str">
        <f ca="1">IF($A151="","",IF(INDEX(Sheet!AO$2:AO$7967,$A151)="","",INDEX(Sheet!AO$2:AO$7967,$A151)))</f>
        <v/>
      </c>
      <c r="N151" s="33" t="str">
        <f ca="1">IF($A151="","",IF(INDEX(Sheet!T$2:T$7967,$A151)="","",INDEX(Sheet!T$2:T$7967,$A151)))</f>
        <v/>
      </c>
      <c r="O151" s="33" t="str">
        <f ca="1">IF($A151="","",IF(INDEX(Sheet!U$2:U$7967,$A151)="","",INDEX(Sheet!U$2:U$7967,$A151)))</f>
        <v/>
      </c>
      <c r="P151" s="33" t="str">
        <f ca="1">IF($A151="","",IF(INDEX(Sheet!W$2:W$7967,$A151)="","",INDEX(Sheet!W$2:W$7967,$A151)))</f>
        <v/>
      </c>
      <c r="Q151" s="33" t="str">
        <f ca="1">IF($A151="","",IF(INDEX(Sheet!V$2:V$7967,$A151)="","",INDEX(Sheet!V$2:V$7967,$A151)))</f>
        <v/>
      </c>
      <c r="R151" s="33" t="str">
        <f ca="1">IF($A151="","",IF(INDEX(Sheet!Z$2:Z$7967,$A151)="","",INDEX(Sheet!Z$2:Z$7967,$A151)))</f>
        <v/>
      </c>
      <c r="S151" s="33" t="str">
        <f ca="1">IF($A151="","",IF(INDEX(Sheet!Y$2:Y$7967,$A151)="","",INDEX(Sheet!Y$2:Y$7967,$A151)))</f>
        <v/>
      </c>
      <c r="T151" s="33" t="str">
        <f ca="1">IF($A151="","",IF(INDEX(Sheet!X$2:X$7967,$A151)="","",INDEX(Sheet!X$2:X$7967,$A151)))</f>
        <v/>
      </c>
      <c r="U151" s="33" t="str">
        <f ca="1">IF($A151="","",IF(INDEX(Sheet!AA$2:AA$7967,$A151)="","",INDEX(Sheet!AA$2:AA$7967,$A151)))</f>
        <v/>
      </c>
      <c r="V151" s="33" t="str">
        <f ca="1">IF($A151="","",IF(INDEX(Sheet!AB$2:AB$7967,$A151)="","",INDEX(Sheet!AB$2:AB$7967,$A151)))</f>
        <v/>
      </c>
      <c r="W151" s="33" t="str">
        <f ca="1">IF($A151="","",IF(INDEX(Sheet!AH$2:AH$7967,$A151)="","",INDEX(Sheet!AH$2:AH$7967,$A151)))</f>
        <v/>
      </c>
      <c r="X151" s="33" t="str">
        <f ca="1">IF($A151="","",IF(INDEX(Sheet!AC$2:AC$7967,$A151)="","",INDEX(Sheet!AC$2:AC$7967,$A151)))</f>
        <v/>
      </c>
      <c r="Y151" s="33" t="str">
        <f ca="1">IF($A151="","",IF(INDEX(Sheet!AD$2:AD$7967,$A151)="","",INDEX(Sheet!AD$2:AD$7967,$A151)))</f>
        <v/>
      </c>
      <c r="Z151" s="33" t="str">
        <f ca="1">IF($A151="","",IF(INDEX(Sheet!AL$2:AL$7967,$A151)="","",INDEX(Sheet!AL$2:AL$7967,$A151)))</f>
        <v/>
      </c>
      <c r="AA151" s="33" t="str">
        <f ca="1">IF($A151="","",IF(INDEX(Sheet!AE$2:AE$7967,$A151)="","",INDEX(Sheet!AE$2:AE$7967,$A151)))</f>
        <v/>
      </c>
      <c r="AB151" s="33" t="str">
        <f ca="1">IF($A151="","",IF(INDEX(Sheet!AF$2:AF$7967,$A151)="","",INDEX(Sheet!AF$2:AF$7967,$A151)))</f>
        <v/>
      </c>
      <c r="AC151" s="33" t="str">
        <f ca="1">IF($A151="","",IF(INDEX(Sheet!AG$2:AG$7967,$A151)="","",INDEX(Sheet!AG$2:AG$7967,$A151)))</f>
        <v/>
      </c>
      <c r="AD151" s="33" t="str">
        <f ca="1">IF($A151="","",IF(INDEX(Sheet!AM$2:AM$7967,$A151)="","",INDEX(Sheet!AM$2:AM$7967,$A151)))</f>
        <v/>
      </c>
      <c r="AE151" s="33" t="str">
        <f ca="1">IF($A151="","",IF(INDEX(Sheet!AJ$2:AJ$7967,$A151)="","",INDEX(Sheet!AJ$2:AJ$7967,$A151)))</f>
        <v/>
      </c>
      <c r="AF151" s="33" t="str">
        <f ca="1">IF($A151="","",IF(INDEX(Sheet!AI$2:AI$7967,$A151)="","",INDEX(Sheet!AI$2:AI$7967,$A151)))</f>
        <v/>
      </c>
      <c r="AG151" s="33" t="str">
        <f ca="1">IF(D151="duyệt sản xuất"," Bảo Bảo, Ngày "&amp;DAY($J$4)&amp;" Tháng "&amp;MONTH($J$4)&amp;" Năm "&amp;YEAR($J$4),IF(D151="Phê duyệt","NGƯỜI LẬP",IF(D151="Nguyễn Ngọc Thắng","NGUYỄN THỊ MAI",IF($A151="","",INDEX(Sheet!AK$2:AK$7967,$A151)))))</f>
        <v/>
      </c>
      <c r="AH151" s="58" t="str">
        <f ca="1">IF($A151="","",INDEX(Sheet!AR$2:AR$7967,$A151)&amp;" ; "&amp;INDEX(Sheet!M$2:M$7967,$A151))</f>
        <v/>
      </c>
      <c r="AI151" s="1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G151" s="35" t="str">
        <f ca="1">IFERROR(VALUE(separ(INDEX(Sheet!Q$2:Q$7967,$A151),"-",1)),"")</f>
        <v/>
      </c>
      <c r="BH151" s="35" t="str">
        <f ca="1">IFERROR(VALUE(separ(INDEX(Sheet!R$2:R$7967,$A151),"-",1)),"")</f>
        <v/>
      </c>
      <c r="BI151" s="35" t="str">
        <f ca="1">IFERROR(VALUE(separ(INDEX(Sheet!S$2:S$7967,$A151),"-",1)),"")</f>
        <v/>
      </c>
      <c r="BJ151" s="35" t="str">
        <f ca="1">IFERROR(VALUE(separ(INDEX(Sheet!T$2:T$7967,$A151),"-",1)),"")</f>
        <v/>
      </c>
      <c r="BK151" s="35" t="str">
        <f ca="1">IFERROR(VALUE(separ(INDEX(Sheet!U$2:U$7967,$A151),"-",1)),"")</f>
        <v/>
      </c>
      <c r="BL151" s="35" t="str">
        <f ca="1">IFERROR(VALUE(separ(INDEX(Sheet!V$2:V$7967,$A151),"-",1)),"")</f>
        <v/>
      </c>
      <c r="BM151" s="35" t="str">
        <f ca="1">IFERROR(VALUE(separ(INDEX(Sheet!W$2:W$7967,$A151),"-",1)),"")</f>
        <v/>
      </c>
      <c r="BN151" s="35" t="str">
        <f ca="1">IFERROR(VALUE(separ(INDEX(Sheet!X$2:X$7967,$A151),"-",1)),"")</f>
        <v/>
      </c>
      <c r="BO151" s="35" t="str">
        <f ca="1">IFERROR(VALUE(separ(INDEX(Sheet!Y$2:Y$7967,$A151),"-",1)),"")</f>
        <v/>
      </c>
      <c r="BP151" s="35" t="str">
        <f ca="1">IFERROR(VALUE(separ(INDEX(Sheet!Z$2:Z$7967,$A151),"-",1)),"")</f>
        <v/>
      </c>
      <c r="BQ151" s="35" t="str">
        <f ca="1">IFERROR(VALUE(separ(INDEX(Sheet!AA$2:AA$7967,$A151),"-",1)),"")</f>
        <v/>
      </c>
      <c r="BR151" s="35" t="str">
        <f ca="1">IFERROR(VALUE(separ(INDEX(Sheet!AB$2:AB$7967,$A151),"-",1)),"")</f>
        <v/>
      </c>
      <c r="BS151" s="35" t="str">
        <f ca="1">IFERROR(VALUE(separ(INDEX(Sheet!AC$2:AC$7967,$A151),"-",1)),"")</f>
        <v/>
      </c>
      <c r="BT151" s="35" t="str">
        <f ca="1">IFERROR(VALUE(separ(INDEX(Sheet!AD$2:AD$7967,$A151),"-",1)),"")</f>
        <v/>
      </c>
      <c r="BU151" s="35" t="str">
        <f ca="1">IFERROR(VALUE(separ(INDEX(Sheet!AE$2:AE$7967,$A151),"-",1)),"")</f>
        <v/>
      </c>
      <c r="BV151" s="35"/>
      <c r="BW151" s="35" t="str">
        <f ca="1">IFERROR((separ(INDEX(Sheet!Q$2:Q$7967,$A151),"-",2)),"")</f>
        <v/>
      </c>
      <c r="BX151" s="35" t="str">
        <f ca="1">IFERROR((separ(INDEX(Sheet!R$2:R$7967,$A151),"-",2)),"")</f>
        <v/>
      </c>
      <c r="BY151" s="35" t="str">
        <f ca="1">IFERROR((separ(INDEX(Sheet!S$2:S$7967,$A151),"-",2)),"")</f>
        <v/>
      </c>
      <c r="BZ151" s="35" t="str">
        <f ca="1">IFERROR((separ(INDEX(Sheet!T$2:T$7967,$A151),"-",2)),"")</f>
        <v/>
      </c>
      <c r="CA151" s="35" t="str">
        <f ca="1">IFERROR((separ(INDEX(Sheet!U$2:U$7967,$A151),"-",2)),"")</f>
        <v/>
      </c>
      <c r="CB151" s="35" t="str">
        <f ca="1">IFERROR((separ(INDEX(Sheet!V$2:V$7967,$A151),"-",2)),"")</f>
        <v/>
      </c>
      <c r="CC151" s="35" t="str">
        <f ca="1">IFERROR((separ(INDEX(Sheet!W$2:W$7967,$A151),"-",2)),"")</f>
        <v/>
      </c>
      <c r="CD151" s="35" t="str">
        <f ca="1">IFERROR((separ(INDEX(Sheet!X$2:X$7967,$A151),"-",2)),"")</f>
        <v/>
      </c>
      <c r="CE151" s="35" t="str">
        <f ca="1">IFERROR((separ(INDEX(Sheet!Y$2:Y$7967,$A151),"-",2)),"")</f>
        <v/>
      </c>
      <c r="CF151" s="35" t="str">
        <f ca="1">IFERROR((separ(INDEX(Sheet!Z$2:Z$7967,$A151),"-",2)),"")</f>
        <v/>
      </c>
      <c r="CG151" s="35" t="str">
        <f ca="1">IFERROR((separ(INDEX(Sheet!AA$2:AA$7967,$A151),"-",2)),"")</f>
        <v/>
      </c>
      <c r="CH151" s="35" t="str">
        <f ca="1">IFERROR((separ(INDEX(Sheet!AB$2:AB$7967,$A151),"-",2)),"")</f>
        <v/>
      </c>
      <c r="CI151" s="35" t="str">
        <f ca="1">IFERROR((separ(INDEX(Sheet!AC$2:AC$7967,$A151),"-",2)),"")</f>
        <v/>
      </c>
      <c r="CJ151" s="35" t="str">
        <f ca="1">IFERROR((separ(INDEX(Sheet!AD$2:AD$7967,$A151),"-",2)),"")</f>
        <v/>
      </c>
      <c r="CK151" s="35" t="str">
        <f ca="1">IFERROR((separ(INDEX(Sheet!AE$2:AE$7967,$A151),"-",2)),"")</f>
        <v/>
      </c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</row>
    <row r="152" spans="1:104" s="29" customFormat="1">
      <c r="A152" s="45" t="str">
        <f ca="1">IFERROR(MATCH($B$3,OFFSET(Sheet!$D$2,A151,0):'Sheet'!$D$7657,0)+A151,"")</f>
        <v/>
      </c>
      <c r="B152" s="29" t="str">
        <f ca="1">IF(ROW(A145)&lt;=COUNT($A$6:$A$800),INDEX(Sheet!$A$2:$A$7967,$A152),IF(ROW(A145)=COUNT($A$6:$A$800)+1," ",IF(ROW(A145)=COUNT($A$6:$A$800)+2,"  ","")))</f>
        <v/>
      </c>
      <c r="C152" s="67" t="str">
        <f ca="1">IF($A152="","",INDEX(Sheet!E$2:E$7967,$A152))</f>
        <v/>
      </c>
      <c r="D152" s="31" t="str">
        <f ca="1">IF(B149=" ",$AR$1,IF(B152=" ",$AQ$1,IF(A152="","",INDEX(Sheet!G$2:G$7967,$A152))))</f>
        <v/>
      </c>
      <c r="E152" s="32" t="str">
        <f ca="1">IF($A152="","",TEXT(INDEX(Sheet!J$2:J$7967,$A152),"#,#")&amp;" "&amp;INDEX(Sheet!AT$2:AT$7967,$A152))</f>
        <v/>
      </c>
      <c r="F152" s="53" t="str">
        <f ca="1">IF($A152="","",INDEX(Sheet!F$2:F$7967,$A152))</f>
        <v/>
      </c>
      <c r="G152" s="32" t="str">
        <f ca="1">IF($A152="","",INDEX(Sheet!I$2:I$7967,$A152))</f>
        <v/>
      </c>
      <c r="H152" s="32" t="str">
        <f ca="1">IF($A152="","",INDEX(Sheet!L$2:L$7967,$A152))</f>
        <v/>
      </c>
      <c r="I152" s="32" t="str">
        <f ca="1">IF($A152="","",INDEX(Sheet!N$2:N$7967,$A152))</f>
        <v/>
      </c>
      <c r="J152" s="53" t="str">
        <f ca="1">IF($A152="","",INDEX(Sheet!AS$2:AS$7967,$A152))</f>
        <v/>
      </c>
      <c r="K152" s="33" t="str">
        <f ca="1">IF($A152="","",IF(INDEX(Sheet!S$2:S$7967,$A152)="","",INDEX(Sheet!S$2:S$7967,$A152)))</f>
        <v/>
      </c>
      <c r="L152" s="33" t="str">
        <f ca="1">IF($A152="","",IF(INDEX(Sheet!R$2:R$7967,$A152)="","",INDEX(Sheet!R$2:R$7967,$A152)))</f>
        <v/>
      </c>
      <c r="M152" s="33" t="str">
        <f ca="1">IF($A152="","",IF(INDEX(Sheet!AO$2:AO$7967,$A152)="","",INDEX(Sheet!AO$2:AO$7967,$A152)))</f>
        <v/>
      </c>
      <c r="N152" s="33" t="str">
        <f ca="1">IF($A152="","",IF(INDEX(Sheet!T$2:T$7967,$A152)="","",INDEX(Sheet!T$2:T$7967,$A152)))</f>
        <v/>
      </c>
      <c r="O152" s="33" t="str">
        <f ca="1">IF($A152="","",IF(INDEX(Sheet!U$2:U$7967,$A152)="","",INDEX(Sheet!U$2:U$7967,$A152)))</f>
        <v/>
      </c>
      <c r="P152" s="33" t="str">
        <f ca="1">IF($A152="","",IF(INDEX(Sheet!W$2:W$7967,$A152)="","",INDEX(Sheet!W$2:W$7967,$A152)))</f>
        <v/>
      </c>
      <c r="Q152" s="33" t="str">
        <f ca="1">IF($A152="","",IF(INDEX(Sheet!V$2:V$7967,$A152)="","",INDEX(Sheet!V$2:V$7967,$A152)))</f>
        <v/>
      </c>
      <c r="R152" s="33" t="str">
        <f ca="1">IF($A152="","",IF(INDEX(Sheet!Z$2:Z$7967,$A152)="","",INDEX(Sheet!Z$2:Z$7967,$A152)))</f>
        <v/>
      </c>
      <c r="S152" s="33" t="str">
        <f ca="1">IF($A152="","",IF(INDEX(Sheet!Y$2:Y$7967,$A152)="","",INDEX(Sheet!Y$2:Y$7967,$A152)))</f>
        <v/>
      </c>
      <c r="T152" s="33" t="str">
        <f ca="1">IF($A152="","",IF(INDEX(Sheet!X$2:X$7967,$A152)="","",INDEX(Sheet!X$2:X$7967,$A152)))</f>
        <v/>
      </c>
      <c r="U152" s="33" t="str">
        <f ca="1">IF($A152="","",IF(INDEX(Sheet!AA$2:AA$7967,$A152)="","",INDEX(Sheet!AA$2:AA$7967,$A152)))</f>
        <v/>
      </c>
      <c r="V152" s="33" t="str">
        <f ca="1">IF($A152="","",IF(INDEX(Sheet!AB$2:AB$7967,$A152)="","",INDEX(Sheet!AB$2:AB$7967,$A152)))</f>
        <v/>
      </c>
      <c r="W152" s="33" t="str">
        <f ca="1">IF($A152="","",IF(INDEX(Sheet!AH$2:AH$7967,$A152)="","",INDEX(Sheet!AH$2:AH$7967,$A152)))</f>
        <v/>
      </c>
      <c r="X152" s="33" t="str">
        <f ca="1">IF($A152="","",IF(INDEX(Sheet!AC$2:AC$7967,$A152)="","",INDEX(Sheet!AC$2:AC$7967,$A152)))</f>
        <v/>
      </c>
      <c r="Y152" s="33" t="str">
        <f ca="1">IF($A152="","",IF(INDEX(Sheet!AD$2:AD$7967,$A152)="","",INDEX(Sheet!AD$2:AD$7967,$A152)))</f>
        <v/>
      </c>
      <c r="Z152" s="33" t="str">
        <f ca="1">IF($A152="","",IF(INDEX(Sheet!AL$2:AL$7967,$A152)="","",INDEX(Sheet!AL$2:AL$7967,$A152)))</f>
        <v/>
      </c>
      <c r="AA152" s="33" t="str">
        <f ca="1">IF($A152="","",IF(INDEX(Sheet!AE$2:AE$7967,$A152)="","",INDEX(Sheet!AE$2:AE$7967,$A152)))</f>
        <v/>
      </c>
      <c r="AB152" s="33" t="str">
        <f ca="1">IF($A152="","",IF(INDEX(Sheet!AF$2:AF$7967,$A152)="","",INDEX(Sheet!AF$2:AF$7967,$A152)))</f>
        <v/>
      </c>
      <c r="AC152" s="33" t="str">
        <f ca="1">IF($A152="","",IF(INDEX(Sheet!AG$2:AG$7967,$A152)="","",INDEX(Sheet!AG$2:AG$7967,$A152)))</f>
        <v/>
      </c>
      <c r="AD152" s="33" t="str">
        <f ca="1">IF($A152="","",IF(INDEX(Sheet!AM$2:AM$7967,$A152)="","",INDEX(Sheet!AM$2:AM$7967,$A152)))</f>
        <v/>
      </c>
      <c r="AE152" s="33" t="str">
        <f ca="1">IF($A152="","",IF(INDEX(Sheet!AJ$2:AJ$7967,$A152)="","",INDEX(Sheet!AJ$2:AJ$7967,$A152)))</f>
        <v/>
      </c>
      <c r="AF152" s="33" t="str">
        <f ca="1">IF($A152="","",IF(INDEX(Sheet!AI$2:AI$7967,$A152)="","",INDEX(Sheet!AI$2:AI$7967,$A152)))</f>
        <v/>
      </c>
      <c r="AG152" s="33" t="str">
        <f ca="1">IF(D152="duyệt sản xuất"," Bảo Bảo, Ngày "&amp;DAY($J$4)&amp;" Tháng "&amp;MONTH($J$4)&amp;" Năm "&amp;YEAR($J$4),IF(D152="Phê duyệt","NGƯỜI LẬP",IF(D152="Nguyễn Ngọc Thắng","NGUYỄN THỊ MAI",IF($A152="","",INDEX(Sheet!AK$2:AK$7967,$A152)))))</f>
        <v/>
      </c>
      <c r="AH152" s="58" t="str">
        <f ca="1">IF($A152="","",INDEX(Sheet!AR$2:AR$7967,$A152)&amp;" ; "&amp;INDEX(Sheet!M$2:M$7967,$A152))</f>
        <v/>
      </c>
      <c r="AI152" s="1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G152" s="35" t="str">
        <f ca="1">IFERROR(VALUE(separ(INDEX(Sheet!Q$2:Q$7967,$A152),"-",1)),"")</f>
        <v/>
      </c>
      <c r="BH152" s="35" t="str">
        <f ca="1">IFERROR(VALUE(separ(INDEX(Sheet!R$2:R$7967,$A152),"-",1)),"")</f>
        <v/>
      </c>
      <c r="BI152" s="35" t="str">
        <f ca="1">IFERROR(VALUE(separ(INDEX(Sheet!S$2:S$7967,$A152),"-",1)),"")</f>
        <v/>
      </c>
      <c r="BJ152" s="35" t="str">
        <f ca="1">IFERROR(VALUE(separ(INDEX(Sheet!T$2:T$7967,$A152),"-",1)),"")</f>
        <v/>
      </c>
      <c r="BK152" s="35" t="str">
        <f ca="1">IFERROR(VALUE(separ(INDEX(Sheet!U$2:U$7967,$A152),"-",1)),"")</f>
        <v/>
      </c>
      <c r="BL152" s="35" t="str">
        <f ca="1">IFERROR(VALUE(separ(INDEX(Sheet!V$2:V$7967,$A152),"-",1)),"")</f>
        <v/>
      </c>
      <c r="BM152" s="35" t="str">
        <f ca="1">IFERROR(VALUE(separ(INDEX(Sheet!W$2:W$7967,$A152),"-",1)),"")</f>
        <v/>
      </c>
      <c r="BN152" s="35" t="str">
        <f ca="1">IFERROR(VALUE(separ(INDEX(Sheet!X$2:X$7967,$A152),"-",1)),"")</f>
        <v/>
      </c>
      <c r="BO152" s="35" t="str">
        <f ca="1">IFERROR(VALUE(separ(INDEX(Sheet!Y$2:Y$7967,$A152),"-",1)),"")</f>
        <v/>
      </c>
      <c r="BP152" s="35" t="str">
        <f ca="1">IFERROR(VALUE(separ(INDEX(Sheet!Z$2:Z$7967,$A152),"-",1)),"")</f>
        <v/>
      </c>
      <c r="BQ152" s="35" t="str">
        <f ca="1">IFERROR(VALUE(separ(INDEX(Sheet!AA$2:AA$7967,$A152),"-",1)),"")</f>
        <v/>
      </c>
      <c r="BR152" s="35" t="str">
        <f ca="1">IFERROR(VALUE(separ(INDEX(Sheet!AB$2:AB$7967,$A152),"-",1)),"")</f>
        <v/>
      </c>
      <c r="BS152" s="35" t="str">
        <f ca="1">IFERROR(VALUE(separ(INDEX(Sheet!AC$2:AC$7967,$A152),"-",1)),"")</f>
        <v/>
      </c>
      <c r="BT152" s="35" t="str">
        <f ca="1">IFERROR(VALUE(separ(INDEX(Sheet!AD$2:AD$7967,$A152),"-",1)),"")</f>
        <v/>
      </c>
      <c r="BU152" s="35" t="str">
        <f ca="1">IFERROR(VALUE(separ(INDEX(Sheet!AE$2:AE$7967,$A152),"-",1)),"")</f>
        <v/>
      </c>
      <c r="BV152" s="35"/>
      <c r="BW152" s="35" t="str">
        <f ca="1">IFERROR((separ(INDEX(Sheet!Q$2:Q$7967,$A152),"-",2)),"")</f>
        <v/>
      </c>
      <c r="BX152" s="35" t="str">
        <f ca="1">IFERROR((separ(INDEX(Sheet!R$2:R$7967,$A152),"-",2)),"")</f>
        <v/>
      </c>
      <c r="BY152" s="35" t="str">
        <f ca="1">IFERROR((separ(INDEX(Sheet!S$2:S$7967,$A152),"-",2)),"")</f>
        <v/>
      </c>
      <c r="BZ152" s="35" t="str">
        <f ca="1">IFERROR((separ(INDEX(Sheet!T$2:T$7967,$A152),"-",2)),"")</f>
        <v/>
      </c>
      <c r="CA152" s="35" t="str">
        <f ca="1">IFERROR((separ(INDEX(Sheet!U$2:U$7967,$A152),"-",2)),"")</f>
        <v/>
      </c>
      <c r="CB152" s="35" t="str">
        <f ca="1">IFERROR((separ(INDEX(Sheet!V$2:V$7967,$A152),"-",2)),"")</f>
        <v/>
      </c>
      <c r="CC152" s="35" t="str">
        <f ca="1">IFERROR((separ(INDEX(Sheet!W$2:W$7967,$A152),"-",2)),"")</f>
        <v/>
      </c>
      <c r="CD152" s="35" t="str">
        <f ca="1">IFERROR((separ(INDEX(Sheet!X$2:X$7967,$A152),"-",2)),"")</f>
        <v/>
      </c>
      <c r="CE152" s="35" t="str">
        <f ca="1">IFERROR((separ(INDEX(Sheet!Y$2:Y$7967,$A152),"-",2)),"")</f>
        <v/>
      </c>
      <c r="CF152" s="35" t="str">
        <f ca="1">IFERROR((separ(INDEX(Sheet!Z$2:Z$7967,$A152),"-",2)),"")</f>
        <v/>
      </c>
      <c r="CG152" s="35" t="str">
        <f ca="1">IFERROR((separ(INDEX(Sheet!AA$2:AA$7967,$A152),"-",2)),"")</f>
        <v/>
      </c>
      <c r="CH152" s="35" t="str">
        <f ca="1">IFERROR((separ(INDEX(Sheet!AB$2:AB$7967,$A152),"-",2)),"")</f>
        <v/>
      </c>
      <c r="CI152" s="35" t="str">
        <f ca="1">IFERROR((separ(INDEX(Sheet!AC$2:AC$7967,$A152),"-",2)),"")</f>
        <v/>
      </c>
      <c r="CJ152" s="35" t="str">
        <f ca="1">IFERROR((separ(INDEX(Sheet!AD$2:AD$7967,$A152),"-",2)),"")</f>
        <v/>
      </c>
      <c r="CK152" s="35" t="str">
        <f ca="1">IFERROR((separ(INDEX(Sheet!AE$2:AE$7967,$A152),"-",2)),"")</f>
        <v/>
      </c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</row>
    <row r="153" spans="1:104" s="29" customFormat="1">
      <c r="A153" s="45" t="str">
        <f ca="1">IFERROR(MATCH($B$3,OFFSET(Sheet!$D$2,A152,0):'Sheet'!$D$7657,0)+A152,"")</f>
        <v/>
      </c>
      <c r="B153" s="29" t="str">
        <f ca="1">IF(ROW(A146)&lt;=COUNT($A$6:$A$800),INDEX(Sheet!$A$2:$A$7967,$A153),IF(ROW(A146)=COUNT($A$6:$A$800)+1," ",IF(ROW(A146)=COUNT($A$6:$A$800)+2,"  ","")))</f>
        <v/>
      </c>
      <c r="C153" s="67" t="str">
        <f ca="1">IF($A153="","",INDEX(Sheet!E$2:E$7967,$A153))</f>
        <v/>
      </c>
      <c r="D153" s="31" t="str">
        <f ca="1">IF(B150=" ",$AR$1,IF(B153=" ",$AQ$1,IF(A153="","",INDEX(Sheet!G$2:G$7967,$A153))))</f>
        <v/>
      </c>
      <c r="E153" s="32" t="str">
        <f ca="1">IF($A153="","",TEXT(INDEX(Sheet!J$2:J$7967,$A153),"#,#")&amp;" "&amp;INDEX(Sheet!AT$2:AT$7967,$A153))</f>
        <v/>
      </c>
      <c r="F153" s="53" t="str">
        <f ca="1">IF($A153="","",INDEX(Sheet!F$2:F$7967,$A153))</f>
        <v/>
      </c>
      <c r="G153" s="32" t="str">
        <f ca="1">IF($A153="","",INDEX(Sheet!I$2:I$7967,$A153))</f>
        <v/>
      </c>
      <c r="H153" s="32" t="str">
        <f ca="1">IF($A153="","",INDEX(Sheet!L$2:L$7967,$A153))</f>
        <v/>
      </c>
      <c r="I153" s="32" t="str">
        <f ca="1">IF($A153="","",INDEX(Sheet!N$2:N$7967,$A153))</f>
        <v/>
      </c>
      <c r="J153" s="53" t="str">
        <f ca="1">IF($A153="","",INDEX(Sheet!AS$2:AS$7967,$A153))</f>
        <v/>
      </c>
      <c r="K153" s="33" t="str">
        <f ca="1">IF($A153="","",IF(INDEX(Sheet!S$2:S$7967,$A153)="","",INDEX(Sheet!S$2:S$7967,$A153)))</f>
        <v/>
      </c>
      <c r="L153" s="33" t="str">
        <f ca="1">IF($A153="","",IF(INDEX(Sheet!R$2:R$7967,$A153)="","",INDEX(Sheet!R$2:R$7967,$A153)))</f>
        <v/>
      </c>
      <c r="M153" s="33" t="str">
        <f ca="1">IF($A153="","",IF(INDEX(Sheet!AO$2:AO$7967,$A153)="","",INDEX(Sheet!AO$2:AO$7967,$A153)))</f>
        <v/>
      </c>
      <c r="N153" s="33" t="str">
        <f ca="1">IF($A153="","",IF(INDEX(Sheet!T$2:T$7967,$A153)="","",INDEX(Sheet!T$2:T$7967,$A153)))</f>
        <v/>
      </c>
      <c r="O153" s="33" t="str">
        <f ca="1">IF($A153="","",IF(INDEX(Sheet!U$2:U$7967,$A153)="","",INDEX(Sheet!U$2:U$7967,$A153)))</f>
        <v/>
      </c>
      <c r="P153" s="33" t="str">
        <f ca="1">IF($A153="","",IF(INDEX(Sheet!W$2:W$7967,$A153)="","",INDEX(Sheet!W$2:W$7967,$A153)))</f>
        <v/>
      </c>
      <c r="Q153" s="33" t="str">
        <f ca="1">IF($A153="","",IF(INDEX(Sheet!V$2:V$7967,$A153)="","",INDEX(Sheet!V$2:V$7967,$A153)))</f>
        <v/>
      </c>
      <c r="R153" s="33" t="str">
        <f ca="1">IF($A153="","",IF(INDEX(Sheet!Z$2:Z$7967,$A153)="","",INDEX(Sheet!Z$2:Z$7967,$A153)))</f>
        <v/>
      </c>
      <c r="S153" s="33" t="str">
        <f ca="1">IF($A153="","",IF(INDEX(Sheet!Y$2:Y$7967,$A153)="","",INDEX(Sheet!Y$2:Y$7967,$A153)))</f>
        <v/>
      </c>
      <c r="T153" s="33" t="str">
        <f ca="1">IF($A153="","",IF(INDEX(Sheet!X$2:X$7967,$A153)="","",INDEX(Sheet!X$2:X$7967,$A153)))</f>
        <v/>
      </c>
      <c r="U153" s="33" t="str">
        <f ca="1">IF($A153="","",IF(INDEX(Sheet!AA$2:AA$7967,$A153)="","",INDEX(Sheet!AA$2:AA$7967,$A153)))</f>
        <v/>
      </c>
      <c r="V153" s="33" t="str">
        <f ca="1">IF($A153="","",IF(INDEX(Sheet!AB$2:AB$7967,$A153)="","",INDEX(Sheet!AB$2:AB$7967,$A153)))</f>
        <v/>
      </c>
      <c r="W153" s="33" t="str">
        <f ca="1">IF($A153="","",IF(INDEX(Sheet!AH$2:AH$7967,$A153)="","",INDEX(Sheet!AH$2:AH$7967,$A153)))</f>
        <v/>
      </c>
      <c r="X153" s="33" t="str">
        <f ca="1">IF($A153="","",IF(INDEX(Sheet!AC$2:AC$7967,$A153)="","",INDEX(Sheet!AC$2:AC$7967,$A153)))</f>
        <v/>
      </c>
      <c r="Y153" s="33" t="str">
        <f ca="1">IF($A153="","",IF(INDEX(Sheet!AD$2:AD$7967,$A153)="","",INDEX(Sheet!AD$2:AD$7967,$A153)))</f>
        <v/>
      </c>
      <c r="Z153" s="33" t="str">
        <f ca="1">IF($A153="","",IF(INDEX(Sheet!AL$2:AL$7967,$A153)="","",INDEX(Sheet!AL$2:AL$7967,$A153)))</f>
        <v/>
      </c>
      <c r="AA153" s="33" t="str">
        <f ca="1">IF($A153="","",IF(INDEX(Sheet!AE$2:AE$7967,$A153)="","",INDEX(Sheet!AE$2:AE$7967,$A153)))</f>
        <v/>
      </c>
      <c r="AB153" s="33" t="str">
        <f ca="1">IF($A153="","",IF(INDEX(Sheet!AF$2:AF$7967,$A153)="","",INDEX(Sheet!AF$2:AF$7967,$A153)))</f>
        <v/>
      </c>
      <c r="AC153" s="33" t="str">
        <f ca="1">IF($A153="","",IF(INDEX(Sheet!AG$2:AG$7967,$A153)="","",INDEX(Sheet!AG$2:AG$7967,$A153)))</f>
        <v/>
      </c>
      <c r="AD153" s="33" t="str">
        <f ca="1">IF($A153="","",IF(INDEX(Sheet!AM$2:AM$7967,$A153)="","",INDEX(Sheet!AM$2:AM$7967,$A153)))</f>
        <v/>
      </c>
      <c r="AE153" s="33" t="str">
        <f ca="1">IF($A153="","",IF(INDEX(Sheet!AJ$2:AJ$7967,$A153)="","",INDEX(Sheet!AJ$2:AJ$7967,$A153)))</f>
        <v/>
      </c>
      <c r="AF153" s="33" t="str">
        <f ca="1">IF($A153="","",IF(INDEX(Sheet!AI$2:AI$7967,$A153)="","",INDEX(Sheet!AI$2:AI$7967,$A153)))</f>
        <v/>
      </c>
      <c r="AG153" s="33" t="str">
        <f ca="1">IF(D153="duyệt sản xuất"," Bảo Bảo, Ngày "&amp;DAY($J$4)&amp;" Tháng "&amp;MONTH($J$4)&amp;" Năm "&amp;YEAR($J$4),IF(D153="Phê duyệt","NGƯỜI LẬP",IF(D153="Nguyễn Ngọc Thắng","NGUYỄN THỊ MAI",IF($A153="","",INDEX(Sheet!AK$2:AK$7967,$A153)))))</f>
        <v/>
      </c>
      <c r="AH153" s="58" t="str">
        <f ca="1">IF($A153="","",INDEX(Sheet!AR$2:AR$7967,$A153)&amp;" ; "&amp;INDEX(Sheet!M$2:M$7967,$A153))</f>
        <v/>
      </c>
      <c r="AI153" s="1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G153" s="35" t="str">
        <f ca="1">IFERROR(VALUE(separ(INDEX(Sheet!Q$2:Q$7967,$A153),"-",1)),"")</f>
        <v/>
      </c>
      <c r="BH153" s="35" t="str">
        <f ca="1">IFERROR(VALUE(separ(INDEX(Sheet!R$2:R$7967,$A153),"-",1)),"")</f>
        <v/>
      </c>
      <c r="BI153" s="35" t="str">
        <f ca="1">IFERROR(VALUE(separ(INDEX(Sheet!S$2:S$7967,$A153),"-",1)),"")</f>
        <v/>
      </c>
      <c r="BJ153" s="35" t="str">
        <f ca="1">IFERROR(VALUE(separ(INDEX(Sheet!T$2:T$7967,$A153),"-",1)),"")</f>
        <v/>
      </c>
      <c r="BK153" s="35" t="str">
        <f ca="1">IFERROR(VALUE(separ(INDEX(Sheet!U$2:U$7967,$A153),"-",1)),"")</f>
        <v/>
      </c>
      <c r="BL153" s="35" t="str">
        <f ca="1">IFERROR(VALUE(separ(INDEX(Sheet!V$2:V$7967,$A153),"-",1)),"")</f>
        <v/>
      </c>
      <c r="BM153" s="35" t="str">
        <f ca="1">IFERROR(VALUE(separ(INDEX(Sheet!W$2:W$7967,$A153),"-",1)),"")</f>
        <v/>
      </c>
      <c r="BN153" s="35" t="str">
        <f ca="1">IFERROR(VALUE(separ(INDEX(Sheet!X$2:X$7967,$A153),"-",1)),"")</f>
        <v/>
      </c>
      <c r="BO153" s="35" t="str">
        <f ca="1">IFERROR(VALUE(separ(INDEX(Sheet!Y$2:Y$7967,$A153),"-",1)),"")</f>
        <v/>
      </c>
      <c r="BP153" s="35" t="str">
        <f ca="1">IFERROR(VALUE(separ(INDEX(Sheet!Z$2:Z$7967,$A153),"-",1)),"")</f>
        <v/>
      </c>
      <c r="BQ153" s="35" t="str">
        <f ca="1">IFERROR(VALUE(separ(INDEX(Sheet!AA$2:AA$7967,$A153),"-",1)),"")</f>
        <v/>
      </c>
      <c r="BR153" s="35" t="str">
        <f ca="1">IFERROR(VALUE(separ(INDEX(Sheet!AB$2:AB$7967,$A153),"-",1)),"")</f>
        <v/>
      </c>
      <c r="BS153" s="35" t="str">
        <f ca="1">IFERROR(VALUE(separ(INDEX(Sheet!AC$2:AC$7967,$A153),"-",1)),"")</f>
        <v/>
      </c>
      <c r="BT153" s="35" t="str">
        <f ca="1">IFERROR(VALUE(separ(INDEX(Sheet!AD$2:AD$7967,$A153),"-",1)),"")</f>
        <v/>
      </c>
      <c r="BU153" s="35" t="str">
        <f ca="1">IFERROR(VALUE(separ(INDEX(Sheet!AE$2:AE$7967,$A153),"-",1)),"")</f>
        <v/>
      </c>
      <c r="BV153" s="35"/>
      <c r="BW153" s="35" t="str">
        <f ca="1">IFERROR((separ(INDEX(Sheet!Q$2:Q$7967,$A153),"-",2)),"")</f>
        <v/>
      </c>
      <c r="BX153" s="35" t="str">
        <f ca="1">IFERROR((separ(INDEX(Sheet!R$2:R$7967,$A153),"-",2)),"")</f>
        <v/>
      </c>
      <c r="BY153" s="35" t="str">
        <f ca="1">IFERROR((separ(INDEX(Sheet!S$2:S$7967,$A153),"-",2)),"")</f>
        <v/>
      </c>
      <c r="BZ153" s="35" t="str">
        <f ca="1">IFERROR((separ(INDEX(Sheet!T$2:T$7967,$A153),"-",2)),"")</f>
        <v/>
      </c>
      <c r="CA153" s="35" t="str">
        <f ca="1">IFERROR((separ(INDEX(Sheet!U$2:U$7967,$A153),"-",2)),"")</f>
        <v/>
      </c>
      <c r="CB153" s="35" t="str">
        <f ca="1">IFERROR((separ(INDEX(Sheet!V$2:V$7967,$A153),"-",2)),"")</f>
        <v/>
      </c>
      <c r="CC153" s="35" t="str">
        <f ca="1">IFERROR((separ(INDEX(Sheet!W$2:W$7967,$A153),"-",2)),"")</f>
        <v/>
      </c>
      <c r="CD153" s="35" t="str">
        <f ca="1">IFERROR((separ(INDEX(Sheet!X$2:X$7967,$A153),"-",2)),"")</f>
        <v/>
      </c>
      <c r="CE153" s="35" t="str">
        <f ca="1">IFERROR((separ(INDEX(Sheet!Y$2:Y$7967,$A153),"-",2)),"")</f>
        <v/>
      </c>
      <c r="CF153" s="35" t="str">
        <f ca="1">IFERROR((separ(INDEX(Sheet!Z$2:Z$7967,$A153),"-",2)),"")</f>
        <v/>
      </c>
      <c r="CG153" s="35" t="str">
        <f ca="1">IFERROR((separ(INDEX(Sheet!AA$2:AA$7967,$A153),"-",2)),"")</f>
        <v/>
      </c>
      <c r="CH153" s="35" t="str">
        <f ca="1">IFERROR((separ(INDEX(Sheet!AB$2:AB$7967,$A153),"-",2)),"")</f>
        <v/>
      </c>
      <c r="CI153" s="35" t="str">
        <f ca="1">IFERROR((separ(INDEX(Sheet!AC$2:AC$7967,$A153),"-",2)),"")</f>
        <v/>
      </c>
      <c r="CJ153" s="35" t="str">
        <f ca="1">IFERROR((separ(INDEX(Sheet!AD$2:AD$7967,$A153),"-",2)),"")</f>
        <v/>
      </c>
      <c r="CK153" s="35" t="str">
        <f ca="1">IFERROR((separ(INDEX(Sheet!AE$2:AE$7967,$A153),"-",2)),"")</f>
        <v/>
      </c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</row>
    <row r="154" spans="1:104" s="29" customFormat="1">
      <c r="A154" s="45" t="str">
        <f ca="1">IFERROR(MATCH($B$3,OFFSET(Sheet!$D$2,A153,0):'Sheet'!$D$7657,0)+A153,"")</f>
        <v/>
      </c>
      <c r="B154" s="29" t="str">
        <f ca="1">IF(ROW(A147)&lt;=COUNT($A$6:$A$800),INDEX(Sheet!$A$2:$A$7967,$A154),IF(ROW(A147)=COUNT($A$6:$A$800)+1," ",IF(ROW(A147)=COUNT($A$6:$A$800)+2,"  ","")))</f>
        <v/>
      </c>
      <c r="C154" s="67" t="str">
        <f ca="1">IF($A154="","",INDEX(Sheet!E$2:E$7967,$A154))</f>
        <v/>
      </c>
      <c r="D154" s="31" t="str">
        <f ca="1">IF(B151=" ",$AR$1,IF(B154=" ",$AQ$1,IF(A154="","",INDEX(Sheet!G$2:G$7967,$A154))))</f>
        <v/>
      </c>
      <c r="E154" s="32" t="str">
        <f ca="1">IF($A154="","",TEXT(INDEX(Sheet!J$2:J$7967,$A154),"#,#")&amp;" "&amp;INDEX(Sheet!AT$2:AT$7967,$A154))</f>
        <v/>
      </c>
      <c r="F154" s="53" t="str">
        <f ca="1">IF($A154="","",INDEX(Sheet!F$2:F$7967,$A154))</f>
        <v/>
      </c>
      <c r="G154" s="32" t="str">
        <f ca="1">IF($A154="","",INDEX(Sheet!I$2:I$7967,$A154))</f>
        <v/>
      </c>
      <c r="H154" s="32" t="str">
        <f ca="1">IF($A154="","",INDEX(Sheet!L$2:L$7967,$A154))</f>
        <v/>
      </c>
      <c r="I154" s="32" t="str">
        <f ca="1">IF($A154="","",INDEX(Sheet!N$2:N$7967,$A154))</f>
        <v/>
      </c>
      <c r="J154" s="53" t="str">
        <f ca="1">IF($A154="","",INDEX(Sheet!AS$2:AS$7967,$A154))</f>
        <v/>
      </c>
      <c r="K154" s="33" t="str">
        <f ca="1">IF($A154="","",IF(INDEX(Sheet!S$2:S$7967,$A154)="","",INDEX(Sheet!S$2:S$7967,$A154)))</f>
        <v/>
      </c>
      <c r="L154" s="33" t="str">
        <f ca="1">IF($A154="","",IF(INDEX(Sheet!R$2:R$7967,$A154)="","",INDEX(Sheet!R$2:R$7967,$A154)))</f>
        <v/>
      </c>
      <c r="M154" s="33" t="str">
        <f ca="1">IF($A154="","",IF(INDEX(Sheet!AO$2:AO$7967,$A154)="","",INDEX(Sheet!AO$2:AO$7967,$A154)))</f>
        <v/>
      </c>
      <c r="N154" s="33" t="str">
        <f ca="1">IF($A154="","",IF(INDEX(Sheet!T$2:T$7967,$A154)="","",INDEX(Sheet!T$2:T$7967,$A154)))</f>
        <v/>
      </c>
      <c r="O154" s="33" t="str">
        <f ca="1">IF($A154="","",IF(INDEX(Sheet!U$2:U$7967,$A154)="","",INDEX(Sheet!U$2:U$7967,$A154)))</f>
        <v/>
      </c>
      <c r="P154" s="33" t="str">
        <f ca="1">IF($A154="","",IF(INDEX(Sheet!W$2:W$7967,$A154)="","",INDEX(Sheet!W$2:W$7967,$A154)))</f>
        <v/>
      </c>
      <c r="Q154" s="33" t="str">
        <f ca="1">IF($A154="","",IF(INDEX(Sheet!V$2:V$7967,$A154)="","",INDEX(Sheet!V$2:V$7967,$A154)))</f>
        <v/>
      </c>
      <c r="R154" s="33" t="str">
        <f ca="1">IF($A154="","",IF(INDEX(Sheet!Z$2:Z$7967,$A154)="","",INDEX(Sheet!Z$2:Z$7967,$A154)))</f>
        <v/>
      </c>
      <c r="S154" s="33" t="str">
        <f ca="1">IF($A154="","",IF(INDEX(Sheet!Y$2:Y$7967,$A154)="","",INDEX(Sheet!Y$2:Y$7967,$A154)))</f>
        <v/>
      </c>
      <c r="T154" s="33" t="str">
        <f ca="1">IF($A154="","",IF(INDEX(Sheet!X$2:X$7967,$A154)="","",INDEX(Sheet!X$2:X$7967,$A154)))</f>
        <v/>
      </c>
      <c r="U154" s="33" t="str">
        <f ca="1">IF($A154="","",IF(INDEX(Sheet!AA$2:AA$7967,$A154)="","",INDEX(Sheet!AA$2:AA$7967,$A154)))</f>
        <v/>
      </c>
      <c r="V154" s="33" t="str">
        <f ca="1">IF($A154="","",IF(INDEX(Sheet!AB$2:AB$7967,$A154)="","",INDEX(Sheet!AB$2:AB$7967,$A154)))</f>
        <v/>
      </c>
      <c r="W154" s="33" t="str">
        <f ca="1">IF($A154="","",IF(INDEX(Sheet!AH$2:AH$7967,$A154)="","",INDEX(Sheet!AH$2:AH$7967,$A154)))</f>
        <v/>
      </c>
      <c r="X154" s="33" t="str">
        <f ca="1">IF($A154="","",IF(INDEX(Sheet!AC$2:AC$7967,$A154)="","",INDEX(Sheet!AC$2:AC$7967,$A154)))</f>
        <v/>
      </c>
      <c r="Y154" s="33" t="str">
        <f ca="1">IF($A154="","",IF(INDEX(Sheet!AD$2:AD$7967,$A154)="","",INDEX(Sheet!AD$2:AD$7967,$A154)))</f>
        <v/>
      </c>
      <c r="Z154" s="33" t="str">
        <f ca="1">IF($A154="","",IF(INDEX(Sheet!AL$2:AL$7967,$A154)="","",INDEX(Sheet!AL$2:AL$7967,$A154)))</f>
        <v/>
      </c>
      <c r="AA154" s="33" t="str">
        <f ca="1">IF($A154="","",IF(INDEX(Sheet!AE$2:AE$7967,$A154)="","",INDEX(Sheet!AE$2:AE$7967,$A154)))</f>
        <v/>
      </c>
      <c r="AB154" s="33" t="str">
        <f ca="1">IF($A154="","",IF(INDEX(Sheet!AF$2:AF$7967,$A154)="","",INDEX(Sheet!AF$2:AF$7967,$A154)))</f>
        <v/>
      </c>
      <c r="AC154" s="33" t="str">
        <f ca="1">IF($A154="","",IF(INDEX(Sheet!AG$2:AG$7967,$A154)="","",INDEX(Sheet!AG$2:AG$7967,$A154)))</f>
        <v/>
      </c>
      <c r="AD154" s="33" t="str">
        <f ca="1">IF($A154="","",IF(INDEX(Sheet!AM$2:AM$7967,$A154)="","",INDEX(Sheet!AM$2:AM$7967,$A154)))</f>
        <v/>
      </c>
      <c r="AE154" s="33" t="str">
        <f ca="1">IF($A154="","",IF(INDEX(Sheet!AJ$2:AJ$7967,$A154)="","",INDEX(Sheet!AJ$2:AJ$7967,$A154)))</f>
        <v/>
      </c>
      <c r="AF154" s="33" t="str">
        <f ca="1">IF($A154="","",IF(INDEX(Sheet!AI$2:AI$7967,$A154)="","",INDEX(Sheet!AI$2:AI$7967,$A154)))</f>
        <v/>
      </c>
      <c r="AG154" s="33" t="str">
        <f ca="1">IF(D154="duyệt sản xuất"," Bảo Bảo, Ngày "&amp;DAY($J$4)&amp;" Tháng "&amp;MONTH($J$4)&amp;" Năm "&amp;YEAR($J$4),IF(D154="Phê duyệt","NGƯỜI LẬP",IF(D154="Nguyễn Ngọc Thắng","NGUYỄN THỊ MAI",IF($A154="","",INDEX(Sheet!AK$2:AK$7967,$A154)))))</f>
        <v/>
      </c>
      <c r="AH154" s="58" t="str">
        <f ca="1">IF($A154="","",INDEX(Sheet!AR$2:AR$7967,$A154)&amp;" ; "&amp;INDEX(Sheet!M$2:M$7967,$A154))</f>
        <v/>
      </c>
      <c r="AI154" s="1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G154" s="35" t="str">
        <f ca="1">IFERROR(VALUE(separ(INDEX(Sheet!Q$2:Q$7967,$A154),"-",1)),"")</f>
        <v/>
      </c>
      <c r="BH154" s="35" t="str">
        <f ca="1">IFERROR(VALUE(separ(INDEX(Sheet!R$2:R$7967,$A154),"-",1)),"")</f>
        <v/>
      </c>
      <c r="BI154" s="35" t="str">
        <f ca="1">IFERROR(VALUE(separ(INDEX(Sheet!S$2:S$7967,$A154),"-",1)),"")</f>
        <v/>
      </c>
      <c r="BJ154" s="35" t="str">
        <f ca="1">IFERROR(VALUE(separ(INDEX(Sheet!T$2:T$7967,$A154),"-",1)),"")</f>
        <v/>
      </c>
      <c r="BK154" s="35" t="str">
        <f ca="1">IFERROR(VALUE(separ(INDEX(Sheet!U$2:U$7967,$A154),"-",1)),"")</f>
        <v/>
      </c>
      <c r="BL154" s="35" t="str">
        <f ca="1">IFERROR(VALUE(separ(INDEX(Sheet!V$2:V$7967,$A154),"-",1)),"")</f>
        <v/>
      </c>
      <c r="BM154" s="35" t="str">
        <f ca="1">IFERROR(VALUE(separ(INDEX(Sheet!W$2:W$7967,$A154),"-",1)),"")</f>
        <v/>
      </c>
      <c r="BN154" s="35" t="str">
        <f ca="1">IFERROR(VALUE(separ(INDEX(Sheet!X$2:X$7967,$A154),"-",1)),"")</f>
        <v/>
      </c>
      <c r="BO154" s="35" t="str">
        <f ca="1">IFERROR(VALUE(separ(INDEX(Sheet!Y$2:Y$7967,$A154),"-",1)),"")</f>
        <v/>
      </c>
      <c r="BP154" s="35" t="str">
        <f ca="1">IFERROR(VALUE(separ(INDEX(Sheet!Z$2:Z$7967,$A154),"-",1)),"")</f>
        <v/>
      </c>
      <c r="BQ154" s="35" t="str">
        <f ca="1">IFERROR(VALUE(separ(INDEX(Sheet!AA$2:AA$7967,$A154),"-",1)),"")</f>
        <v/>
      </c>
      <c r="BR154" s="35" t="str">
        <f ca="1">IFERROR(VALUE(separ(INDEX(Sheet!AB$2:AB$7967,$A154),"-",1)),"")</f>
        <v/>
      </c>
      <c r="BS154" s="35" t="str">
        <f ca="1">IFERROR(VALUE(separ(INDEX(Sheet!AC$2:AC$7967,$A154),"-",1)),"")</f>
        <v/>
      </c>
      <c r="BT154" s="35" t="str">
        <f ca="1">IFERROR(VALUE(separ(INDEX(Sheet!AD$2:AD$7967,$A154),"-",1)),"")</f>
        <v/>
      </c>
      <c r="BU154" s="35" t="str">
        <f ca="1">IFERROR(VALUE(separ(INDEX(Sheet!AE$2:AE$7967,$A154),"-",1)),"")</f>
        <v/>
      </c>
      <c r="BV154" s="35"/>
      <c r="BW154" s="35" t="str">
        <f ca="1">IFERROR((separ(INDEX(Sheet!Q$2:Q$7967,$A154),"-",2)),"")</f>
        <v/>
      </c>
      <c r="BX154" s="35" t="str">
        <f ca="1">IFERROR((separ(INDEX(Sheet!R$2:R$7967,$A154),"-",2)),"")</f>
        <v/>
      </c>
      <c r="BY154" s="35" t="str">
        <f ca="1">IFERROR((separ(INDEX(Sheet!S$2:S$7967,$A154),"-",2)),"")</f>
        <v/>
      </c>
      <c r="BZ154" s="35" t="str">
        <f ca="1">IFERROR((separ(INDEX(Sheet!T$2:T$7967,$A154),"-",2)),"")</f>
        <v/>
      </c>
      <c r="CA154" s="35" t="str">
        <f ca="1">IFERROR((separ(INDEX(Sheet!U$2:U$7967,$A154),"-",2)),"")</f>
        <v/>
      </c>
      <c r="CB154" s="35" t="str">
        <f ca="1">IFERROR((separ(INDEX(Sheet!V$2:V$7967,$A154),"-",2)),"")</f>
        <v/>
      </c>
      <c r="CC154" s="35" t="str">
        <f ca="1">IFERROR((separ(INDEX(Sheet!W$2:W$7967,$A154),"-",2)),"")</f>
        <v/>
      </c>
      <c r="CD154" s="35" t="str">
        <f ca="1">IFERROR((separ(INDEX(Sheet!X$2:X$7967,$A154),"-",2)),"")</f>
        <v/>
      </c>
      <c r="CE154" s="35" t="str">
        <f ca="1">IFERROR((separ(INDEX(Sheet!Y$2:Y$7967,$A154),"-",2)),"")</f>
        <v/>
      </c>
      <c r="CF154" s="35" t="str">
        <f ca="1">IFERROR((separ(INDEX(Sheet!Z$2:Z$7967,$A154),"-",2)),"")</f>
        <v/>
      </c>
      <c r="CG154" s="35" t="str">
        <f ca="1">IFERROR((separ(INDEX(Sheet!AA$2:AA$7967,$A154),"-",2)),"")</f>
        <v/>
      </c>
      <c r="CH154" s="35" t="str">
        <f ca="1">IFERROR((separ(INDEX(Sheet!AB$2:AB$7967,$A154),"-",2)),"")</f>
        <v/>
      </c>
      <c r="CI154" s="35" t="str">
        <f ca="1">IFERROR((separ(INDEX(Sheet!AC$2:AC$7967,$A154),"-",2)),"")</f>
        <v/>
      </c>
      <c r="CJ154" s="35" t="str">
        <f ca="1">IFERROR((separ(INDEX(Sheet!AD$2:AD$7967,$A154),"-",2)),"")</f>
        <v/>
      </c>
      <c r="CK154" s="35" t="str">
        <f ca="1">IFERROR((separ(INDEX(Sheet!AE$2:AE$7967,$A154),"-",2)),"")</f>
        <v/>
      </c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</row>
    <row r="155" spans="1:104" s="29" customFormat="1">
      <c r="A155" s="45" t="str">
        <f ca="1">IFERROR(MATCH($B$3,OFFSET(Sheet!$D$2,A154,0):'Sheet'!$D$7657,0)+A154,"")</f>
        <v/>
      </c>
      <c r="B155" s="29" t="str">
        <f ca="1">IF(ROW(A148)&lt;=COUNT($A$6:$A$800),INDEX(Sheet!$A$2:$A$7967,$A155),IF(ROW(A148)=COUNT($A$6:$A$800)+1," ",IF(ROW(A148)=COUNT($A$6:$A$800)+2,"  ","")))</f>
        <v/>
      </c>
      <c r="C155" s="67" t="str">
        <f ca="1">IF($A155="","",INDEX(Sheet!E$2:E$7967,$A155))</f>
        <v/>
      </c>
      <c r="D155" s="31" t="str">
        <f ca="1">IF(B152=" ",$AR$1,IF(B155=" ",$AQ$1,IF(A155="","",INDEX(Sheet!G$2:G$7967,$A155))))</f>
        <v/>
      </c>
      <c r="E155" s="32" t="str">
        <f ca="1">IF($A155="","",TEXT(INDEX(Sheet!J$2:J$7967,$A155),"#,#")&amp;" "&amp;INDEX(Sheet!AT$2:AT$7967,$A155))</f>
        <v/>
      </c>
      <c r="F155" s="53" t="str">
        <f ca="1">IF($A155="","",INDEX(Sheet!F$2:F$7967,$A155))</f>
        <v/>
      </c>
      <c r="G155" s="32" t="str">
        <f ca="1">IF($A155="","",INDEX(Sheet!I$2:I$7967,$A155))</f>
        <v/>
      </c>
      <c r="H155" s="32" t="str">
        <f ca="1">IF($A155="","",INDEX(Sheet!L$2:L$7967,$A155))</f>
        <v/>
      </c>
      <c r="I155" s="32" t="str">
        <f ca="1">IF($A155="","",INDEX(Sheet!N$2:N$7967,$A155))</f>
        <v/>
      </c>
      <c r="J155" s="53" t="str">
        <f ca="1">IF($A155="","",INDEX(Sheet!AS$2:AS$7967,$A155))</f>
        <v/>
      </c>
      <c r="K155" s="33" t="str">
        <f ca="1">IF($A155="","",IF(INDEX(Sheet!S$2:S$7967,$A155)="","",INDEX(Sheet!S$2:S$7967,$A155)))</f>
        <v/>
      </c>
      <c r="L155" s="33" t="str">
        <f ca="1">IF($A155="","",IF(INDEX(Sheet!R$2:R$7967,$A155)="","",INDEX(Sheet!R$2:R$7967,$A155)))</f>
        <v/>
      </c>
      <c r="M155" s="33" t="str">
        <f ca="1">IF($A155="","",IF(INDEX(Sheet!AO$2:AO$7967,$A155)="","",INDEX(Sheet!AO$2:AO$7967,$A155)))</f>
        <v/>
      </c>
      <c r="N155" s="33" t="str">
        <f ca="1">IF($A155="","",IF(INDEX(Sheet!T$2:T$7967,$A155)="","",INDEX(Sheet!T$2:T$7967,$A155)))</f>
        <v/>
      </c>
      <c r="O155" s="33" t="str">
        <f ca="1">IF($A155="","",IF(INDEX(Sheet!U$2:U$7967,$A155)="","",INDEX(Sheet!U$2:U$7967,$A155)))</f>
        <v/>
      </c>
      <c r="P155" s="33" t="str">
        <f ca="1">IF($A155="","",IF(INDEX(Sheet!W$2:W$7967,$A155)="","",INDEX(Sheet!W$2:W$7967,$A155)))</f>
        <v/>
      </c>
      <c r="Q155" s="33" t="str">
        <f ca="1">IF($A155="","",IF(INDEX(Sheet!V$2:V$7967,$A155)="","",INDEX(Sheet!V$2:V$7967,$A155)))</f>
        <v/>
      </c>
      <c r="R155" s="33" t="str">
        <f ca="1">IF($A155="","",IF(INDEX(Sheet!Z$2:Z$7967,$A155)="","",INDEX(Sheet!Z$2:Z$7967,$A155)))</f>
        <v/>
      </c>
      <c r="S155" s="33" t="str">
        <f ca="1">IF($A155="","",IF(INDEX(Sheet!Y$2:Y$7967,$A155)="","",INDEX(Sheet!Y$2:Y$7967,$A155)))</f>
        <v/>
      </c>
      <c r="T155" s="33" t="str">
        <f ca="1">IF($A155="","",IF(INDEX(Sheet!X$2:X$7967,$A155)="","",INDEX(Sheet!X$2:X$7967,$A155)))</f>
        <v/>
      </c>
      <c r="U155" s="33" t="str">
        <f ca="1">IF($A155="","",IF(INDEX(Sheet!AA$2:AA$7967,$A155)="","",INDEX(Sheet!AA$2:AA$7967,$A155)))</f>
        <v/>
      </c>
      <c r="V155" s="33" t="str">
        <f ca="1">IF($A155="","",IF(INDEX(Sheet!AB$2:AB$7967,$A155)="","",INDEX(Sheet!AB$2:AB$7967,$A155)))</f>
        <v/>
      </c>
      <c r="W155" s="33" t="str">
        <f ca="1">IF($A155="","",IF(INDEX(Sheet!AH$2:AH$7967,$A155)="","",INDEX(Sheet!AH$2:AH$7967,$A155)))</f>
        <v/>
      </c>
      <c r="X155" s="33" t="str">
        <f ca="1">IF($A155="","",IF(INDEX(Sheet!AC$2:AC$7967,$A155)="","",INDEX(Sheet!AC$2:AC$7967,$A155)))</f>
        <v/>
      </c>
      <c r="Y155" s="33" t="str">
        <f ca="1">IF($A155="","",IF(INDEX(Sheet!AD$2:AD$7967,$A155)="","",INDEX(Sheet!AD$2:AD$7967,$A155)))</f>
        <v/>
      </c>
      <c r="Z155" s="33" t="str">
        <f ca="1">IF($A155="","",IF(INDEX(Sheet!AL$2:AL$7967,$A155)="","",INDEX(Sheet!AL$2:AL$7967,$A155)))</f>
        <v/>
      </c>
      <c r="AA155" s="33" t="str">
        <f ca="1">IF($A155="","",IF(INDEX(Sheet!AE$2:AE$7967,$A155)="","",INDEX(Sheet!AE$2:AE$7967,$A155)))</f>
        <v/>
      </c>
      <c r="AB155" s="33" t="str">
        <f ca="1">IF($A155="","",IF(INDEX(Sheet!AF$2:AF$7967,$A155)="","",INDEX(Sheet!AF$2:AF$7967,$A155)))</f>
        <v/>
      </c>
      <c r="AC155" s="33" t="str">
        <f ca="1">IF($A155="","",IF(INDEX(Sheet!AG$2:AG$7967,$A155)="","",INDEX(Sheet!AG$2:AG$7967,$A155)))</f>
        <v/>
      </c>
      <c r="AD155" s="33" t="str">
        <f ca="1">IF($A155="","",IF(INDEX(Sheet!AM$2:AM$7967,$A155)="","",INDEX(Sheet!AM$2:AM$7967,$A155)))</f>
        <v/>
      </c>
      <c r="AE155" s="33" t="str">
        <f ca="1">IF($A155="","",IF(INDEX(Sheet!AJ$2:AJ$7967,$A155)="","",INDEX(Sheet!AJ$2:AJ$7967,$A155)))</f>
        <v/>
      </c>
      <c r="AF155" s="33" t="str">
        <f ca="1">IF($A155="","",IF(INDEX(Sheet!AI$2:AI$7967,$A155)="","",INDEX(Sheet!AI$2:AI$7967,$A155)))</f>
        <v/>
      </c>
      <c r="AG155" s="33" t="str">
        <f ca="1">IF(D155="duyệt sản xuất"," Bảo Bảo, Ngày "&amp;DAY($J$4)&amp;" Tháng "&amp;MONTH($J$4)&amp;" Năm "&amp;YEAR($J$4),IF(D155="Phê duyệt","NGƯỜI LẬP",IF(D155="Nguyễn Ngọc Thắng","NGUYỄN THỊ MAI",IF($A155="","",INDEX(Sheet!AK$2:AK$7967,$A155)))))</f>
        <v/>
      </c>
      <c r="AH155" s="58" t="str">
        <f ca="1">IF($A155="","",INDEX(Sheet!AR$2:AR$7967,$A155)&amp;" ; "&amp;INDEX(Sheet!M$2:M$7967,$A155))</f>
        <v/>
      </c>
      <c r="AI155" s="1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G155" s="35" t="str">
        <f ca="1">IFERROR(VALUE(separ(INDEX(Sheet!Q$2:Q$7967,$A155),"-",1)),"")</f>
        <v/>
      </c>
      <c r="BH155" s="35" t="str">
        <f ca="1">IFERROR(VALUE(separ(INDEX(Sheet!R$2:R$7967,$A155),"-",1)),"")</f>
        <v/>
      </c>
      <c r="BI155" s="35" t="str">
        <f ca="1">IFERROR(VALUE(separ(INDEX(Sheet!S$2:S$7967,$A155),"-",1)),"")</f>
        <v/>
      </c>
      <c r="BJ155" s="35" t="str">
        <f ca="1">IFERROR(VALUE(separ(INDEX(Sheet!T$2:T$7967,$A155),"-",1)),"")</f>
        <v/>
      </c>
      <c r="BK155" s="35" t="str">
        <f ca="1">IFERROR(VALUE(separ(INDEX(Sheet!U$2:U$7967,$A155),"-",1)),"")</f>
        <v/>
      </c>
      <c r="BL155" s="35" t="str">
        <f ca="1">IFERROR(VALUE(separ(INDEX(Sheet!V$2:V$7967,$A155),"-",1)),"")</f>
        <v/>
      </c>
      <c r="BM155" s="35" t="str">
        <f ca="1">IFERROR(VALUE(separ(INDEX(Sheet!W$2:W$7967,$A155),"-",1)),"")</f>
        <v/>
      </c>
      <c r="BN155" s="35" t="str">
        <f ca="1">IFERROR(VALUE(separ(INDEX(Sheet!X$2:X$7967,$A155),"-",1)),"")</f>
        <v/>
      </c>
      <c r="BO155" s="35" t="str">
        <f ca="1">IFERROR(VALUE(separ(INDEX(Sheet!Y$2:Y$7967,$A155),"-",1)),"")</f>
        <v/>
      </c>
      <c r="BP155" s="35" t="str">
        <f ca="1">IFERROR(VALUE(separ(INDEX(Sheet!Z$2:Z$7967,$A155),"-",1)),"")</f>
        <v/>
      </c>
      <c r="BQ155" s="35" t="str">
        <f ca="1">IFERROR(VALUE(separ(INDEX(Sheet!AA$2:AA$7967,$A155),"-",1)),"")</f>
        <v/>
      </c>
      <c r="BR155" s="35" t="str">
        <f ca="1">IFERROR(VALUE(separ(INDEX(Sheet!AB$2:AB$7967,$A155),"-",1)),"")</f>
        <v/>
      </c>
      <c r="BS155" s="35" t="str">
        <f ca="1">IFERROR(VALUE(separ(INDEX(Sheet!AC$2:AC$7967,$A155),"-",1)),"")</f>
        <v/>
      </c>
      <c r="BT155" s="35" t="str">
        <f ca="1">IFERROR(VALUE(separ(INDEX(Sheet!AD$2:AD$7967,$A155),"-",1)),"")</f>
        <v/>
      </c>
      <c r="BU155" s="35" t="str">
        <f ca="1">IFERROR(VALUE(separ(INDEX(Sheet!AE$2:AE$7967,$A155),"-",1)),"")</f>
        <v/>
      </c>
      <c r="BV155" s="35"/>
      <c r="BW155" s="35" t="str">
        <f ca="1">IFERROR((separ(INDEX(Sheet!Q$2:Q$7967,$A155),"-",2)),"")</f>
        <v/>
      </c>
      <c r="BX155" s="35" t="str">
        <f ca="1">IFERROR((separ(INDEX(Sheet!R$2:R$7967,$A155),"-",2)),"")</f>
        <v/>
      </c>
      <c r="BY155" s="35" t="str">
        <f ca="1">IFERROR((separ(INDEX(Sheet!S$2:S$7967,$A155),"-",2)),"")</f>
        <v/>
      </c>
      <c r="BZ155" s="35" t="str">
        <f ca="1">IFERROR((separ(INDEX(Sheet!T$2:T$7967,$A155),"-",2)),"")</f>
        <v/>
      </c>
      <c r="CA155" s="35" t="str">
        <f ca="1">IFERROR((separ(INDEX(Sheet!U$2:U$7967,$A155),"-",2)),"")</f>
        <v/>
      </c>
      <c r="CB155" s="35" t="str">
        <f ca="1">IFERROR((separ(INDEX(Sheet!V$2:V$7967,$A155),"-",2)),"")</f>
        <v/>
      </c>
      <c r="CC155" s="35" t="str">
        <f ca="1">IFERROR((separ(INDEX(Sheet!W$2:W$7967,$A155),"-",2)),"")</f>
        <v/>
      </c>
      <c r="CD155" s="35" t="str">
        <f ca="1">IFERROR((separ(INDEX(Sheet!X$2:X$7967,$A155),"-",2)),"")</f>
        <v/>
      </c>
      <c r="CE155" s="35" t="str">
        <f ca="1">IFERROR((separ(INDEX(Sheet!Y$2:Y$7967,$A155),"-",2)),"")</f>
        <v/>
      </c>
      <c r="CF155" s="35" t="str">
        <f ca="1">IFERROR((separ(INDEX(Sheet!Z$2:Z$7967,$A155),"-",2)),"")</f>
        <v/>
      </c>
      <c r="CG155" s="35" t="str">
        <f ca="1">IFERROR((separ(INDEX(Sheet!AA$2:AA$7967,$A155),"-",2)),"")</f>
        <v/>
      </c>
      <c r="CH155" s="35" t="str">
        <f ca="1">IFERROR((separ(INDEX(Sheet!AB$2:AB$7967,$A155),"-",2)),"")</f>
        <v/>
      </c>
      <c r="CI155" s="35" t="str">
        <f ca="1">IFERROR((separ(INDEX(Sheet!AC$2:AC$7967,$A155),"-",2)),"")</f>
        <v/>
      </c>
      <c r="CJ155" s="35" t="str">
        <f ca="1">IFERROR((separ(INDEX(Sheet!AD$2:AD$7967,$A155),"-",2)),"")</f>
        <v/>
      </c>
      <c r="CK155" s="35" t="str">
        <f ca="1">IFERROR((separ(INDEX(Sheet!AE$2:AE$7967,$A155),"-",2)),"")</f>
        <v/>
      </c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</row>
    <row r="156" spans="1:104" s="29" customFormat="1">
      <c r="A156" s="45" t="str">
        <f ca="1">IFERROR(MATCH($B$3,OFFSET(Sheet!$D$2,A155,0):'Sheet'!$D$7657,0)+A155,"")</f>
        <v/>
      </c>
      <c r="B156" s="29" t="str">
        <f ca="1">IF(ROW(A149)&lt;=COUNT($A$6:$A$800),INDEX(Sheet!$A$2:$A$7967,$A156),IF(ROW(A149)=COUNT($A$6:$A$800)+1," ",IF(ROW(A149)=COUNT($A$6:$A$800)+2,"  ","")))</f>
        <v/>
      </c>
      <c r="C156" s="67" t="str">
        <f ca="1">IF($A156="","",INDEX(Sheet!E$2:E$7967,$A156))</f>
        <v/>
      </c>
      <c r="D156" s="31" t="str">
        <f ca="1">IF(B153=" ",$AR$1,IF(B156=" ",$AQ$1,IF(A156="","",INDEX(Sheet!G$2:G$7967,$A156))))</f>
        <v/>
      </c>
      <c r="E156" s="32" t="str">
        <f ca="1">IF($A156="","",TEXT(INDEX(Sheet!J$2:J$7967,$A156),"#,#")&amp;" "&amp;INDEX(Sheet!AT$2:AT$7967,$A156))</f>
        <v/>
      </c>
      <c r="F156" s="53" t="str">
        <f ca="1">IF($A156="","",INDEX(Sheet!F$2:F$7967,$A156))</f>
        <v/>
      </c>
      <c r="G156" s="32" t="str">
        <f ca="1">IF($A156="","",INDEX(Sheet!I$2:I$7967,$A156))</f>
        <v/>
      </c>
      <c r="H156" s="32" t="str">
        <f ca="1">IF($A156="","",INDEX(Sheet!L$2:L$7967,$A156))</f>
        <v/>
      </c>
      <c r="I156" s="32" t="str">
        <f ca="1">IF($A156="","",INDEX(Sheet!N$2:N$7967,$A156))</f>
        <v/>
      </c>
      <c r="J156" s="53" t="str">
        <f ca="1">IF($A156="","",INDEX(Sheet!AS$2:AS$7967,$A156))</f>
        <v/>
      </c>
      <c r="K156" s="33" t="str">
        <f ca="1">IF($A156="","",IF(INDEX(Sheet!S$2:S$7967,$A156)="","",INDEX(Sheet!S$2:S$7967,$A156)))</f>
        <v/>
      </c>
      <c r="L156" s="33" t="str">
        <f ca="1">IF($A156="","",IF(INDEX(Sheet!R$2:R$7967,$A156)="","",INDEX(Sheet!R$2:R$7967,$A156)))</f>
        <v/>
      </c>
      <c r="M156" s="33" t="str">
        <f ca="1">IF($A156="","",IF(INDEX(Sheet!AO$2:AO$7967,$A156)="","",INDEX(Sheet!AO$2:AO$7967,$A156)))</f>
        <v/>
      </c>
      <c r="N156" s="33" t="str">
        <f ca="1">IF($A156="","",IF(INDEX(Sheet!T$2:T$7967,$A156)="","",INDEX(Sheet!T$2:T$7967,$A156)))</f>
        <v/>
      </c>
      <c r="O156" s="33" t="str">
        <f ca="1">IF($A156="","",IF(INDEX(Sheet!U$2:U$7967,$A156)="","",INDEX(Sheet!U$2:U$7967,$A156)))</f>
        <v/>
      </c>
      <c r="P156" s="33" t="str">
        <f ca="1">IF($A156="","",IF(INDEX(Sheet!W$2:W$7967,$A156)="","",INDEX(Sheet!W$2:W$7967,$A156)))</f>
        <v/>
      </c>
      <c r="Q156" s="33" t="str">
        <f ca="1">IF($A156="","",IF(INDEX(Sheet!V$2:V$7967,$A156)="","",INDEX(Sheet!V$2:V$7967,$A156)))</f>
        <v/>
      </c>
      <c r="R156" s="33" t="str">
        <f ca="1">IF($A156="","",IF(INDEX(Sheet!Z$2:Z$7967,$A156)="","",INDEX(Sheet!Z$2:Z$7967,$A156)))</f>
        <v/>
      </c>
      <c r="S156" s="33" t="str">
        <f ca="1">IF($A156="","",IF(INDEX(Sheet!Y$2:Y$7967,$A156)="","",INDEX(Sheet!Y$2:Y$7967,$A156)))</f>
        <v/>
      </c>
      <c r="T156" s="33" t="str">
        <f ca="1">IF($A156="","",IF(INDEX(Sheet!X$2:X$7967,$A156)="","",INDEX(Sheet!X$2:X$7967,$A156)))</f>
        <v/>
      </c>
      <c r="U156" s="33" t="str">
        <f ca="1">IF($A156="","",IF(INDEX(Sheet!AA$2:AA$7967,$A156)="","",INDEX(Sheet!AA$2:AA$7967,$A156)))</f>
        <v/>
      </c>
      <c r="V156" s="33" t="str">
        <f ca="1">IF($A156="","",IF(INDEX(Sheet!AB$2:AB$7967,$A156)="","",INDEX(Sheet!AB$2:AB$7967,$A156)))</f>
        <v/>
      </c>
      <c r="W156" s="33" t="str">
        <f ca="1">IF($A156="","",IF(INDEX(Sheet!AH$2:AH$7967,$A156)="","",INDEX(Sheet!AH$2:AH$7967,$A156)))</f>
        <v/>
      </c>
      <c r="X156" s="33" t="str">
        <f ca="1">IF($A156="","",IF(INDEX(Sheet!AC$2:AC$7967,$A156)="","",INDEX(Sheet!AC$2:AC$7967,$A156)))</f>
        <v/>
      </c>
      <c r="Y156" s="33" t="str">
        <f ca="1">IF($A156="","",IF(INDEX(Sheet!AD$2:AD$7967,$A156)="","",INDEX(Sheet!AD$2:AD$7967,$A156)))</f>
        <v/>
      </c>
      <c r="Z156" s="33" t="str">
        <f ca="1">IF($A156="","",IF(INDEX(Sheet!AL$2:AL$7967,$A156)="","",INDEX(Sheet!AL$2:AL$7967,$A156)))</f>
        <v/>
      </c>
      <c r="AA156" s="33" t="str">
        <f ca="1">IF($A156="","",IF(INDEX(Sheet!AE$2:AE$7967,$A156)="","",INDEX(Sheet!AE$2:AE$7967,$A156)))</f>
        <v/>
      </c>
      <c r="AB156" s="33" t="str">
        <f ca="1">IF($A156="","",IF(INDEX(Sheet!AF$2:AF$7967,$A156)="","",INDEX(Sheet!AF$2:AF$7967,$A156)))</f>
        <v/>
      </c>
      <c r="AC156" s="33" t="str">
        <f ca="1">IF($A156="","",IF(INDEX(Sheet!AG$2:AG$7967,$A156)="","",INDEX(Sheet!AG$2:AG$7967,$A156)))</f>
        <v/>
      </c>
      <c r="AD156" s="33" t="str">
        <f ca="1">IF($A156="","",IF(INDEX(Sheet!AM$2:AM$7967,$A156)="","",INDEX(Sheet!AM$2:AM$7967,$A156)))</f>
        <v/>
      </c>
      <c r="AE156" s="33" t="str">
        <f ca="1">IF($A156="","",IF(INDEX(Sheet!AJ$2:AJ$7967,$A156)="","",INDEX(Sheet!AJ$2:AJ$7967,$A156)))</f>
        <v/>
      </c>
      <c r="AF156" s="33" t="str">
        <f ca="1">IF($A156="","",IF(INDEX(Sheet!AI$2:AI$7967,$A156)="","",INDEX(Sheet!AI$2:AI$7967,$A156)))</f>
        <v/>
      </c>
      <c r="AG156" s="33" t="str">
        <f ca="1">IF(D156="duyệt sản xuất"," Bảo Bảo, Ngày "&amp;DAY($J$4)&amp;" Tháng "&amp;MONTH($J$4)&amp;" Năm "&amp;YEAR($J$4),IF(D156="Phê duyệt","NGƯỜI LẬP",IF(D156="Nguyễn Ngọc Thắng","NGUYỄN THỊ MAI",IF($A156="","",INDEX(Sheet!AK$2:AK$7967,$A156)))))</f>
        <v/>
      </c>
      <c r="AH156" s="58" t="str">
        <f ca="1">IF($A156="","",INDEX(Sheet!AR$2:AR$7967,$A156)&amp;" ; "&amp;INDEX(Sheet!M$2:M$7967,$A156))</f>
        <v/>
      </c>
      <c r="AI156" s="1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G156" s="35" t="str">
        <f ca="1">IFERROR(VALUE(separ(INDEX(Sheet!Q$2:Q$7967,$A156),"-",1)),"")</f>
        <v/>
      </c>
      <c r="BH156" s="35" t="str">
        <f ca="1">IFERROR(VALUE(separ(INDEX(Sheet!R$2:R$7967,$A156),"-",1)),"")</f>
        <v/>
      </c>
      <c r="BI156" s="35" t="str">
        <f ca="1">IFERROR(VALUE(separ(INDEX(Sheet!S$2:S$7967,$A156),"-",1)),"")</f>
        <v/>
      </c>
      <c r="BJ156" s="35" t="str">
        <f ca="1">IFERROR(VALUE(separ(INDEX(Sheet!T$2:T$7967,$A156),"-",1)),"")</f>
        <v/>
      </c>
      <c r="BK156" s="35" t="str">
        <f ca="1">IFERROR(VALUE(separ(INDEX(Sheet!U$2:U$7967,$A156),"-",1)),"")</f>
        <v/>
      </c>
      <c r="BL156" s="35" t="str">
        <f ca="1">IFERROR(VALUE(separ(INDEX(Sheet!V$2:V$7967,$A156),"-",1)),"")</f>
        <v/>
      </c>
      <c r="BM156" s="35" t="str">
        <f ca="1">IFERROR(VALUE(separ(INDEX(Sheet!W$2:W$7967,$A156),"-",1)),"")</f>
        <v/>
      </c>
      <c r="BN156" s="35" t="str">
        <f ca="1">IFERROR(VALUE(separ(INDEX(Sheet!X$2:X$7967,$A156),"-",1)),"")</f>
        <v/>
      </c>
      <c r="BO156" s="35" t="str">
        <f ca="1">IFERROR(VALUE(separ(INDEX(Sheet!Y$2:Y$7967,$A156),"-",1)),"")</f>
        <v/>
      </c>
      <c r="BP156" s="35" t="str">
        <f ca="1">IFERROR(VALUE(separ(INDEX(Sheet!Z$2:Z$7967,$A156),"-",1)),"")</f>
        <v/>
      </c>
      <c r="BQ156" s="35" t="str">
        <f ca="1">IFERROR(VALUE(separ(INDEX(Sheet!AA$2:AA$7967,$A156),"-",1)),"")</f>
        <v/>
      </c>
      <c r="BR156" s="35" t="str">
        <f ca="1">IFERROR(VALUE(separ(INDEX(Sheet!AB$2:AB$7967,$A156),"-",1)),"")</f>
        <v/>
      </c>
      <c r="BS156" s="35" t="str">
        <f ca="1">IFERROR(VALUE(separ(INDEX(Sheet!AC$2:AC$7967,$A156),"-",1)),"")</f>
        <v/>
      </c>
      <c r="BT156" s="35" t="str">
        <f ca="1">IFERROR(VALUE(separ(INDEX(Sheet!AD$2:AD$7967,$A156),"-",1)),"")</f>
        <v/>
      </c>
      <c r="BU156" s="35" t="str">
        <f ca="1">IFERROR(VALUE(separ(INDEX(Sheet!AE$2:AE$7967,$A156),"-",1)),"")</f>
        <v/>
      </c>
      <c r="BV156" s="35"/>
      <c r="BW156" s="35" t="str">
        <f ca="1">IFERROR((separ(INDEX(Sheet!Q$2:Q$7967,$A156),"-",2)),"")</f>
        <v/>
      </c>
      <c r="BX156" s="35" t="str">
        <f ca="1">IFERROR((separ(INDEX(Sheet!R$2:R$7967,$A156),"-",2)),"")</f>
        <v/>
      </c>
      <c r="BY156" s="35" t="str">
        <f ca="1">IFERROR((separ(INDEX(Sheet!S$2:S$7967,$A156),"-",2)),"")</f>
        <v/>
      </c>
      <c r="BZ156" s="35" t="str">
        <f ca="1">IFERROR((separ(INDEX(Sheet!T$2:T$7967,$A156),"-",2)),"")</f>
        <v/>
      </c>
      <c r="CA156" s="35" t="str">
        <f ca="1">IFERROR((separ(INDEX(Sheet!U$2:U$7967,$A156),"-",2)),"")</f>
        <v/>
      </c>
      <c r="CB156" s="35" t="str">
        <f ca="1">IFERROR((separ(INDEX(Sheet!V$2:V$7967,$A156),"-",2)),"")</f>
        <v/>
      </c>
      <c r="CC156" s="35" t="str">
        <f ca="1">IFERROR((separ(INDEX(Sheet!W$2:W$7967,$A156),"-",2)),"")</f>
        <v/>
      </c>
      <c r="CD156" s="35" t="str">
        <f ca="1">IFERROR((separ(INDEX(Sheet!X$2:X$7967,$A156),"-",2)),"")</f>
        <v/>
      </c>
      <c r="CE156" s="35" t="str">
        <f ca="1">IFERROR((separ(INDEX(Sheet!Y$2:Y$7967,$A156),"-",2)),"")</f>
        <v/>
      </c>
      <c r="CF156" s="35" t="str">
        <f ca="1">IFERROR((separ(INDEX(Sheet!Z$2:Z$7967,$A156),"-",2)),"")</f>
        <v/>
      </c>
      <c r="CG156" s="35" t="str">
        <f ca="1">IFERROR((separ(INDEX(Sheet!AA$2:AA$7967,$A156),"-",2)),"")</f>
        <v/>
      </c>
      <c r="CH156" s="35" t="str">
        <f ca="1">IFERROR((separ(INDEX(Sheet!AB$2:AB$7967,$A156),"-",2)),"")</f>
        <v/>
      </c>
      <c r="CI156" s="35" t="str">
        <f ca="1">IFERROR((separ(INDEX(Sheet!AC$2:AC$7967,$A156),"-",2)),"")</f>
        <v/>
      </c>
      <c r="CJ156" s="35" t="str">
        <f ca="1">IFERROR((separ(INDEX(Sheet!AD$2:AD$7967,$A156),"-",2)),"")</f>
        <v/>
      </c>
      <c r="CK156" s="35" t="str">
        <f ca="1">IFERROR((separ(INDEX(Sheet!AE$2:AE$7967,$A156),"-",2)),"")</f>
        <v/>
      </c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</row>
    <row r="157" spans="1:104" s="29" customFormat="1">
      <c r="A157" s="45" t="str">
        <f ca="1">IFERROR(MATCH($B$3,OFFSET(Sheet!$D$2,A156,0):'Sheet'!$D$7657,0)+A156,"")</f>
        <v/>
      </c>
      <c r="B157" s="29" t="str">
        <f ca="1">IF(ROW(A150)&lt;=COUNT($A$6:$A$800),INDEX(Sheet!$A$2:$A$7967,$A157),IF(ROW(A150)=COUNT($A$6:$A$800)+1," ",IF(ROW(A150)=COUNT($A$6:$A$800)+2,"  ","")))</f>
        <v/>
      </c>
      <c r="C157" s="67" t="str">
        <f ca="1">IF($A157="","",INDEX(Sheet!E$2:E$7967,$A157))</f>
        <v/>
      </c>
      <c r="D157" s="31" t="str">
        <f ca="1">IF(B154=" ",$AR$1,IF(B157=" ",$AQ$1,IF(A157="","",INDEX(Sheet!G$2:G$7967,$A157))))</f>
        <v/>
      </c>
      <c r="E157" s="32" t="str">
        <f ca="1">IF($A157="","",TEXT(INDEX(Sheet!J$2:J$7967,$A157),"#,#")&amp;" "&amp;INDEX(Sheet!AT$2:AT$7967,$A157))</f>
        <v/>
      </c>
      <c r="F157" s="53" t="str">
        <f ca="1">IF($A157="","",INDEX(Sheet!F$2:F$7967,$A157))</f>
        <v/>
      </c>
      <c r="G157" s="32" t="str">
        <f ca="1">IF($A157="","",INDEX(Sheet!I$2:I$7967,$A157))</f>
        <v/>
      </c>
      <c r="H157" s="32" t="str">
        <f ca="1">IF($A157="","",INDEX(Sheet!L$2:L$7967,$A157))</f>
        <v/>
      </c>
      <c r="I157" s="32" t="str">
        <f ca="1">IF($A157="","",INDEX(Sheet!N$2:N$7967,$A157))</f>
        <v/>
      </c>
      <c r="J157" s="53" t="str">
        <f ca="1">IF($A157="","",INDEX(Sheet!AS$2:AS$7967,$A157))</f>
        <v/>
      </c>
      <c r="K157" s="33" t="str">
        <f ca="1">IF($A157="","",IF(INDEX(Sheet!S$2:S$7967,$A157)="","",INDEX(Sheet!S$2:S$7967,$A157)))</f>
        <v/>
      </c>
      <c r="L157" s="33" t="str">
        <f ca="1">IF($A157="","",IF(INDEX(Sheet!R$2:R$7967,$A157)="","",INDEX(Sheet!R$2:R$7967,$A157)))</f>
        <v/>
      </c>
      <c r="M157" s="33" t="str">
        <f ca="1">IF($A157="","",IF(INDEX(Sheet!AO$2:AO$7967,$A157)="","",INDEX(Sheet!AO$2:AO$7967,$A157)))</f>
        <v/>
      </c>
      <c r="N157" s="33" t="str">
        <f ca="1">IF($A157="","",IF(INDEX(Sheet!T$2:T$7967,$A157)="","",INDEX(Sheet!T$2:T$7967,$A157)))</f>
        <v/>
      </c>
      <c r="O157" s="33" t="str">
        <f ca="1">IF($A157="","",IF(INDEX(Sheet!U$2:U$7967,$A157)="","",INDEX(Sheet!U$2:U$7967,$A157)))</f>
        <v/>
      </c>
      <c r="P157" s="33" t="str">
        <f ca="1">IF($A157="","",IF(INDEX(Sheet!W$2:W$7967,$A157)="","",INDEX(Sheet!W$2:W$7967,$A157)))</f>
        <v/>
      </c>
      <c r="Q157" s="33" t="str">
        <f ca="1">IF($A157="","",IF(INDEX(Sheet!V$2:V$7967,$A157)="","",INDEX(Sheet!V$2:V$7967,$A157)))</f>
        <v/>
      </c>
      <c r="R157" s="33" t="str">
        <f ca="1">IF($A157="","",IF(INDEX(Sheet!Z$2:Z$7967,$A157)="","",INDEX(Sheet!Z$2:Z$7967,$A157)))</f>
        <v/>
      </c>
      <c r="S157" s="33" t="str">
        <f ca="1">IF($A157="","",IF(INDEX(Sheet!Y$2:Y$7967,$A157)="","",INDEX(Sheet!Y$2:Y$7967,$A157)))</f>
        <v/>
      </c>
      <c r="T157" s="33" t="str">
        <f ca="1">IF($A157="","",IF(INDEX(Sheet!X$2:X$7967,$A157)="","",INDEX(Sheet!X$2:X$7967,$A157)))</f>
        <v/>
      </c>
      <c r="U157" s="33" t="str">
        <f ca="1">IF($A157="","",IF(INDEX(Sheet!AA$2:AA$7967,$A157)="","",INDEX(Sheet!AA$2:AA$7967,$A157)))</f>
        <v/>
      </c>
      <c r="V157" s="33" t="str">
        <f ca="1">IF($A157="","",IF(INDEX(Sheet!AB$2:AB$7967,$A157)="","",INDEX(Sheet!AB$2:AB$7967,$A157)))</f>
        <v/>
      </c>
      <c r="W157" s="33" t="str">
        <f ca="1">IF($A157="","",IF(INDEX(Sheet!AH$2:AH$7967,$A157)="","",INDEX(Sheet!AH$2:AH$7967,$A157)))</f>
        <v/>
      </c>
      <c r="X157" s="33" t="str">
        <f ca="1">IF($A157="","",IF(INDEX(Sheet!AC$2:AC$7967,$A157)="","",INDEX(Sheet!AC$2:AC$7967,$A157)))</f>
        <v/>
      </c>
      <c r="Y157" s="33" t="str">
        <f ca="1">IF($A157="","",IF(INDEX(Sheet!AD$2:AD$7967,$A157)="","",INDEX(Sheet!AD$2:AD$7967,$A157)))</f>
        <v/>
      </c>
      <c r="Z157" s="33" t="str">
        <f ca="1">IF($A157="","",IF(INDEX(Sheet!AL$2:AL$7967,$A157)="","",INDEX(Sheet!AL$2:AL$7967,$A157)))</f>
        <v/>
      </c>
      <c r="AA157" s="33" t="str">
        <f ca="1">IF($A157="","",IF(INDEX(Sheet!AE$2:AE$7967,$A157)="","",INDEX(Sheet!AE$2:AE$7967,$A157)))</f>
        <v/>
      </c>
      <c r="AB157" s="33" t="str">
        <f ca="1">IF($A157="","",IF(INDEX(Sheet!AF$2:AF$7967,$A157)="","",INDEX(Sheet!AF$2:AF$7967,$A157)))</f>
        <v/>
      </c>
      <c r="AC157" s="33" t="str">
        <f ca="1">IF($A157="","",IF(INDEX(Sheet!AG$2:AG$7967,$A157)="","",INDEX(Sheet!AG$2:AG$7967,$A157)))</f>
        <v/>
      </c>
      <c r="AD157" s="33" t="str">
        <f ca="1">IF($A157="","",IF(INDEX(Sheet!AM$2:AM$7967,$A157)="","",INDEX(Sheet!AM$2:AM$7967,$A157)))</f>
        <v/>
      </c>
      <c r="AE157" s="33" t="str">
        <f ca="1">IF($A157="","",IF(INDEX(Sheet!AJ$2:AJ$7967,$A157)="","",INDEX(Sheet!AJ$2:AJ$7967,$A157)))</f>
        <v/>
      </c>
      <c r="AF157" s="33" t="str">
        <f ca="1">IF($A157="","",IF(INDEX(Sheet!AI$2:AI$7967,$A157)="","",INDEX(Sheet!AI$2:AI$7967,$A157)))</f>
        <v/>
      </c>
      <c r="AG157" s="33" t="str">
        <f ca="1">IF(D157="duyệt sản xuất"," Bảo Bảo, Ngày "&amp;DAY($J$4)&amp;" Tháng "&amp;MONTH($J$4)&amp;" Năm "&amp;YEAR($J$4),IF(D157="Phê duyệt","NGƯỜI LẬP",IF(D157="Nguyễn Ngọc Thắng","NGUYỄN THỊ MAI",IF($A157="","",INDEX(Sheet!AK$2:AK$7967,$A157)))))</f>
        <v/>
      </c>
      <c r="AH157" s="58" t="str">
        <f ca="1">IF($A157="","",INDEX(Sheet!AR$2:AR$7967,$A157)&amp;" ; "&amp;INDEX(Sheet!M$2:M$7967,$A157))</f>
        <v/>
      </c>
      <c r="AI157" s="1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G157" s="35" t="str">
        <f ca="1">IFERROR(VALUE(separ(INDEX(Sheet!Q$2:Q$7967,$A157),"-",1)),"")</f>
        <v/>
      </c>
      <c r="BH157" s="35" t="str">
        <f ca="1">IFERROR(VALUE(separ(INDEX(Sheet!R$2:R$7967,$A157),"-",1)),"")</f>
        <v/>
      </c>
      <c r="BI157" s="35" t="str">
        <f ca="1">IFERROR(VALUE(separ(INDEX(Sheet!S$2:S$7967,$A157),"-",1)),"")</f>
        <v/>
      </c>
      <c r="BJ157" s="35" t="str">
        <f ca="1">IFERROR(VALUE(separ(INDEX(Sheet!T$2:T$7967,$A157),"-",1)),"")</f>
        <v/>
      </c>
      <c r="BK157" s="35" t="str">
        <f ca="1">IFERROR(VALUE(separ(INDEX(Sheet!U$2:U$7967,$A157),"-",1)),"")</f>
        <v/>
      </c>
      <c r="BL157" s="35" t="str">
        <f ca="1">IFERROR(VALUE(separ(INDEX(Sheet!V$2:V$7967,$A157),"-",1)),"")</f>
        <v/>
      </c>
      <c r="BM157" s="35" t="str">
        <f ca="1">IFERROR(VALUE(separ(INDEX(Sheet!W$2:W$7967,$A157),"-",1)),"")</f>
        <v/>
      </c>
      <c r="BN157" s="35" t="str">
        <f ca="1">IFERROR(VALUE(separ(INDEX(Sheet!X$2:X$7967,$A157),"-",1)),"")</f>
        <v/>
      </c>
      <c r="BO157" s="35" t="str">
        <f ca="1">IFERROR(VALUE(separ(INDEX(Sheet!Y$2:Y$7967,$A157),"-",1)),"")</f>
        <v/>
      </c>
      <c r="BP157" s="35" t="str">
        <f ca="1">IFERROR(VALUE(separ(INDEX(Sheet!Z$2:Z$7967,$A157),"-",1)),"")</f>
        <v/>
      </c>
      <c r="BQ157" s="35" t="str">
        <f ca="1">IFERROR(VALUE(separ(INDEX(Sheet!AA$2:AA$7967,$A157),"-",1)),"")</f>
        <v/>
      </c>
      <c r="BR157" s="35" t="str">
        <f ca="1">IFERROR(VALUE(separ(INDEX(Sheet!AB$2:AB$7967,$A157),"-",1)),"")</f>
        <v/>
      </c>
      <c r="BS157" s="35" t="str">
        <f ca="1">IFERROR(VALUE(separ(INDEX(Sheet!AC$2:AC$7967,$A157),"-",1)),"")</f>
        <v/>
      </c>
      <c r="BT157" s="35" t="str">
        <f ca="1">IFERROR(VALUE(separ(INDEX(Sheet!AD$2:AD$7967,$A157),"-",1)),"")</f>
        <v/>
      </c>
      <c r="BU157" s="35" t="str">
        <f ca="1">IFERROR(VALUE(separ(INDEX(Sheet!AE$2:AE$7967,$A157),"-",1)),"")</f>
        <v/>
      </c>
      <c r="BV157" s="35"/>
      <c r="BW157" s="35" t="str">
        <f ca="1">IFERROR((separ(INDEX(Sheet!Q$2:Q$7967,$A157),"-",2)),"")</f>
        <v/>
      </c>
      <c r="BX157" s="35" t="str">
        <f ca="1">IFERROR((separ(INDEX(Sheet!R$2:R$7967,$A157),"-",2)),"")</f>
        <v/>
      </c>
      <c r="BY157" s="35" t="str">
        <f ca="1">IFERROR((separ(INDEX(Sheet!S$2:S$7967,$A157),"-",2)),"")</f>
        <v/>
      </c>
      <c r="BZ157" s="35" t="str">
        <f ca="1">IFERROR((separ(INDEX(Sheet!T$2:T$7967,$A157),"-",2)),"")</f>
        <v/>
      </c>
      <c r="CA157" s="35" t="str">
        <f ca="1">IFERROR((separ(INDEX(Sheet!U$2:U$7967,$A157),"-",2)),"")</f>
        <v/>
      </c>
      <c r="CB157" s="35" t="str">
        <f ca="1">IFERROR((separ(INDEX(Sheet!V$2:V$7967,$A157),"-",2)),"")</f>
        <v/>
      </c>
      <c r="CC157" s="35" t="str">
        <f ca="1">IFERROR((separ(INDEX(Sheet!W$2:W$7967,$A157),"-",2)),"")</f>
        <v/>
      </c>
      <c r="CD157" s="35" t="str">
        <f ca="1">IFERROR((separ(INDEX(Sheet!X$2:X$7967,$A157),"-",2)),"")</f>
        <v/>
      </c>
      <c r="CE157" s="35" t="str">
        <f ca="1">IFERROR((separ(INDEX(Sheet!Y$2:Y$7967,$A157),"-",2)),"")</f>
        <v/>
      </c>
      <c r="CF157" s="35" t="str">
        <f ca="1">IFERROR((separ(INDEX(Sheet!Z$2:Z$7967,$A157),"-",2)),"")</f>
        <v/>
      </c>
      <c r="CG157" s="35" t="str">
        <f ca="1">IFERROR((separ(INDEX(Sheet!AA$2:AA$7967,$A157),"-",2)),"")</f>
        <v/>
      </c>
      <c r="CH157" s="35" t="str">
        <f ca="1">IFERROR((separ(INDEX(Sheet!AB$2:AB$7967,$A157),"-",2)),"")</f>
        <v/>
      </c>
      <c r="CI157" s="35" t="str">
        <f ca="1">IFERROR((separ(INDEX(Sheet!AC$2:AC$7967,$A157),"-",2)),"")</f>
        <v/>
      </c>
      <c r="CJ157" s="35" t="str">
        <f ca="1">IFERROR((separ(INDEX(Sheet!AD$2:AD$7967,$A157),"-",2)),"")</f>
        <v/>
      </c>
      <c r="CK157" s="35" t="str">
        <f ca="1">IFERROR((separ(INDEX(Sheet!AE$2:AE$7967,$A157),"-",2)),"")</f>
        <v/>
      </c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</row>
    <row r="158" spans="1:104" s="29" customFormat="1">
      <c r="A158" s="45" t="str">
        <f ca="1">IFERROR(MATCH($B$3,OFFSET(Sheet!$D$2,A157,0):'Sheet'!$D$7657,0)+A157,"")</f>
        <v/>
      </c>
      <c r="B158" s="29" t="str">
        <f ca="1">IF(ROW(A151)&lt;=COUNT($A$6:$A$800),INDEX(Sheet!$A$2:$A$7967,$A158),IF(ROW(A151)=COUNT($A$6:$A$800)+1," ",IF(ROW(A151)=COUNT($A$6:$A$800)+2,"  ","")))</f>
        <v/>
      </c>
      <c r="C158" s="67" t="str">
        <f ca="1">IF($A158="","",INDEX(Sheet!E$2:E$7967,$A158))</f>
        <v/>
      </c>
      <c r="D158" s="31" t="str">
        <f ca="1">IF(B155=" ",$AR$1,IF(B158=" ",$AQ$1,IF(A158="","",INDEX(Sheet!G$2:G$7967,$A158))))</f>
        <v/>
      </c>
      <c r="E158" s="32" t="str">
        <f ca="1">IF($A158="","",TEXT(INDEX(Sheet!J$2:J$7967,$A158),"#,#")&amp;" "&amp;INDEX(Sheet!AT$2:AT$7967,$A158))</f>
        <v/>
      </c>
      <c r="F158" s="53" t="str">
        <f ca="1">IF($A158="","",INDEX(Sheet!F$2:F$7967,$A158))</f>
        <v/>
      </c>
      <c r="G158" s="32" t="str">
        <f ca="1">IF($A158="","",INDEX(Sheet!I$2:I$7967,$A158))</f>
        <v/>
      </c>
      <c r="H158" s="32" t="str">
        <f ca="1">IF($A158="","",INDEX(Sheet!L$2:L$7967,$A158))</f>
        <v/>
      </c>
      <c r="I158" s="32" t="str">
        <f ca="1">IF($A158="","",INDEX(Sheet!N$2:N$7967,$A158))</f>
        <v/>
      </c>
      <c r="J158" s="53" t="str">
        <f ca="1">IF($A158="","",INDEX(Sheet!AS$2:AS$7967,$A158))</f>
        <v/>
      </c>
      <c r="K158" s="33" t="str">
        <f ca="1">IF($A158="","",IF(INDEX(Sheet!S$2:S$7967,$A158)="","",INDEX(Sheet!S$2:S$7967,$A158)))</f>
        <v/>
      </c>
      <c r="L158" s="33" t="str">
        <f ca="1">IF($A158="","",IF(INDEX(Sheet!R$2:R$7967,$A158)="","",INDEX(Sheet!R$2:R$7967,$A158)))</f>
        <v/>
      </c>
      <c r="M158" s="33" t="str">
        <f ca="1">IF($A158="","",IF(INDEX(Sheet!AO$2:AO$7967,$A158)="","",INDEX(Sheet!AO$2:AO$7967,$A158)))</f>
        <v/>
      </c>
      <c r="N158" s="33" t="str">
        <f ca="1">IF($A158="","",IF(INDEX(Sheet!T$2:T$7967,$A158)="","",INDEX(Sheet!T$2:T$7967,$A158)))</f>
        <v/>
      </c>
      <c r="O158" s="33" t="str">
        <f ca="1">IF($A158="","",IF(INDEX(Sheet!U$2:U$7967,$A158)="","",INDEX(Sheet!U$2:U$7967,$A158)))</f>
        <v/>
      </c>
      <c r="P158" s="33" t="str">
        <f ca="1">IF($A158="","",IF(INDEX(Sheet!W$2:W$7967,$A158)="","",INDEX(Sheet!W$2:W$7967,$A158)))</f>
        <v/>
      </c>
      <c r="Q158" s="33" t="str">
        <f ca="1">IF($A158="","",IF(INDEX(Sheet!V$2:V$7967,$A158)="","",INDEX(Sheet!V$2:V$7967,$A158)))</f>
        <v/>
      </c>
      <c r="R158" s="33" t="str">
        <f ca="1">IF($A158="","",IF(INDEX(Sheet!Z$2:Z$7967,$A158)="","",INDEX(Sheet!Z$2:Z$7967,$A158)))</f>
        <v/>
      </c>
      <c r="S158" s="33" t="str">
        <f ca="1">IF($A158="","",IF(INDEX(Sheet!Y$2:Y$7967,$A158)="","",INDEX(Sheet!Y$2:Y$7967,$A158)))</f>
        <v/>
      </c>
      <c r="T158" s="33" t="str">
        <f ca="1">IF($A158="","",IF(INDEX(Sheet!X$2:X$7967,$A158)="","",INDEX(Sheet!X$2:X$7967,$A158)))</f>
        <v/>
      </c>
      <c r="U158" s="33" t="str">
        <f ca="1">IF($A158="","",IF(INDEX(Sheet!AA$2:AA$7967,$A158)="","",INDEX(Sheet!AA$2:AA$7967,$A158)))</f>
        <v/>
      </c>
      <c r="V158" s="33" t="str">
        <f ca="1">IF($A158="","",IF(INDEX(Sheet!AB$2:AB$7967,$A158)="","",INDEX(Sheet!AB$2:AB$7967,$A158)))</f>
        <v/>
      </c>
      <c r="W158" s="33" t="str">
        <f ca="1">IF($A158="","",IF(INDEX(Sheet!AH$2:AH$7967,$A158)="","",INDEX(Sheet!AH$2:AH$7967,$A158)))</f>
        <v/>
      </c>
      <c r="X158" s="33" t="str">
        <f ca="1">IF($A158="","",IF(INDEX(Sheet!AC$2:AC$7967,$A158)="","",INDEX(Sheet!AC$2:AC$7967,$A158)))</f>
        <v/>
      </c>
      <c r="Y158" s="33" t="str">
        <f ca="1">IF($A158="","",IF(INDEX(Sheet!AD$2:AD$7967,$A158)="","",INDEX(Sheet!AD$2:AD$7967,$A158)))</f>
        <v/>
      </c>
      <c r="Z158" s="33" t="str">
        <f ca="1">IF($A158="","",IF(INDEX(Sheet!AL$2:AL$7967,$A158)="","",INDEX(Sheet!AL$2:AL$7967,$A158)))</f>
        <v/>
      </c>
      <c r="AA158" s="33" t="str">
        <f ca="1">IF($A158="","",IF(INDEX(Sheet!AE$2:AE$7967,$A158)="","",INDEX(Sheet!AE$2:AE$7967,$A158)))</f>
        <v/>
      </c>
      <c r="AB158" s="33" t="str">
        <f ca="1">IF($A158="","",IF(INDEX(Sheet!AF$2:AF$7967,$A158)="","",INDEX(Sheet!AF$2:AF$7967,$A158)))</f>
        <v/>
      </c>
      <c r="AC158" s="33" t="str">
        <f ca="1">IF($A158="","",IF(INDEX(Sheet!AG$2:AG$7967,$A158)="","",INDEX(Sheet!AG$2:AG$7967,$A158)))</f>
        <v/>
      </c>
      <c r="AD158" s="33" t="str">
        <f ca="1">IF($A158="","",IF(INDEX(Sheet!AM$2:AM$7967,$A158)="","",INDEX(Sheet!AM$2:AM$7967,$A158)))</f>
        <v/>
      </c>
      <c r="AE158" s="33" t="str">
        <f ca="1">IF($A158="","",IF(INDEX(Sheet!AJ$2:AJ$7967,$A158)="","",INDEX(Sheet!AJ$2:AJ$7967,$A158)))</f>
        <v/>
      </c>
      <c r="AF158" s="33" t="str">
        <f ca="1">IF($A158="","",IF(INDEX(Sheet!AI$2:AI$7967,$A158)="","",INDEX(Sheet!AI$2:AI$7967,$A158)))</f>
        <v/>
      </c>
      <c r="AG158" s="33" t="str">
        <f ca="1">IF(D158="duyệt sản xuất"," Bảo Bảo, Ngày "&amp;DAY($J$4)&amp;" Tháng "&amp;MONTH($J$4)&amp;" Năm "&amp;YEAR($J$4),IF(D158="Phê duyệt","NGƯỜI LẬP",IF(D158="Nguyễn Ngọc Thắng","NGUYỄN THỊ MAI",IF($A158="","",INDEX(Sheet!AK$2:AK$7967,$A158)))))</f>
        <v/>
      </c>
      <c r="AH158" s="58" t="str">
        <f ca="1">IF($A158="","",INDEX(Sheet!AR$2:AR$7967,$A158)&amp;" ; "&amp;INDEX(Sheet!M$2:M$7967,$A158))</f>
        <v/>
      </c>
      <c r="AI158" s="1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G158" s="35" t="str">
        <f ca="1">IFERROR(VALUE(separ(INDEX(Sheet!Q$2:Q$7967,$A158),"-",1)),"")</f>
        <v/>
      </c>
      <c r="BH158" s="35" t="str">
        <f ca="1">IFERROR(VALUE(separ(INDEX(Sheet!R$2:R$7967,$A158),"-",1)),"")</f>
        <v/>
      </c>
      <c r="BI158" s="35" t="str">
        <f ca="1">IFERROR(VALUE(separ(INDEX(Sheet!S$2:S$7967,$A158),"-",1)),"")</f>
        <v/>
      </c>
      <c r="BJ158" s="35" t="str">
        <f ca="1">IFERROR(VALUE(separ(INDEX(Sheet!T$2:T$7967,$A158),"-",1)),"")</f>
        <v/>
      </c>
      <c r="BK158" s="35" t="str">
        <f ca="1">IFERROR(VALUE(separ(INDEX(Sheet!U$2:U$7967,$A158),"-",1)),"")</f>
        <v/>
      </c>
      <c r="BL158" s="35" t="str">
        <f ca="1">IFERROR(VALUE(separ(INDEX(Sheet!V$2:V$7967,$A158),"-",1)),"")</f>
        <v/>
      </c>
      <c r="BM158" s="35" t="str">
        <f ca="1">IFERROR(VALUE(separ(INDEX(Sheet!W$2:W$7967,$A158),"-",1)),"")</f>
        <v/>
      </c>
      <c r="BN158" s="35" t="str">
        <f ca="1">IFERROR(VALUE(separ(INDEX(Sheet!X$2:X$7967,$A158),"-",1)),"")</f>
        <v/>
      </c>
      <c r="BO158" s="35" t="str">
        <f ca="1">IFERROR(VALUE(separ(INDEX(Sheet!Y$2:Y$7967,$A158),"-",1)),"")</f>
        <v/>
      </c>
      <c r="BP158" s="35" t="str">
        <f ca="1">IFERROR(VALUE(separ(INDEX(Sheet!Z$2:Z$7967,$A158),"-",1)),"")</f>
        <v/>
      </c>
      <c r="BQ158" s="35" t="str">
        <f ca="1">IFERROR(VALUE(separ(INDEX(Sheet!AA$2:AA$7967,$A158),"-",1)),"")</f>
        <v/>
      </c>
      <c r="BR158" s="35" t="str">
        <f ca="1">IFERROR(VALUE(separ(INDEX(Sheet!AB$2:AB$7967,$A158),"-",1)),"")</f>
        <v/>
      </c>
      <c r="BS158" s="35" t="str">
        <f ca="1">IFERROR(VALUE(separ(INDEX(Sheet!AC$2:AC$7967,$A158),"-",1)),"")</f>
        <v/>
      </c>
      <c r="BT158" s="35" t="str">
        <f ca="1">IFERROR(VALUE(separ(INDEX(Sheet!AD$2:AD$7967,$A158),"-",1)),"")</f>
        <v/>
      </c>
      <c r="BU158" s="35" t="str">
        <f ca="1">IFERROR(VALUE(separ(INDEX(Sheet!AE$2:AE$7967,$A158),"-",1)),"")</f>
        <v/>
      </c>
      <c r="BV158" s="35"/>
      <c r="BW158" s="35" t="str">
        <f ca="1">IFERROR((separ(INDEX(Sheet!Q$2:Q$7967,$A158),"-",2)),"")</f>
        <v/>
      </c>
      <c r="BX158" s="35" t="str">
        <f ca="1">IFERROR((separ(INDEX(Sheet!R$2:R$7967,$A158),"-",2)),"")</f>
        <v/>
      </c>
      <c r="BY158" s="35" t="str">
        <f ca="1">IFERROR((separ(INDEX(Sheet!S$2:S$7967,$A158),"-",2)),"")</f>
        <v/>
      </c>
      <c r="BZ158" s="35" t="str">
        <f ca="1">IFERROR((separ(INDEX(Sheet!T$2:T$7967,$A158),"-",2)),"")</f>
        <v/>
      </c>
      <c r="CA158" s="35" t="str">
        <f ca="1">IFERROR((separ(INDEX(Sheet!U$2:U$7967,$A158),"-",2)),"")</f>
        <v/>
      </c>
      <c r="CB158" s="35" t="str">
        <f ca="1">IFERROR((separ(INDEX(Sheet!V$2:V$7967,$A158),"-",2)),"")</f>
        <v/>
      </c>
      <c r="CC158" s="35" t="str">
        <f ca="1">IFERROR((separ(INDEX(Sheet!W$2:W$7967,$A158),"-",2)),"")</f>
        <v/>
      </c>
      <c r="CD158" s="35" t="str">
        <f ca="1">IFERROR((separ(INDEX(Sheet!X$2:X$7967,$A158),"-",2)),"")</f>
        <v/>
      </c>
      <c r="CE158" s="35" t="str">
        <f ca="1">IFERROR((separ(INDEX(Sheet!Y$2:Y$7967,$A158),"-",2)),"")</f>
        <v/>
      </c>
      <c r="CF158" s="35" t="str">
        <f ca="1">IFERROR((separ(INDEX(Sheet!Z$2:Z$7967,$A158),"-",2)),"")</f>
        <v/>
      </c>
      <c r="CG158" s="35" t="str">
        <f ca="1">IFERROR((separ(INDEX(Sheet!AA$2:AA$7967,$A158),"-",2)),"")</f>
        <v/>
      </c>
      <c r="CH158" s="35" t="str">
        <f ca="1">IFERROR((separ(INDEX(Sheet!AB$2:AB$7967,$A158),"-",2)),"")</f>
        <v/>
      </c>
      <c r="CI158" s="35" t="str">
        <f ca="1">IFERROR((separ(INDEX(Sheet!AC$2:AC$7967,$A158),"-",2)),"")</f>
        <v/>
      </c>
      <c r="CJ158" s="35" t="str">
        <f ca="1">IFERROR((separ(INDEX(Sheet!AD$2:AD$7967,$A158),"-",2)),"")</f>
        <v/>
      </c>
      <c r="CK158" s="35" t="str">
        <f ca="1">IFERROR((separ(INDEX(Sheet!AE$2:AE$7967,$A158),"-",2)),"")</f>
        <v/>
      </c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</row>
    <row r="159" spans="1:104" s="29" customFormat="1">
      <c r="A159" s="45" t="str">
        <f ca="1">IFERROR(MATCH($B$3,OFFSET(Sheet!$D$2,A158,0):'Sheet'!$D$7657,0)+A158,"")</f>
        <v/>
      </c>
      <c r="B159" s="29" t="str">
        <f ca="1">IF(ROW(A152)&lt;=COUNT($A$6:$A$800),INDEX(Sheet!$A$2:$A$7967,$A159),IF(ROW(A152)=COUNT($A$6:$A$800)+1," ",IF(ROW(A152)=COUNT($A$6:$A$800)+2,"  ","")))</f>
        <v/>
      </c>
      <c r="C159" s="67" t="str">
        <f ca="1">IF($A159="","",INDEX(Sheet!E$2:E$7967,$A159))</f>
        <v/>
      </c>
      <c r="D159" s="31" t="str">
        <f ca="1">IF(B156=" ",$AR$1,IF(B159=" ",$AQ$1,IF(A159="","",INDEX(Sheet!G$2:G$7967,$A159))))</f>
        <v/>
      </c>
      <c r="E159" s="32" t="str">
        <f ca="1">IF($A159="","",TEXT(INDEX(Sheet!J$2:J$7967,$A159),"#,#")&amp;" "&amp;INDEX(Sheet!AT$2:AT$7967,$A159))</f>
        <v/>
      </c>
      <c r="F159" s="53" t="str">
        <f ca="1">IF($A159="","",INDEX(Sheet!F$2:F$7967,$A159))</f>
        <v/>
      </c>
      <c r="G159" s="32" t="str">
        <f ca="1">IF($A159="","",INDEX(Sheet!I$2:I$7967,$A159))</f>
        <v/>
      </c>
      <c r="H159" s="32" t="str">
        <f ca="1">IF($A159="","",INDEX(Sheet!L$2:L$7967,$A159))</f>
        <v/>
      </c>
      <c r="I159" s="32" t="str">
        <f ca="1">IF($A159="","",INDEX(Sheet!N$2:N$7967,$A159))</f>
        <v/>
      </c>
      <c r="J159" s="53" t="str">
        <f ca="1">IF($A159="","",INDEX(Sheet!AS$2:AS$7967,$A159))</f>
        <v/>
      </c>
      <c r="K159" s="33" t="str">
        <f ca="1">IF($A159="","",IF(INDEX(Sheet!S$2:S$7967,$A159)="","",INDEX(Sheet!S$2:S$7967,$A159)))</f>
        <v/>
      </c>
      <c r="L159" s="33" t="str">
        <f ca="1">IF($A159="","",IF(INDEX(Sheet!R$2:R$7967,$A159)="","",INDEX(Sheet!R$2:R$7967,$A159)))</f>
        <v/>
      </c>
      <c r="M159" s="33" t="str">
        <f ca="1">IF($A159="","",IF(INDEX(Sheet!AO$2:AO$7967,$A159)="","",INDEX(Sheet!AO$2:AO$7967,$A159)))</f>
        <v/>
      </c>
      <c r="N159" s="33" t="str">
        <f ca="1">IF($A159="","",IF(INDEX(Sheet!T$2:T$7967,$A159)="","",INDEX(Sheet!T$2:T$7967,$A159)))</f>
        <v/>
      </c>
      <c r="O159" s="33" t="str">
        <f ca="1">IF($A159="","",IF(INDEX(Sheet!U$2:U$7967,$A159)="","",INDEX(Sheet!U$2:U$7967,$A159)))</f>
        <v/>
      </c>
      <c r="P159" s="33" t="str">
        <f ca="1">IF($A159="","",IF(INDEX(Sheet!W$2:W$7967,$A159)="","",INDEX(Sheet!W$2:W$7967,$A159)))</f>
        <v/>
      </c>
      <c r="Q159" s="33" t="str">
        <f ca="1">IF($A159="","",IF(INDEX(Sheet!V$2:V$7967,$A159)="","",INDEX(Sheet!V$2:V$7967,$A159)))</f>
        <v/>
      </c>
      <c r="R159" s="33" t="str">
        <f ca="1">IF($A159="","",IF(INDEX(Sheet!Z$2:Z$7967,$A159)="","",INDEX(Sheet!Z$2:Z$7967,$A159)))</f>
        <v/>
      </c>
      <c r="S159" s="33" t="str">
        <f ca="1">IF($A159="","",IF(INDEX(Sheet!Y$2:Y$7967,$A159)="","",INDEX(Sheet!Y$2:Y$7967,$A159)))</f>
        <v/>
      </c>
      <c r="T159" s="33" t="str">
        <f ca="1">IF($A159="","",IF(INDEX(Sheet!X$2:X$7967,$A159)="","",INDEX(Sheet!X$2:X$7967,$A159)))</f>
        <v/>
      </c>
      <c r="U159" s="33" t="str">
        <f ca="1">IF($A159="","",IF(INDEX(Sheet!AA$2:AA$7967,$A159)="","",INDEX(Sheet!AA$2:AA$7967,$A159)))</f>
        <v/>
      </c>
      <c r="V159" s="33" t="str">
        <f ca="1">IF($A159="","",IF(INDEX(Sheet!AB$2:AB$7967,$A159)="","",INDEX(Sheet!AB$2:AB$7967,$A159)))</f>
        <v/>
      </c>
      <c r="W159" s="33" t="str">
        <f ca="1">IF($A159="","",IF(INDEX(Sheet!AH$2:AH$7967,$A159)="","",INDEX(Sheet!AH$2:AH$7967,$A159)))</f>
        <v/>
      </c>
      <c r="X159" s="33" t="str">
        <f ca="1">IF($A159="","",IF(INDEX(Sheet!AC$2:AC$7967,$A159)="","",INDEX(Sheet!AC$2:AC$7967,$A159)))</f>
        <v/>
      </c>
      <c r="Y159" s="33" t="str">
        <f ca="1">IF($A159="","",IF(INDEX(Sheet!AD$2:AD$7967,$A159)="","",INDEX(Sheet!AD$2:AD$7967,$A159)))</f>
        <v/>
      </c>
      <c r="Z159" s="33" t="str">
        <f ca="1">IF($A159="","",IF(INDEX(Sheet!AL$2:AL$7967,$A159)="","",INDEX(Sheet!AL$2:AL$7967,$A159)))</f>
        <v/>
      </c>
      <c r="AA159" s="33" t="str">
        <f ca="1">IF($A159="","",IF(INDEX(Sheet!AE$2:AE$7967,$A159)="","",INDEX(Sheet!AE$2:AE$7967,$A159)))</f>
        <v/>
      </c>
      <c r="AB159" s="33" t="str">
        <f ca="1">IF($A159="","",IF(INDEX(Sheet!AF$2:AF$7967,$A159)="","",INDEX(Sheet!AF$2:AF$7967,$A159)))</f>
        <v/>
      </c>
      <c r="AC159" s="33" t="str">
        <f ca="1">IF($A159="","",IF(INDEX(Sheet!AG$2:AG$7967,$A159)="","",INDEX(Sheet!AG$2:AG$7967,$A159)))</f>
        <v/>
      </c>
      <c r="AD159" s="33" t="str">
        <f ca="1">IF($A159="","",IF(INDEX(Sheet!AM$2:AM$7967,$A159)="","",INDEX(Sheet!AM$2:AM$7967,$A159)))</f>
        <v/>
      </c>
      <c r="AE159" s="33" t="str">
        <f ca="1">IF($A159="","",IF(INDEX(Sheet!AJ$2:AJ$7967,$A159)="","",INDEX(Sheet!AJ$2:AJ$7967,$A159)))</f>
        <v/>
      </c>
      <c r="AF159" s="33" t="str">
        <f ca="1">IF($A159="","",IF(INDEX(Sheet!AI$2:AI$7967,$A159)="","",INDEX(Sheet!AI$2:AI$7967,$A159)))</f>
        <v/>
      </c>
      <c r="AG159" s="33" t="str">
        <f ca="1">IF(D159="duyệt sản xuất"," Bảo Bảo, Ngày "&amp;DAY($J$4)&amp;" Tháng "&amp;MONTH($J$4)&amp;" Năm "&amp;YEAR($J$4),IF(D159="Phê duyệt","NGƯỜI LẬP",IF(D159="Nguyễn Ngọc Thắng","NGUYỄN THỊ MAI",IF($A159="","",INDEX(Sheet!AK$2:AK$7967,$A159)))))</f>
        <v/>
      </c>
      <c r="AH159" s="58" t="str">
        <f ca="1">IF($A159="","",INDEX(Sheet!AR$2:AR$7967,$A159)&amp;" ; "&amp;INDEX(Sheet!M$2:M$7967,$A159))</f>
        <v/>
      </c>
      <c r="AI159" s="1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G159" s="35" t="str">
        <f ca="1">IFERROR(VALUE(separ(INDEX(Sheet!Q$2:Q$7967,$A159),"-",1)),"")</f>
        <v/>
      </c>
      <c r="BH159" s="35" t="str">
        <f ca="1">IFERROR(VALUE(separ(INDEX(Sheet!R$2:R$7967,$A159),"-",1)),"")</f>
        <v/>
      </c>
      <c r="BI159" s="35" t="str">
        <f ca="1">IFERROR(VALUE(separ(INDEX(Sheet!S$2:S$7967,$A159),"-",1)),"")</f>
        <v/>
      </c>
      <c r="BJ159" s="35" t="str">
        <f ca="1">IFERROR(VALUE(separ(INDEX(Sheet!T$2:T$7967,$A159),"-",1)),"")</f>
        <v/>
      </c>
      <c r="BK159" s="35" t="str">
        <f ca="1">IFERROR(VALUE(separ(INDEX(Sheet!U$2:U$7967,$A159),"-",1)),"")</f>
        <v/>
      </c>
      <c r="BL159" s="35" t="str">
        <f ca="1">IFERROR(VALUE(separ(INDEX(Sheet!V$2:V$7967,$A159),"-",1)),"")</f>
        <v/>
      </c>
      <c r="BM159" s="35" t="str">
        <f ca="1">IFERROR(VALUE(separ(INDEX(Sheet!W$2:W$7967,$A159),"-",1)),"")</f>
        <v/>
      </c>
      <c r="BN159" s="35" t="str">
        <f ca="1">IFERROR(VALUE(separ(INDEX(Sheet!X$2:X$7967,$A159),"-",1)),"")</f>
        <v/>
      </c>
      <c r="BO159" s="35" t="str">
        <f ca="1">IFERROR(VALUE(separ(INDEX(Sheet!Y$2:Y$7967,$A159),"-",1)),"")</f>
        <v/>
      </c>
      <c r="BP159" s="35" t="str">
        <f ca="1">IFERROR(VALUE(separ(INDEX(Sheet!Z$2:Z$7967,$A159),"-",1)),"")</f>
        <v/>
      </c>
      <c r="BQ159" s="35" t="str">
        <f ca="1">IFERROR(VALUE(separ(INDEX(Sheet!AA$2:AA$7967,$A159),"-",1)),"")</f>
        <v/>
      </c>
      <c r="BR159" s="35" t="str">
        <f ca="1">IFERROR(VALUE(separ(INDEX(Sheet!AB$2:AB$7967,$A159),"-",1)),"")</f>
        <v/>
      </c>
      <c r="BS159" s="35" t="str">
        <f ca="1">IFERROR(VALUE(separ(INDEX(Sheet!AC$2:AC$7967,$A159),"-",1)),"")</f>
        <v/>
      </c>
      <c r="BT159" s="35" t="str">
        <f ca="1">IFERROR(VALUE(separ(INDEX(Sheet!AD$2:AD$7967,$A159),"-",1)),"")</f>
        <v/>
      </c>
      <c r="BU159" s="35" t="str">
        <f ca="1">IFERROR(VALUE(separ(INDEX(Sheet!AE$2:AE$7967,$A159),"-",1)),"")</f>
        <v/>
      </c>
      <c r="BV159" s="35"/>
      <c r="BW159" s="35" t="str">
        <f ca="1">IFERROR((separ(INDEX(Sheet!Q$2:Q$7967,$A159),"-",2)),"")</f>
        <v/>
      </c>
      <c r="BX159" s="35" t="str">
        <f ca="1">IFERROR((separ(INDEX(Sheet!R$2:R$7967,$A159),"-",2)),"")</f>
        <v/>
      </c>
      <c r="BY159" s="35" t="str">
        <f ca="1">IFERROR((separ(INDEX(Sheet!S$2:S$7967,$A159),"-",2)),"")</f>
        <v/>
      </c>
      <c r="BZ159" s="35" t="str">
        <f ca="1">IFERROR((separ(INDEX(Sheet!T$2:T$7967,$A159),"-",2)),"")</f>
        <v/>
      </c>
      <c r="CA159" s="35" t="str">
        <f ca="1">IFERROR((separ(INDEX(Sheet!U$2:U$7967,$A159),"-",2)),"")</f>
        <v/>
      </c>
      <c r="CB159" s="35" t="str">
        <f ca="1">IFERROR((separ(INDEX(Sheet!V$2:V$7967,$A159),"-",2)),"")</f>
        <v/>
      </c>
      <c r="CC159" s="35" t="str">
        <f ca="1">IFERROR((separ(INDEX(Sheet!W$2:W$7967,$A159),"-",2)),"")</f>
        <v/>
      </c>
      <c r="CD159" s="35" t="str">
        <f ca="1">IFERROR((separ(INDEX(Sheet!X$2:X$7967,$A159),"-",2)),"")</f>
        <v/>
      </c>
      <c r="CE159" s="35" t="str">
        <f ca="1">IFERROR((separ(INDEX(Sheet!Y$2:Y$7967,$A159),"-",2)),"")</f>
        <v/>
      </c>
      <c r="CF159" s="35" t="str">
        <f ca="1">IFERROR((separ(INDEX(Sheet!Z$2:Z$7967,$A159),"-",2)),"")</f>
        <v/>
      </c>
      <c r="CG159" s="35" t="str">
        <f ca="1">IFERROR((separ(INDEX(Sheet!AA$2:AA$7967,$A159),"-",2)),"")</f>
        <v/>
      </c>
      <c r="CH159" s="35" t="str">
        <f ca="1">IFERROR((separ(INDEX(Sheet!AB$2:AB$7967,$A159),"-",2)),"")</f>
        <v/>
      </c>
      <c r="CI159" s="35" t="str">
        <f ca="1">IFERROR((separ(INDEX(Sheet!AC$2:AC$7967,$A159),"-",2)),"")</f>
        <v/>
      </c>
      <c r="CJ159" s="35" t="str">
        <f ca="1">IFERROR((separ(INDEX(Sheet!AD$2:AD$7967,$A159),"-",2)),"")</f>
        <v/>
      </c>
      <c r="CK159" s="35" t="str">
        <f ca="1">IFERROR((separ(INDEX(Sheet!AE$2:AE$7967,$A159),"-",2)),"")</f>
        <v/>
      </c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</row>
    <row r="160" spans="1:104" s="29" customFormat="1">
      <c r="A160" s="45" t="str">
        <f ca="1">IFERROR(MATCH($B$3,OFFSET(Sheet!$D$2,A159,0):'Sheet'!$D$7657,0)+A159,"")</f>
        <v/>
      </c>
      <c r="B160" s="29" t="str">
        <f ca="1">IF(ROW(A153)&lt;=COUNT($A$6:$A$800),INDEX(Sheet!$A$2:$A$7967,$A160),IF(ROW(A153)=COUNT($A$6:$A$800)+1," ",IF(ROW(A153)=COUNT($A$6:$A$800)+2,"  ","")))</f>
        <v/>
      </c>
      <c r="C160" s="67" t="str">
        <f ca="1">IF($A160="","",INDEX(Sheet!E$2:E$7967,$A160))</f>
        <v/>
      </c>
      <c r="D160" s="31" t="str">
        <f ca="1">IF(B157=" ",$AR$1,IF(B160=" ",$AQ$1,IF(A160="","",INDEX(Sheet!G$2:G$7967,$A160))))</f>
        <v/>
      </c>
      <c r="E160" s="32" t="str">
        <f ca="1">IF($A160="","",TEXT(INDEX(Sheet!J$2:J$7967,$A160),"#,#")&amp;" "&amp;INDEX(Sheet!AT$2:AT$7967,$A160))</f>
        <v/>
      </c>
      <c r="F160" s="53" t="str">
        <f ca="1">IF($A160="","",INDEX(Sheet!F$2:F$7967,$A160))</f>
        <v/>
      </c>
      <c r="G160" s="32" t="str">
        <f ca="1">IF($A160="","",INDEX(Sheet!I$2:I$7967,$A160))</f>
        <v/>
      </c>
      <c r="H160" s="32" t="str">
        <f ca="1">IF($A160="","",INDEX(Sheet!L$2:L$7967,$A160))</f>
        <v/>
      </c>
      <c r="I160" s="32" t="str">
        <f ca="1">IF($A160="","",INDEX(Sheet!N$2:N$7967,$A160))</f>
        <v/>
      </c>
      <c r="J160" s="53" t="str">
        <f ca="1">IF($A160="","",INDEX(Sheet!AS$2:AS$7967,$A160))</f>
        <v/>
      </c>
      <c r="K160" s="33" t="str">
        <f ca="1">IF($A160="","",IF(INDEX(Sheet!S$2:S$7967,$A160)="","",INDEX(Sheet!S$2:S$7967,$A160)))</f>
        <v/>
      </c>
      <c r="L160" s="33" t="str">
        <f ca="1">IF($A160="","",IF(INDEX(Sheet!R$2:R$7967,$A160)="","",INDEX(Sheet!R$2:R$7967,$A160)))</f>
        <v/>
      </c>
      <c r="M160" s="33" t="str">
        <f ca="1">IF($A160="","",IF(INDEX(Sheet!AO$2:AO$7967,$A160)="","",INDEX(Sheet!AO$2:AO$7967,$A160)))</f>
        <v/>
      </c>
      <c r="N160" s="33" t="str">
        <f ca="1">IF($A160="","",IF(INDEX(Sheet!T$2:T$7967,$A160)="","",INDEX(Sheet!T$2:T$7967,$A160)))</f>
        <v/>
      </c>
      <c r="O160" s="33" t="str">
        <f ca="1">IF($A160="","",IF(INDEX(Sheet!U$2:U$7967,$A160)="","",INDEX(Sheet!U$2:U$7967,$A160)))</f>
        <v/>
      </c>
      <c r="P160" s="33" t="str">
        <f ca="1">IF($A160="","",IF(INDEX(Sheet!W$2:W$7967,$A160)="","",INDEX(Sheet!W$2:W$7967,$A160)))</f>
        <v/>
      </c>
      <c r="Q160" s="33" t="str">
        <f ca="1">IF($A160="","",IF(INDEX(Sheet!V$2:V$7967,$A160)="","",INDEX(Sheet!V$2:V$7967,$A160)))</f>
        <v/>
      </c>
      <c r="R160" s="33" t="str">
        <f ca="1">IF($A160="","",IF(INDEX(Sheet!Z$2:Z$7967,$A160)="","",INDEX(Sheet!Z$2:Z$7967,$A160)))</f>
        <v/>
      </c>
      <c r="S160" s="33" t="str">
        <f ca="1">IF($A160="","",IF(INDEX(Sheet!Y$2:Y$7967,$A160)="","",INDEX(Sheet!Y$2:Y$7967,$A160)))</f>
        <v/>
      </c>
      <c r="T160" s="33" t="str">
        <f ca="1">IF($A160="","",IF(INDEX(Sheet!X$2:X$7967,$A160)="","",INDEX(Sheet!X$2:X$7967,$A160)))</f>
        <v/>
      </c>
      <c r="U160" s="33" t="str">
        <f ca="1">IF($A160="","",IF(INDEX(Sheet!AA$2:AA$7967,$A160)="","",INDEX(Sheet!AA$2:AA$7967,$A160)))</f>
        <v/>
      </c>
      <c r="V160" s="33" t="str">
        <f ca="1">IF($A160="","",IF(INDEX(Sheet!AB$2:AB$7967,$A160)="","",INDEX(Sheet!AB$2:AB$7967,$A160)))</f>
        <v/>
      </c>
      <c r="W160" s="33" t="str">
        <f ca="1">IF($A160="","",IF(INDEX(Sheet!AH$2:AH$7967,$A160)="","",INDEX(Sheet!AH$2:AH$7967,$A160)))</f>
        <v/>
      </c>
      <c r="X160" s="33" t="str">
        <f ca="1">IF($A160="","",IF(INDEX(Sheet!AC$2:AC$7967,$A160)="","",INDEX(Sheet!AC$2:AC$7967,$A160)))</f>
        <v/>
      </c>
      <c r="Y160" s="33" t="str">
        <f ca="1">IF($A160="","",IF(INDEX(Sheet!AD$2:AD$7967,$A160)="","",INDEX(Sheet!AD$2:AD$7967,$A160)))</f>
        <v/>
      </c>
      <c r="Z160" s="33" t="str">
        <f ca="1">IF($A160="","",IF(INDEX(Sheet!AL$2:AL$7967,$A160)="","",INDEX(Sheet!AL$2:AL$7967,$A160)))</f>
        <v/>
      </c>
      <c r="AA160" s="33" t="str">
        <f ca="1">IF($A160="","",IF(INDEX(Sheet!AE$2:AE$7967,$A160)="","",INDEX(Sheet!AE$2:AE$7967,$A160)))</f>
        <v/>
      </c>
      <c r="AB160" s="33" t="str">
        <f ca="1">IF($A160="","",IF(INDEX(Sheet!AF$2:AF$7967,$A160)="","",INDEX(Sheet!AF$2:AF$7967,$A160)))</f>
        <v/>
      </c>
      <c r="AC160" s="33" t="str">
        <f ca="1">IF($A160="","",IF(INDEX(Sheet!AG$2:AG$7967,$A160)="","",INDEX(Sheet!AG$2:AG$7967,$A160)))</f>
        <v/>
      </c>
      <c r="AD160" s="33" t="str">
        <f ca="1">IF($A160="","",IF(INDEX(Sheet!AM$2:AM$7967,$A160)="","",INDEX(Sheet!AM$2:AM$7967,$A160)))</f>
        <v/>
      </c>
      <c r="AE160" s="33" t="str">
        <f ca="1">IF($A160="","",IF(INDEX(Sheet!AJ$2:AJ$7967,$A160)="","",INDEX(Sheet!AJ$2:AJ$7967,$A160)))</f>
        <v/>
      </c>
      <c r="AF160" s="33" t="str">
        <f ca="1">IF($A160="","",IF(INDEX(Sheet!AI$2:AI$7967,$A160)="","",INDEX(Sheet!AI$2:AI$7967,$A160)))</f>
        <v/>
      </c>
      <c r="AG160" s="33" t="str">
        <f ca="1">IF(D160="duyệt sản xuất"," Bảo Bảo, Ngày "&amp;DAY($J$4)&amp;" Tháng "&amp;MONTH($J$4)&amp;" Năm "&amp;YEAR($J$4),IF(D160="Phê duyệt","NGƯỜI LẬP",IF(D160="Nguyễn Ngọc Thắng","NGUYỄN THỊ MAI",IF($A160="","",INDEX(Sheet!AK$2:AK$7967,$A160)))))</f>
        <v/>
      </c>
      <c r="AH160" s="58" t="str">
        <f ca="1">IF($A160="","",INDEX(Sheet!AR$2:AR$7967,$A160)&amp;" ; "&amp;INDEX(Sheet!M$2:M$7967,$A160))</f>
        <v/>
      </c>
      <c r="AI160" s="1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G160" s="35" t="str">
        <f ca="1">IFERROR(VALUE(separ(INDEX(Sheet!Q$2:Q$7967,$A160),"-",1)),"")</f>
        <v/>
      </c>
      <c r="BH160" s="35" t="str">
        <f ca="1">IFERROR(VALUE(separ(INDEX(Sheet!R$2:R$7967,$A160),"-",1)),"")</f>
        <v/>
      </c>
      <c r="BI160" s="35" t="str">
        <f ca="1">IFERROR(VALUE(separ(INDEX(Sheet!S$2:S$7967,$A160),"-",1)),"")</f>
        <v/>
      </c>
      <c r="BJ160" s="35" t="str">
        <f ca="1">IFERROR(VALUE(separ(INDEX(Sheet!T$2:T$7967,$A160),"-",1)),"")</f>
        <v/>
      </c>
      <c r="BK160" s="35" t="str">
        <f ca="1">IFERROR(VALUE(separ(INDEX(Sheet!U$2:U$7967,$A160),"-",1)),"")</f>
        <v/>
      </c>
      <c r="BL160" s="35" t="str">
        <f ca="1">IFERROR(VALUE(separ(INDEX(Sheet!V$2:V$7967,$A160),"-",1)),"")</f>
        <v/>
      </c>
      <c r="BM160" s="35" t="str">
        <f ca="1">IFERROR(VALUE(separ(INDEX(Sheet!W$2:W$7967,$A160),"-",1)),"")</f>
        <v/>
      </c>
      <c r="BN160" s="35" t="str">
        <f ca="1">IFERROR(VALUE(separ(INDEX(Sheet!X$2:X$7967,$A160),"-",1)),"")</f>
        <v/>
      </c>
      <c r="BO160" s="35" t="str">
        <f ca="1">IFERROR(VALUE(separ(INDEX(Sheet!Y$2:Y$7967,$A160),"-",1)),"")</f>
        <v/>
      </c>
      <c r="BP160" s="35" t="str">
        <f ca="1">IFERROR(VALUE(separ(INDEX(Sheet!Z$2:Z$7967,$A160),"-",1)),"")</f>
        <v/>
      </c>
      <c r="BQ160" s="35" t="str">
        <f ca="1">IFERROR(VALUE(separ(INDEX(Sheet!AA$2:AA$7967,$A160),"-",1)),"")</f>
        <v/>
      </c>
      <c r="BR160" s="35" t="str">
        <f ca="1">IFERROR(VALUE(separ(INDEX(Sheet!AB$2:AB$7967,$A160),"-",1)),"")</f>
        <v/>
      </c>
      <c r="BS160" s="35" t="str">
        <f ca="1">IFERROR(VALUE(separ(INDEX(Sheet!AC$2:AC$7967,$A160),"-",1)),"")</f>
        <v/>
      </c>
      <c r="BT160" s="35" t="str">
        <f ca="1">IFERROR(VALUE(separ(INDEX(Sheet!AD$2:AD$7967,$A160),"-",1)),"")</f>
        <v/>
      </c>
      <c r="BU160" s="35" t="str">
        <f ca="1">IFERROR(VALUE(separ(INDEX(Sheet!AE$2:AE$7967,$A160),"-",1)),"")</f>
        <v/>
      </c>
      <c r="BV160" s="35"/>
      <c r="BW160" s="35" t="str">
        <f ca="1">IFERROR((separ(INDEX(Sheet!Q$2:Q$7967,$A160),"-",2)),"")</f>
        <v/>
      </c>
      <c r="BX160" s="35" t="str">
        <f ca="1">IFERROR((separ(INDEX(Sheet!R$2:R$7967,$A160),"-",2)),"")</f>
        <v/>
      </c>
      <c r="BY160" s="35" t="str">
        <f ca="1">IFERROR((separ(INDEX(Sheet!S$2:S$7967,$A160),"-",2)),"")</f>
        <v/>
      </c>
      <c r="BZ160" s="35" t="str">
        <f ca="1">IFERROR((separ(INDEX(Sheet!T$2:T$7967,$A160),"-",2)),"")</f>
        <v/>
      </c>
      <c r="CA160" s="35" t="str">
        <f ca="1">IFERROR((separ(INDEX(Sheet!U$2:U$7967,$A160),"-",2)),"")</f>
        <v/>
      </c>
      <c r="CB160" s="35" t="str">
        <f ca="1">IFERROR((separ(INDEX(Sheet!V$2:V$7967,$A160),"-",2)),"")</f>
        <v/>
      </c>
      <c r="CC160" s="35" t="str">
        <f ca="1">IFERROR((separ(INDEX(Sheet!W$2:W$7967,$A160),"-",2)),"")</f>
        <v/>
      </c>
      <c r="CD160" s="35" t="str">
        <f ca="1">IFERROR((separ(INDEX(Sheet!X$2:X$7967,$A160),"-",2)),"")</f>
        <v/>
      </c>
      <c r="CE160" s="35" t="str">
        <f ca="1">IFERROR((separ(INDEX(Sheet!Y$2:Y$7967,$A160),"-",2)),"")</f>
        <v/>
      </c>
      <c r="CF160" s="35" t="str">
        <f ca="1">IFERROR((separ(INDEX(Sheet!Z$2:Z$7967,$A160),"-",2)),"")</f>
        <v/>
      </c>
      <c r="CG160" s="35" t="str">
        <f ca="1">IFERROR((separ(INDEX(Sheet!AA$2:AA$7967,$A160),"-",2)),"")</f>
        <v/>
      </c>
      <c r="CH160" s="35" t="str">
        <f ca="1">IFERROR((separ(INDEX(Sheet!AB$2:AB$7967,$A160),"-",2)),"")</f>
        <v/>
      </c>
      <c r="CI160" s="35" t="str">
        <f ca="1">IFERROR((separ(INDEX(Sheet!AC$2:AC$7967,$A160),"-",2)),"")</f>
        <v/>
      </c>
      <c r="CJ160" s="35" t="str">
        <f ca="1">IFERROR((separ(INDEX(Sheet!AD$2:AD$7967,$A160),"-",2)),"")</f>
        <v/>
      </c>
      <c r="CK160" s="35" t="str">
        <f ca="1">IFERROR((separ(INDEX(Sheet!AE$2:AE$7967,$A160),"-",2)),"")</f>
        <v/>
      </c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</row>
    <row r="161" spans="1:104" s="29" customFormat="1">
      <c r="A161" s="45" t="str">
        <f ca="1">IFERROR(MATCH($B$3,OFFSET(Sheet!$D$2,A160,0):'Sheet'!$D$7657,0)+A160,"")</f>
        <v/>
      </c>
      <c r="B161" s="29" t="str">
        <f ca="1">IF(ROW(A154)&lt;=COUNT($A$6:$A$800),INDEX(Sheet!$A$2:$A$7967,$A161),IF(ROW(A154)=COUNT($A$6:$A$800)+1," ",IF(ROW(A154)=COUNT($A$6:$A$800)+2,"  ","")))</f>
        <v/>
      </c>
      <c r="C161" s="67" t="str">
        <f ca="1">IF($A161="","",INDEX(Sheet!E$2:E$7967,$A161))</f>
        <v/>
      </c>
      <c r="D161" s="31" t="str">
        <f ca="1">IF(B158=" ",$AR$1,IF(B161=" ",$AQ$1,IF(A161="","",INDEX(Sheet!G$2:G$7967,$A161))))</f>
        <v/>
      </c>
      <c r="E161" s="32" t="str">
        <f ca="1">IF($A161="","",TEXT(INDEX(Sheet!J$2:J$7967,$A161),"#,#")&amp;" "&amp;INDEX(Sheet!AT$2:AT$7967,$A161))</f>
        <v/>
      </c>
      <c r="F161" s="53" t="str">
        <f ca="1">IF($A161="","",INDEX(Sheet!F$2:F$7967,$A161))</f>
        <v/>
      </c>
      <c r="G161" s="32" t="str">
        <f ca="1">IF($A161="","",INDEX(Sheet!I$2:I$7967,$A161))</f>
        <v/>
      </c>
      <c r="H161" s="32" t="str">
        <f ca="1">IF($A161="","",INDEX(Sheet!L$2:L$7967,$A161))</f>
        <v/>
      </c>
      <c r="I161" s="32" t="str">
        <f ca="1">IF($A161="","",INDEX(Sheet!N$2:N$7967,$A161))</f>
        <v/>
      </c>
      <c r="J161" s="53" t="str">
        <f ca="1">IF($A161="","",INDEX(Sheet!AS$2:AS$7967,$A161))</f>
        <v/>
      </c>
      <c r="K161" s="33" t="str">
        <f ca="1">IF($A161="","",IF(INDEX(Sheet!S$2:S$7967,$A161)="","",INDEX(Sheet!S$2:S$7967,$A161)))</f>
        <v/>
      </c>
      <c r="L161" s="33" t="str">
        <f ca="1">IF($A161="","",IF(INDEX(Sheet!R$2:R$7967,$A161)="","",INDEX(Sheet!R$2:R$7967,$A161)))</f>
        <v/>
      </c>
      <c r="M161" s="33" t="str">
        <f ca="1">IF($A161="","",IF(INDEX(Sheet!AO$2:AO$7967,$A161)="","",INDEX(Sheet!AO$2:AO$7967,$A161)))</f>
        <v/>
      </c>
      <c r="N161" s="33" t="str">
        <f ca="1">IF($A161="","",IF(INDEX(Sheet!T$2:T$7967,$A161)="","",INDEX(Sheet!T$2:T$7967,$A161)))</f>
        <v/>
      </c>
      <c r="O161" s="33" t="str">
        <f ca="1">IF($A161="","",IF(INDEX(Sheet!U$2:U$7967,$A161)="","",INDEX(Sheet!U$2:U$7967,$A161)))</f>
        <v/>
      </c>
      <c r="P161" s="33" t="str">
        <f ca="1">IF($A161="","",IF(INDEX(Sheet!W$2:W$7967,$A161)="","",INDEX(Sheet!W$2:W$7967,$A161)))</f>
        <v/>
      </c>
      <c r="Q161" s="33" t="str">
        <f ca="1">IF($A161="","",IF(INDEX(Sheet!V$2:V$7967,$A161)="","",INDEX(Sheet!V$2:V$7967,$A161)))</f>
        <v/>
      </c>
      <c r="R161" s="33" t="str">
        <f ca="1">IF($A161="","",IF(INDEX(Sheet!Z$2:Z$7967,$A161)="","",INDEX(Sheet!Z$2:Z$7967,$A161)))</f>
        <v/>
      </c>
      <c r="S161" s="33" t="str">
        <f ca="1">IF($A161="","",IF(INDEX(Sheet!Y$2:Y$7967,$A161)="","",INDEX(Sheet!Y$2:Y$7967,$A161)))</f>
        <v/>
      </c>
      <c r="T161" s="33" t="str">
        <f ca="1">IF($A161="","",IF(INDEX(Sheet!X$2:X$7967,$A161)="","",INDEX(Sheet!X$2:X$7967,$A161)))</f>
        <v/>
      </c>
      <c r="U161" s="33" t="str">
        <f ca="1">IF($A161="","",IF(INDEX(Sheet!AA$2:AA$7967,$A161)="","",INDEX(Sheet!AA$2:AA$7967,$A161)))</f>
        <v/>
      </c>
      <c r="V161" s="33" t="str">
        <f ca="1">IF($A161="","",IF(INDEX(Sheet!AB$2:AB$7967,$A161)="","",INDEX(Sheet!AB$2:AB$7967,$A161)))</f>
        <v/>
      </c>
      <c r="W161" s="33" t="str">
        <f ca="1">IF($A161="","",IF(INDEX(Sheet!AH$2:AH$7967,$A161)="","",INDEX(Sheet!AH$2:AH$7967,$A161)))</f>
        <v/>
      </c>
      <c r="X161" s="33" t="str">
        <f ca="1">IF($A161="","",IF(INDEX(Sheet!AC$2:AC$7967,$A161)="","",INDEX(Sheet!AC$2:AC$7967,$A161)))</f>
        <v/>
      </c>
      <c r="Y161" s="33" t="str">
        <f ca="1">IF($A161="","",IF(INDEX(Sheet!AD$2:AD$7967,$A161)="","",INDEX(Sheet!AD$2:AD$7967,$A161)))</f>
        <v/>
      </c>
      <c r="Z161" s="33" t="str">
        <f ca="1">IF($A161="","",IF(INDEX(Sheet!AL$2:AL$7967,$A161)="","",INDEX(Sheet!AL$2:AL$7967,$A161)))</f>
        <v/>
      </c>
      <c r="AA161" s="33" t="str">
        <f ca="1">IF($A161="","",IF(INDEX(Sheet!AE$2:AE$7967,$A161)="","",INDEX(Sheet!AE$2:AE$7967,$A161)))</f>
        <v/>
      </c>
      <c r="AB161" s="33" t="str">
        <f ca="1">IF($A161="","",IF(INDEX(Sheet!AF$2:AF$7967,$A161)="","",INDEX(Sheet!AF$2:AF$7967,$A161)))</f>
        <v/>
      </c>
      <c r="AC161" s="33" t="str">
        <f ca="1">IF($A161="","",IF(INDEX(Sheet!AG$2:AG$7967,$A161)="","",INDEX(Sheet!AG$2:AG$7967,$A161)))</f>
        <v/>
      </c>
      <c r="AD161" s="33" t="str">
        <f ca="1">IF($A161="","",IF(INDEX(Sheet!AM$2:AM$7967,$A161)="","",INDEX(Sheet!AM$2:AM$7967,$A161)))</f>
        <v/>
      </c>
      <c r="AE161" s="33" t="str">
        <f ca="1">IF($A161="","",IF(INDEX(Sheet!AJ$2:AJ$7967,$A161)="","",INDEX(Sheet!AJ$2:AJ$7967,$A161)))</f>
        <v/>
      </c>
      <c r="AF161" s="33" t="str">
        <f ca="1">IF($A161="","",IF(INDEX(Sheet!AI$2:AI$7967,$A161)="","",INDEX(Sheet!AI$2:AI$7967,$A161)))</f>
        <v/>
      </c>
      <c r="AG161" s="33" t="str">
        <f ca="1">IF(D161="duyệt sản xuất"," Bảo Bảo, Ngày "&amp;DAY($J$4)&amp;" Tháng "&amp;MONTH($J$4)&amp;" Năm "&amp;YEAR($J$4),IF(D161="Phê duyệt","NGƯỜI LẬP",IF(D161="Nguyễn Ngọc Thắng","NGUYỄN THỊ MAI",IF($A161="","",INDEX(Sheet!AK$2:AK$7967,$A161)))))</f>
        <v/>
      </c>
      <c r="AH161" s="58" t="str">
        <f ca="1">IF($A161="","",INDEX(Sheet!AR$2:AR$7967,$A161)&amp;" ; "&amp;INDEX(Sheet!M$2:M$7967,$A161))</f>
        <v/>
      </c>
      <c r="AI161" s="1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G161" s="35" t="str">
        <f ca="1">IFERROR(VALUE(separ(INDEX(Sheet!Q$2:Q$7967,$A161),"-",1)),"")</f>
        <v/>
      </c>
      <c r="BH161" s="35" t="str">
        <f ca="1">IFERROR(VALUE(separ(INDEX(Sheet!R$2:R$7967,$A161),"-",1)),"")</f>
        <v/>
      </c>
      <c r="BI161" s="35" t="str">
        <f ca="1">IFERROR(VALUE(separ(INDEX(Sheet!S$2:S$7967,$A161),"-",1)),"")</f>
        <v/>
      </c>
      <c r="BJ161" s="35" t="str">
        <f ca="1">IFERROR(VALUE(separ(INDEX(Sheet!T$2:T$7967,$A161),"-",1)),"")</f>
        <v/>
      </c>
      <c r="BK161" s="35" t="str">
        <f ca="1">IFERROR(VALUE(separ(INDEX(Sheet!U$2:U$7967,$A161),"-",1)),"")</f>
        <v/>
      </c>
      <c r="BL161" s="35" t="str">
        <f ca="1">IFERROR(VALUE(separ(INDEX(Sheet!V$2:V$7967,$A161),"-",1)),"")</f>
        <v/>
      </c>
      <c r="BM161" s="35" t="str">
        <f ca="1">IFERROR(VALUE(separ(INDEX(Sheet!W$2:W$7967,$A161),"-",1)),"")</f>
        <v/>
      </c>
      <c r="BN161" s="35" t="str">
        <f ca="1">IFERROR(VALUE(separ(INDEX(Sheet!X$2:X$7967,$A161),"-",1)),"")</f>
        <v/>
      </c>
      <c r="BO161" s="35" t="str">
        <f ca="1">IFERROR(VALUE(separ(INDEX(Sheet!Y$2:Y$7967,$A161),"-",1)),"")</f>
        <v/>
      </c>
      <c r="BP161" s="35" t="str">
        <f ca="1">IFERROR(VALUE(separ(INDEX(Sheet!Z$2:Z$7967,$A161),"-",1)),"")</f>
        <v/>
      </c>
      <c r="BQ161" s="35" t="str">
        <f ca="1">IFERROR(VALUE(separ(INDEX(Sheet!AA$2:AA$7967,$A161),"-",1)),"")</f>
        <v/>
      </c>
      <c r="BR161" s="35" t="str">
        <f ca="1">IFERROR(VALUE(separ(INDEX(Sheet!AB$2:AB$7967,$A161),"-",1)),"")</f>
        <v/>
      </c>
      <c r="BS161" s="35" t="str">
        <f ca="1">IFERROR(VALUE(separ(INDEX(Sheet!AC$2:AC$7967,$A161),"-",1)),"")</f>
        <v/>
      </c>
      <c r="BT161" s="35" t="str">
        <f ca="1">IFERROR(VALUE(separ(INDEX(Sheet!AD$2:AD$7967,$A161),"-",1)),"")</f>
        <v/>
      </c>
      <c r="BU161" s="35" t="str">
        <f ca="1">IFERROR(VALUE(separ(INDEX(Sheet!AE$2:AE$7967,$A161),"-",1)),"")</f>
        <v/>
      </c>
      <c r="BV161" s="35"/>
      <c r="BW161" s="35" t="str">
        <f ca="1">IFERROR((separ(INDEX(Sheet!Q$2:Q$7967,$A161),"-",2)),"")</f>
        <v/>
      </c>
      <c r="BX161" s="35" t="str">
        <f ca="1">IFERROR((separ(INDEX(Sheet!R$2:R$7967,$A161),"-",2)),"")</f>
        <v/>
      </c>
      <c r="BY161" s="35" t="str">
        <f ca="1">IFERROR((separ(INDEX(Sheet!S$2:S$7967,$A161),"-",2)),"")</f>
        <v/>
      </c>
      <c r="BZ161" s="35" t="str">
        <f ca="1">IFERROR((separ(INDEX(Sheet!T$2:T$7967,$A161),"-",2)),"")</f>
        <v/>
      </c>
      <c r="CA161" s="35" t="str">
        <f ca="1">IFERROR((separ(INDEX(Sheet!U$2:U$7967,$A161),"-",2)),"")</f>
        <v/>
      </c>
      <c r="CB161" s="35" t="str">
        <f ca="1">IFERROR((separ(INDEX(Sheet!V$2:V$7967,$A161),"-",2)),"")</f>
        <v/>
      </c>
      <c r="CC161" s="35" t="str">
        <f ca="1">IFERROR((separ(INDEX(Sheet!W$2:W$7967,$A161),"-",2)),"")</f>
        <v/>
      </c>
      <c r="CD161" s="35" t="str">
        <f ca="1">IFERROR((separ(INDEX(Sheet!X$2:X$7967,$A161),"-",2)),"")</f>
        <v/>
      </c>
      <c r="CE161" s="35" t="str">
        <f ca="1">IFERROR((separ(INDEX(Sheet!Y$2:Y$7967,$A161),"-",2)),"")</f>
        <v/>
      </c>
      <c r="CF161" s="35" t="str">
        <f ca="1">IFERROR((separ(INDEX(Sheet!Z$2:Z$7967,$A161),"-",2)),"")</f>
        <v/>
      </c>
      <c r="CG161" s="35" t="str">
        <f ca="1">IFERROR((separ(INDEX(Sheet!AA$2:AA$7967,$A161),"-",2)),"")</f>
        <v/>
      </c>
      <c r="CH161" s="35" t="str">
        <f ca="1">IFERROR((separ(INDEX(Sheet!AB$2:AB$7967,$A161),"-",2)),"")</f>
        <v/>
      </c>
      <c r="CI161" s="35" t="str">
        <f ca="1">IFERROR((separ(INDEX(Sheet!AC$2:AC$7967,$A161),"-",2)),"")</f>
        <v/>
      </c>
      <c r="CJ161" s="35" t="str">
        <f ca="1">IFERROR((separ(INDEX(Sheet!AD$2:AD$7967,$A161),"-",2)),"")</f>
        <v/>
      </c>
      <c r="CK161" s="35" t="str">
        <f ca="1">IFERROR((separ(INDEX(Sheet!AE$2:AE$7967,$A161),"-",2)),"")</f>
        <v/>
      </c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</row>
    <row r="162" spans="1:104" s="29" customFormat="1">
      <c r="A162" s="45" t="str">
        <f ca="1">IFERROR(MATCH($B$3,OFFSET(Sheet!$D$2,A161,0):'Sheet'!$D$7657,0)+A161,"")</f>
        <v/>
      </c>
      <c r="B162" s="29" t="str">
        <f ca="1">IF(ROW(A155)&lt;=COUNT($A$6:$A$800),INDEX(Sheet!$A$2:$A$7967,$A162),IF(ROW(A155)=COUNT($A$6:$A$800)+1," ",IF(ROW(A155)=COUNT($A$6:$A$800)+2,"  ","")))</f>
        <v/>
      </c>
      <c r="C162" s="67" t="str">
        <f ca="1">IF($A162="","",INDEX(Sheet!E$2:E$7967,$A162))</f>
        <v/>
      </c>
      <c r="D162" s="31" t="str">
        <f ca="1">IF(B159=" ",$AR$1,IF(B162=" ",$AQ$1,IF(A162="","",INDEX(Sheet!G$2:G$7967,$A162))))</f>
        <v/>
      </c>
      <c r="E162" s="32" t="str">
        <f ca="1">IF($A162="","",TEXT(INDEX(Sheet!J$2:J$7967,$A162),"#,#")&amp;" "&amp;INDEX(Sheet!AT$2:AT$7967,$A162))</f>
        <v/>
      </c>
      <c r="F162" s="53" t="str">
        <f ca="1">IF($A162="","",INDEX(Sheet!F$2:F$7967,$A162))</f>
        <v/>
      </c>
      <c r="G162" s="32" t="str">
        <f ca="1">IF($A162="","",INDEX(Sheet!I$2:I$7967,$A162))</f>
        <v/>
      </c>
      <c r="H162" s="32" t="str">
        <f ca="1">IF($A162="","",INDEX(Sheet!L$2:L$7967,$A162))</f>
        <v/>
      </c>
      <c r="I162" s="32" t="str">
        <f ca="1">IF($A162="","",INDEX(Sheet!N$2:N$7967,$A162))</f>
        <v/>
      </c>
      <c r="J162" s="53" t="str">
        <f ca="1">IF($A162="","",INDEX(Sheet!AS$2:AS$7967,$A162))</f>
        <v/>
      </c>
      <c r="K162" s="33" t="str">
        <f ca="1">IF($A162="","",IF(INDEX(Sheet!S$2:S$7967,$A162)="","",INDEX(Sheet!S$2:S$7967,$A162)))</f>
        <v/>
      </c>
      <c r="L162" s="33" t="str">
        <f ca="1">IF($A162="","",IF(INDEX(Sheet!R$2:R$7967,$A162)="","",INDEX(Sheet!R$2:R$7967,$A162)))</f>
        <v/>
      </c>
      <c r="M162" s="33" t="str">
        <f ca="1">IF($A162="","",IF(INDEX(Sheet!AO$2:AO$7967,$A162)="","",INDEX(Sheet!AO$2:AO$7967,$A162)))</f>
        <v/>
      </c>
      <c r="N162" s="33" t="str">
        <f ca="1">IF($A162="","",IF(INDEX(Sheet!T$2:T$7967,$A162)="","",INDEX(Sheet!T$2:T$7967,$A162)))</f>
        <v/>
      </c>
      <c r="O162" s="33" t="str">
        <f ca="1">IF($A162="","",IF(INDEX(Sheet!U$2:U$7967,$A162)="","",INDEX(Sheet!U$2:U$7967,$A162)))</f>
        <v/>
      </c>
      <c r="P162" s="33" t="str">
        <f ca="1">IF($A162="","",IF(INDEX(Sheet!W$2:W$7967,$A162)="","",INDEX(Sheet!W$2:W$7967,$A162)))</f>
        <v/>
      </c>
      <c r="Q162" s="33" t="str">
        <f ca="1">IF($A162="","",IF(INDEX(Sheet!V$2:V$7967,$A162)="","",INDEX(Sheet!V$2:V$7967,$A162)))</f>
        <v/>
      </c>
      <c r="R162" s="33" t="str">
        <f ca="1">IF($A162="","",IF(INDEX(Sheet!Z$2:Z$7967,$A162)="","",INDEX(Sheet!Z$2:Z$7967,$A162)))</f>
        <v/>
      </c>
      <c r="S162" s="33" t="str">
        <f ca="1">IF($A162="","",IF(INDEX(Sheet!Y$2:Y$7967,$A162)="","",INDEX(Sheet!Y$2:Y$7967,$A162)))</f>
        <v/>
      </c>
      <c r="T162" s="33" t="str">
        <f ca="1">IF($A162="","",IF(INDEX(Sheet!X$2:X$7967,$A162)="","",INDEX(Sheet!X$2:X$7967,$A162)))</f>
        <v/>
      </c>
      <c r="U162" s="33" t="str">
        <f ca="1">IF($A162="","",IF(INDEX(Sheet!AA$2:AA$7967,$A162)="","",INDEX(Sheet!AA$2:AA$7967,$A162)))</f>
        <v/>
      </c>
      <c r="V162" s="33" t="str">
        <f ca="1">IF($A162="","",IF(INDEX(Sheet!AB$2:AB$7967,$A162)="","",INDEX(Sheet!AB$2:AB$7967,$A162)))</f>
        <v/>
      </c>
      <c r="W162" s="33" t="str">
        <f ca="1">IF($A162="","",IF(INDEX(Sheet!AH$2:AH$7967,$A162)="","",INDEX(Sheet!AH$2:AH$7967,$A162)))</f>
        <v/>
      </c>
      <c r="X162" s="33" t="str">
        <f ca="1">IF($A162="","",IF(INDEX(Sheet!AC$2:AC$7967,$A162)="","",INDEX(Sheet!AC$2:AC$7967,$A162)))</f>
        <v/>
      </c>
      <c r="Y162" s="33" t="str">
        <f ca="1">IF($A162="","",IF(INDEX(Sheet!AD$2:AD$7967,$A162)="","",INDEX(Sheet!AD$2:AD$7967,$A162)))</f>
        <v/>
      </c>
      <c r="Z162" s="33" t="str">
        <f ca="1">IF($A162="","",IF(INDEX(Sheet!AL$2:AL$7967,$A162)="","",INDEX(Sheet!AL$2:AL$7967,$A162)))</f>
        <v/>
      </c>
      <c r="AA162" s="33" t="str">
        <f ca="1">IF($A162="","",IF(INDEX(Sheet!AE$2:AE$7967,$A162)="","",INDEX(Sheet!AE$2:AE$7967,$A162)))</f>
        <v/>
      </c>
      <c r="AB162" s="33" t="str">
        <f ca="1">IF($A162="","",IF(INDEX(Sheet!AF$2:AF$7967,$A162)="","",INDEX(Sheet!AF$2:AF$7967,$A162)))</f>
        <v/>
      </c>
      <c r="AC162" s="33" t="str">
        <f ca="1">IF($A162="","",IF(INDEX(Sheet!AG$2:AG$7967,$A162)="","",INDEX(Sheet!AG$2:AG$7967,$A162)))</f>
        <v/>
      </c>
      <c r="AD162" s="33" t="str">
        <f ca="1">IF($A162="","",IF(INDEX(Sheet!AM$2:AM$7967,$A162)="","",INDEX(Sheet!AM$2:AM$7967,$A162)))</f>
        <v/>
      </c>
      <c r="AE162" s="33" t="str">
        <f ca="1">IF($A162="","",IF(INDEX(Sheet!AJ$2:AJ$7967,$A162)="","",INDEX(Sheet!AJ$2:AJ$7967,$A162)))</f>
        <v/>
      </c>
      <c r="AF162" s="33" t="str">
        <f ca="1">IF($A162="","",IF(INDEX(Sheet!AI$2:AI$7967,$A162)="","",INDEX(Sheet!AI$2:AI$7967,$A162)))</f>
        <v/>
      </c>
      <c r="AG162" s="33" t="str">
        <f ca="1">IF(D162="duyệt sản xuất"," Bảo Bảo, Ngày "&amp;DAY($J$4)&amp;" Tháng "&amp;MONTH($J$4)&amp;" Năm "&amp;YEAR($J$4),IF(D162="Phê duyệt","NGƯỜI LẬP",IF(D162="Nguyễn Ngọc Thắng","NGUYỄN THỊ MAI",IF($A162="","",INDEX(Sheet!AK$2:AK$7967,$A162)))))</f>
        <v/>
      </c>
      <c r="AH162" s="58" t="str">
        <f ca="1">IF($A162="","",INDEX(Sheet!AR$2:AR$7967,$A162)&amp;" ; "&amp;INDEX(Sheet!M$2:M$7967,$A162))</f>
        <v/>
      </c>
      <c r="AI162" s="1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G162" s="35" t="str">
        <f ca="1">IFERROR(VALUE(separ(INDEX(Sheet!Q$2:Q$7967,$A162),"-",1)),"")</f>
        <v/>
      </c>
      <c r="BH162" s="35" t="str">
        <f ca="1">IFERROR(VALUE(separ(INDEX(Sheet!R$2:R$7967,$A162),"-",1)),"")</f>
        <v/>
      </c>
      <c r="BI162" s="35" t="str">
        <f ca="1">IFERROR(VALUE(separ(INDEX(Sheet!S$2:S$7967,$A162),"-",1)),"")</f>
        <v/>
      </c>
      <c r="BJ162" s="35" t="str">
        <f ca="1">IFERROR(VALUE(separ(INDEX(Sheet!T$2:T$7967,$A162),"-",1)),"")</f>
        <v/>
      </c>
      <c r="BK162" s="35" t="str">
        <f ca="1">IFERROR(VALUE(separ(INDEX(Sheet!U$2:U$7967,$A162),"-",1)),"")</f>
        <v/>
      </c>
      <c r="BL162" s="35" t="str">
        <f ca="1">IFERROR(VALUE(separ(INDEX(Sheet!V$2:V$7967,$A162),"-",1)),"")</f>
        <v/>
      </c>
      <c r="BM162" s="35" t="str">
        <f ca="1">IFERROR(VALUE(separ(INDEX(Sheet!W$2:W$7967,$A162),"-",1)),"")</f>
        <v/>
      </c>
      <c r="BN162" s="35" t="str">
        <f ca="1">IFERROR(VALUE(separ(INDEX(Sheet!X$2:X$7967,$A162),"-",1)),"")</f>
        <v/>
      </c>
      <c r="BO162" s="35" t="str">
        <f ca="1">IFERROR(VALUE(separ(INDEX(Sheet!Y$2:Y$7967,$A162),"-",1)),"")</f>
        <v/>
      </c>
      <c r="BP162" s="35" t="str">
        <f ca="1">IFERROR(VALUE(separ(INDEX(Sheet!Z$2:Z$7967,$A162),"-",1)),"")</f>
        <v/>
      </c>
      <c r="BQ162" s="35" t="str">
        <f ca="1">IFERROR(VALUE(separ(INDEX(Sheet!AA$2:AA$7967,$A162),"-",1)),"")</f>
        <v/>
      </c>
      <c r="BR162" s="35" t="str">
        <f ca="1">IFERROR(VALUE(separ(INDEX(Sheet!AB$2:AB$7967,$A162),"-",1)),"")</f>
        <v/>
      </c>
      <c r="BS162" s="35" t="str">
        <f ca="1">IFERROR(VALUE(separ(INDEX(Sheet!AC$2:AC$7967,$A162),"-",1)),"")</f>
        <v/>
      </c>
      <c r="BT162" s="35" t="str">
        <f ca="1">IFERROR(VALUE(separ(INDEX(Sheet!AD$2:AD$7967,$A162),"-",1)),"")</f>
        <v/>
      </c>
      <c r="BU162" s="35" t="str">
        <f ca="1">IFERROR(VALUE(separ(INDEX(Sheet!AE$2:AE$7967,$A162),"-",1)),"")</f>
        <v/>
      </c>
      <c r="BV162" s="35"/>
      <c r="BW162" s="35" t="str">
        <f ca="1">IFERROR((separ(INDEX(Sheet!Q$2:Q$7967,$A162),"-",2)),"")</f>
        <v/>
      </c>
      <c r="BX162" s="35" t="str">
        <f ca="1">IFERROR((separ(INDEX(Sheet!R$2:R$7967,$A162),"-",2)),"")</f>
        <v/>
      </c>
      <c r="BY162" s="35" t="str">
        <f ca="1">IFERROR((separ(INDEX(Sheet!S$2:S$7967,$A162),"-",2)),"")</f>
        <v/>
      </c>
      <c r="BZ162" s="35" t="str">
        <f ca="1">IFERROR((separ(INDEX(Sheet!T$2:T$7967,$A162),"-",2)),"")</f>
        <v/>
      </c>
      <c r="CA162" s="35" t="str">
        <f ca="1">IFERROR((separ(INDEX(Sheet!U$2:U$7967,$A162),"-",2)),"")</f>
        <v/>
      </c>
      <c r="CB162" s="35" t="str">
        <f ca="1">IFERROR((separ(INDEX(Sheet!V$2:V$7967,$A162),"-",2)),"")</f>
        <v/>
      </c>
      <c r="CC162" s="35" t="str">
        <f ca="1">IFERROR((separ(INDEX(Sheet!W$2:W$7967,$A162),"-",2)),"")</f>
        <v/>
      </c>
      <c r="CD162" s="35" t="str">
        <f ca="1">IFERROR((separ(INDEX(Sheet!X$2:X$7967,$A162),"-",2)),"")</f>
        <v/>
      </c>
      <c r="CE162" s="35" t="str">
        <f ca="1">IFERROR((separ(INDEX(Sheet!Y$2:Y$7967,$A162),"-",2)),"")</f>
        <v/>
      </c>
      <c r="CF162" s="35" t="str">
        <f ca="1">IFERROR((separ(INDEX(Sheet!Z$2:Z$7967,$A162),"-",2)),"")</f>
        <v/>
      </c>
      <c r="CG162" s="35" t="str">
        <f ca="1">IFERROR((separ(INDEX(Sheet!AA$2:AA$7967,$A162),"-",2)),"")</f>
        <v/>
      </c>
      <c r="CH162" s="35" t="str">
        <f ca="1">IFERROR((separ(INDEX(Sheet!AB$2:AB$7967,$A162),"-",2)),"")</f>
        <v/>
      </c>
      <c r="CI162" s="35" t="str">
        <f ca="1">IFERROR((separ(INDEX(Sheet!AC$2:AC$7967,$A162),"-",2)),"")</f>
        <v/>
      </c>
      <c r="CJ162" s="35" t="str">
        <f ca="1">IFERROR((separ(INDEX(Sheet!AD$2:AD$7967,$A162),"-",2)),"")</f>
        <v/>
      </c>
      <c r="CK162" s="35" t="str">
        <f ca="1">IFERROR((separ(INDEX(Sheet!AE$2:AE$7967,$A162),"-",2)),"")</f>
        <v/>
      </c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</row>
    <row r="163" spans="1:104" s="29" customFormat="1">
      <c r="A163" s="45" t="str">
        <f ca="1">IFERROR(MATCH($B$3,OFFSET(Sheet!$D$2,A162,0):'Sheet'!$D$7657,0)+A162,"")</f>
        <v/>
      </c>
      <c r="B163" s="29" t="str">
        <f ca="1">IF(ROW(A156)&lt;=COUNT($A$6:$A$800),INDEX(Sheet!$A$2:$A$7967,$A163),IF(ROW(A156)=COUNT($A$6:$A$800)+1," ",IF(ROW(A156)=COUNT($A$6:$A$800)+2,"  ","")))</f>
        <v/>
      </c>
      <c r="C163" s="67" t="str">
        <f ca="1">IF($A163="","",INDEX(Sheet!E$2:E$7967,$A163))</f>
        <v/>
      </c>
      <c r="D163" s="31" t="str">
        <f ca="1">IF(B160=" ",$AR$1,IF(B163=" ",$AQ$1,IF(A163="","",INDEX(Sheet!G$2:G$7967,$A163))))</f>
        <v/>
      </c>
      <c r="E163" s="32" t="str">
        <f ca="1">IF($A163="","",TEXT(INDEX(Sheet!J$2:J$7967,$A163),"#,#")&amp;" "&amp;INDEX(Sheet!AT$2:AT$7967,$A163))</f>
        <v/>
      </c>
      <c r="F163" s="53" t="str">
        <f ca="1">IF($A163="","",INDEX(Sheet!F$2:F$7967,$A163))</f>
        <v/>
      </c>
      <c r="G163" s="32" t="str">
        <f ca="1">IF($A163="","",INDEX(Sheet!I$2:I$7967,$A163))</f>
        <v/>
      </c>
      <c r="H163" s="32" t="str">
        <f ca="1">IF($A163="","",INDEX(Sheet!L$2:L$7967,$A163))</f>
        <v/>
      </c>
      <c r="I163" s="32" t="str">
        <f ca="1">IF($A163="","",INDEX(Sheet!N$2:N$7967,$A163))</f>
        <v/>
      </c>
      <c r="J163" s="53" t="str">
        <f ca="1">IF($A163="","",INDEX(Sheet!AS$2:AS$7967,$A163))</f>
        <v/>
      </c>
      <c r="K163" s="33" t="str">
        <f ca="1">IF($A163="","",IF(INDEX(Sheet!S$2:S$7967,$A163)="","",INDEX(Sheet!S$2:S$7967,$A163)))</f>
        <v/>
      </c>
      <c r="L163" s="33" t="str">
        <f ca="1">IF($A163="","",IF(INDEX(Sheet!R$2:R$7967,$A163)="","",INDEX(Sheet!R$2:R$7967,$A163)))</f>
        <v/>
      </c>
      <c r="M163" s="33" t="str">
        <f ca="1">IF($A163="","",IF(INDEX(Sheet!AO$2:AO$7967,$A163)="","",INDEX(Sheet!AO$2:AO$7967,$A163)))</f>
        <v/>
      </c>
      <c r="N163" s="33" t="str">
        <f ca="1">IF($A163="","",IF(INDEX(Sheet!T$2:T$7967,$A163)="","",INDEX(Sheet!T$2:T$7967,$A163)))</f>
        <v/>
      </c>
      <c r="O163" s="33" t="str">
        <f ca="1">IF($A163="","",IF(INDEX(Sheet!U$2:U$7967,$A163)="","",INDEX(Sheet!U$2:U$7967,$A163)))</f>
        <v/>
      </c>
      <c r="P163" s="33" t="str">
        <f ca="1">IF($A163="","",IF(INDEX(Sheet!W$2:W$7967,$A163)="","",INDEX(Sheet!W$2:W$7967,$A163)))</f>
        <v/>
      </c>
      <c r="Q163" s="33" t="str">
        <f ca="1">IF($A163="","",IF(INDEX(Sheet!V$2:V$7967,$A163)="","",INDEX(Sheet!V$2:V$7967,$A163)))</f>
        <v/>
      </c>
      <c r="R163" s="33" t="str">
        <f ca="1">IF($A163="","",IF(INDEX(Sheet!Z$2:Z$7967,$A163)="","",INDEX(Sheet!Z$2:Z$7967,$A163)))</f>
        <v/>
      </c>
      <c r="S163" s="33" t="str">
        <f ca="1">IF($A163="","",IF(INDEX(Sheet!Y$2:Y$7967,$A163)="","",INDEX(Sheet!Y$2:Y$7967,$A163)))</f>
        <v/>
      </c>
      <c r="T163" s="33" t="str">
        <f ca="1">IF($A163="","",IF(INDEX(Sheet!X$2:X$7967,$A163)="","",INDEX(Sheet!X$2:X$7967,$A163)))</f>
        <v/>
      </c>
      <c r="U163" s="33" t="str">
        <f ca="1">IF($A163="","",IF(INDEX(Sheet!AA$2:AA$7967,$A163)="","",INDEX(Sheet!AA$2:AA$7967,$A163)))</f>
        <v/>
      </c>
      <c r="V163" s="33" t="str">
        <f ca="1">IF($A163="","",IF(INDEX(Sheet!AB$2:AB$7967,$A163)="","",INDEX(Sheet!AB$2:AB$7967,$A163)))</f>
        <v/>
      </c>
      <c r="W163" s="33" t="str">
        <f ca="1">IF($A163="","",IF(INDEX(Sheet!AH$2:AH$7967,$A163)="","",INDEX(Sheet!AH$2:AH$7967,$A163)))</f>
        <v/>
      </c>
      <c r="X163" s="33" t="str">
        <f ca="1">IF($A163="","",IF(INDEX(Sheet!AC$2:AC$7967,$A163)="","",INDEX(Sheet!AC$2:AC$7967,$A163)))</f>
        <v/>
      </c>
      <c r="Y163" s="33" t="str">
        <f ca="1">IF($A163="","",IF(INDEX(Sheet!AD$2:AD$7967,$A163)="","",INDEX(Sheet!AD$2:AD$7967,$A163)))</f>
        <v/>
      </c>
      <c r="Z163" s="33" t="str">
        <f ca="1">IF($A163="","",IF(INDEX(Sheet!AL$2:AL$7967,$A163)="","",INDEX(Sheet!AL$2:AL$7967,$A163)))</f>
        <v/>
      </c>
      <c r="AA163" s="33" t="str">
        <f ca="1">IF($A163="","",IF(INDEX(Sheet!AE$2:AE$7967,$A163)="","",INDEX(Sheet!AE$2:AE$7967,$A163)))</f>
        <v/>
      </c>
      <c r="AB163" s="33" t="str">
        <f ca="1">IF($A163="","",IF(INDEX(Sheet!AF$2:AF$7967,$A163)="","",INDEX(Sheet!AF$2:AF$7967,$A163)))</f>
        <v/>
      </c>
      <c r="AC163" s="33" t="str">
        <f ca="1">IF($A163="","",IF(INDEX(Sheet!AG$2:AG$7967,$A163)="","",INDEX(Sheet!AG$2:AG$7967,$A163)))</f>
        <v/>
      </c>
      <c r="AD163" s="33" t="str">
        <f ca="1">IF($A163="","",IF(INDEX(Sheet!AM$2:AM$7967,$A163)="","",INDEX(Sheet!AM$2:AM$7967,$A163)))</f>
        <v/>
      </c>
      <c r="AE163" s="33" t="str">
        <f ca="1">IF($A163="","",IF(INDEX(Sheet!AJ$2:AJ$7967,$A163)="","",INDEX(Sheet!AJ$2:AJ$7967,$A163)))</f>
        <v/>
      </c>
      <c r="AF163" s="33" t="str">
        <f ca="1">IF($A163="","",IF(INDEX(Sheet!AI$2:AI$7967,$A163)="","",INDEX(Sheet!AI$2:AI$7967,$A163)))</f>
        <v/>
      </c>
      <c r="AG163" s="33" t="str">
        <f ca="1">IF(D163="duyệt sản xuất"," Bảo Bảo, Ngày "&amp;DAY($J$4)&amp;" Tháng "&amp;MONTH($J$4)&amp;" Năm "&amp;YEAR($J$4),IF(D163="Phê duyệt","NGƯỜI LẬP",IF(D163="Nguyễn Ngọc Thắng","NGUYỄN THỊ MAI",IF($A163="","",INDEX(Sheet!AK$2:AK$7967,$A163)))))</f>
        <v/>
      </c>
      <c r="AH163" s="58" t="str">
        <f ca="1">IF($A163="","",INDEX(Sheet!AR$2:AR$7967,$A163)&amp;" ; "&amp;INDEX(Sheet!M$2:M$7967,$A163))</f>
        <v/>
      </c>
      <c r="AI163" s="1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G163" s="35" t="str">
        <f ca="1">IFERROR(VALUE(separ(INDEX(Sheet!Q$2:Q$7967,$A163),"-",1)),"")</f>
        <v/>
      </c>
      <c r="BH163" s="35" t="str">
        <f ca="1">IFERROR(VALUE(separ(INDEX(Sheet!R$2:R$7967,$A163),"-",1)),"")</f>
        <v/>
      </c>
      <c r="BI163" s="35" t="str">
        <f ca="1">IFERROR(VALUE(separ(INDEX(Sheet!S$2:S$7967,$A163),"-",1)),"")</f>
        <v/>
      </c>
      <c r="BJ163" s="35" t="str">
        <f ca="1">IFERROR(VALUE(separ(INDEX(Sheet!T$2:T$7967,$A163),"-",1)),"")</f>
        <v/>
      </c>
      <c r="BK163" s="35" t="str">
        <f ca="1">IFERROR(VALUE(separ(INDEX(Sheet!U$2:U$7967,$A163),"-",1)),"")</f>
        <v/>
      </c>
      <c r="BL163" s="35" t="str">
        <f ca="1">IFERROR(VALUE(separ(INDEX(Sheet!V$2:V$7967,$A163),"-",1)),"")</f>
        <v/>
      </c>
      <c r="BM163" s="35" t="str">
        <f ca="1">IFERROR(VALUE(separ(INDEX(Sheet!W$2:W$7967,$A163),"-",1)),"")</f>
        <v/>
      </c>
      <c r="BN163" s="35" t="str">
        <f ca="1">IFERROR(VALUE(separ(INDEX(Sheet!X$2:X$7967,$A163),"-",1)),"")</f>
        <v/>
      </c>
      <c r="BO163" s="35" t="str">
        <f ca="1">IFERROR(VALUE(separ(INDEX(Sheet!Y$2:Y$7967,$A163),"-",1)),"")</f>
        <v/>
      </c>
      <c r="BP163" s="35" t="str">
        <f ca="1">IFERROR(VALUE(separ(INDEX(Sheet!Z$2:Z$7967,$A163),"-",1)),"")</f>
        <v/>
      </c>
      <c r="BQ163" s="35" t="str">
        <f ca="1">IFERROR(VALUE(separ(INDEX(Sheet!AA$2:AA$7967,$A163),"-",1)),"")</f>
        <v/>
      </c>
      <c r="BR163" s="35" t="str">
        <f ca="1">IFERROR(VALUE(separ(INDEX(Sheet!AB$2:AB$7967,$A163),"-",1)),"")</f>
        <v/>
      </c>
      <c r="BS163" s="35" t="str">
        <f ca="1">IFERROR(VALUE(separ(INDEX(Sheet!AC$2:AC$7967,$A163),"-",1)),"")</f>
        <v/>
      </c>
      <c r="BT163" s="35" t="str">
        <f ca="1">IFERROR(VALUE(separ(INDEX(Sheet!AD$2:AD$7967,$A163),"-",1)),"")</f>
        <v/>
      </c>
      <c r="BU163" s="35" t="str">
        <f ca="1">IFERROR(VALUE(separ(INDEX(Sheet!AE$2:AE$7967,$A163),"-",1)),"")</f>
        <v/>
      </c>
      <c r="BV163" s="35"/>
      <c r="BW163" s="35" t="str">
        <f ca="1">IFERROR((separ(INDEX(Sheet!Q$2:Q$7967,$A163),"-",2)),"")</f>
        <v/>
      </c>
      <c r="BX163" s="35" t="str">
        <f ca="1">IFERROR((separ(INDEX(Sheet!R$2:R$7967,$A163),"-",2)),"")</f>
        <v/>
      </c>
      <c r="BY163" s="35" t="str">
        <f ca="1">IFERROR((separ(INDEX(Sheet!S$2:S$7967,$A163),"-",2)),"")</f>
        <v/>
      </c>
      <c r="BZ163" s="35" t="str">
        <f ca="1">IFERROR((separ(INDEX(Sheet!T$2:T$7967,$A163),"-",2)),"")</f>
        <v/>
      </c>
      <c r="CA163" s="35" t="str">
        <f ca="1">IFERROR((separ(INDEX(Sheet!U$2:U$7967,$A163),"-",2)),"")</f>
        <v/>
      </c>
      <c r="CB163" s="35" t="str">
        <f ca="1">IFERROR((separ(INDEX(Sheet!V$2:V$7967,$A163),"-",2)),"")</f>
        <v/>
      </c>
      <c r="CC163" s="35" t="str">
        <f ca="1">IFERROR((separ(INDEX(Sheet!W$2:W$7967,$A163),"-",2)),"")</f>
        <v/>
      </c>
      <c r="CD163" s="35" t="str">
        <f ca="1">IFERROR((separ(INDEX(Sheet!X$2:X$7967,$A163),"-",2)),"")</f>
        <v/>
      </c>
      <c r="CE163" s="35" t="str">
        <f ca="1">IFERROR((separ(INDEX(Sheet!Y$2:Y$7967,$A163),"-",2)),"")</f>
        <v/>
      </c>
      <c r="CF163" s="35" t="str">
        <f ca="1">IFERROR((separ(INDEX(Sheet!Z$2:Z$7967,$A163),"-",2)),"")</f>
        <v/>
      </c>
      <c r="CG163" s="35" t="str">
        <f ca="1">IFERROR((separ(INDEX(Sheet!AA$2:AA$7967,$A163),"-",2)),"")</f>
        <v/>
      </c>
      <c r="CH163" s="35" t="str">
        <f ca="1">IFERROR((separ(INDEX(Sheet!AB$2:AB$7967,$A163),"-",2)),"")</f>
        <v/>
      </c>
      <c r="CI163" s="35" t="str">
        <f ca="1">IFERROR((separ(INDEX(Sheet!AC$2:AC$7967,$A163),"-",2)),"")</f>
        <v/>
      </c>
      <c r="CJ163" s="35" t="str">
        <f ca="1">IFERROR((separ(INDEX(Sheet!AD$2:AD$7967,$A163),"-",2)),"")</f>
        <v/>
      </c>
      <c r="CK163" s="35" t="str">
        <f ca="1">IFERROR((separ(INDEX(Sheet!AE$2:AE$7967,$A163),"-",2)),"")</f>
        <v/>
      </c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</row>
    <row r="164" spans="1:104" s="29" customFormat="1">
      <c r="A164" s="45" t="str">
        <f ca="1">IFERROR(MATCH($B$3,OFFSET(Sheet!$D$2,A163,0):'Sheet'!$D$7657,0)+A163,"")</f>
        <v/>
      </c>
      <c r="B164" s="29" t="str">
        <f ca="1">IF(ROW(A157)&lt;=COUNT($A$6:$A$800),INDEX(Sheet!$A$2:$A$7967,$A164),IF(ROW(A157)=COUNT($A$6:$A$800)+1," ",IF(ROW(A157)=COUNT($A$6:$A$800)+2,"  ","")))</f>
        <v/>
      </c>
      <c r="C164" s="67" t="str">
        <f ca="1">IF($A164="","",INDEX(Sheet!E$2:E$7967,$A164))</f>
        <v/>
      </c>
      <c r="D164" s="31" t="str">
        <f ca="1">IF(B161=" ",$AR$1,IF(B164=" ",$AQ$1,IF(A164="","",INDEX(Sheet!G$2:G$7967,$A164))))</f>
        <v/>
      </c>
      <c r="E164" s="32" t="str">
        <f ca="1">IF($A164="","",TEXT(INDEX(Sheet!J$2:J$7967,$A164),"#,#")&amp;" "&amp;INDEX(Sheet!AT$2:AT$7967,$A164))</f>
        <v/>
      </c>
      <c r="F164" s="53" t="str">
        <f ca="1">IF($A164="","",INDEX(Sheet!F$2:F$7967,$A164))</f>
        <v/>
      </c>
      <c r="G164" s="32" t="str">
        <f ca="1">IF($A164="","",INDEX(Sheet!I$2:I$7967,$A164))</f>
        <v/>
      </c>
      <c r="H164" s="32" t="str">
        <f ca="1">IF($A164="","",INDEX(Sheet!L$2:L$7967,$A164))</f>
        <v/>
      </c>
      <c r="I164" s="32" t="str">
        <f ca="1">IF($A164="","",INDEX(Sheet!N$2:N$7967,$A164))</f>
        <v/>
      </c>
      <c r="J164" s="53" t="str">
        <f ca="1">IF($A164="","",INDEX(Sheet!AS$2:AS$7967,$A164))</f>
        <v/>
      </c>
      <c r="K164" s="33" t="str">
        <f ca="1">IF($A164="","",IF(INDEX(Sheet!S$2:S$7967,$A164)="","",INDEX(Sheet!S$2:S$7967,$A164)))</f>
        <v/>
      </c>
      <c r="L164" s="33" t="str">
        <f ca="1">IF($A164="","",IF(INDEX(Sheet!R$2:R$7967,$A164)="","",INDEX(Sheet!R$2:R$7967,$A164)))</f>
        <v/>
      </c>
      <c r="M164" s="33" t="str">
        <f ca="1">IF($A164="","",IF(INDEX(Sheet!AO$2:AO$7967,$A164)="","",INDEX(Sheet!AO$2:AO$7967,$A164)))</f>
        <v/>
      </c>
      <c r="N164" s="33" t="str">
        <f ca="1">IF($A164="","",IF(INDEX(Sheet!T$2:T$7967,$A164)="","",INDEX(Sheet!T$2:T$7967,$A164)))</f>
        <v/>
      </c>
      <c r="O164" s="33" t="str">
        <f ca="1">IF($A164="","",IF(INDEX(Sheet!U$2:U$7967,$A164)="","",INDEX(Sheet!U$2:U$7967,$A164)))</f>
        <v/>
      </c>
      <c r="P164" s="33" t="str">
        <f ca="1">IF($A164="","",IF(INDEX(Sheet!W$2:W$7967,$A164)="","",INDEX(Sheet!W$2:W$7967,$A164)))</f>
        <v/>
      </c>
      <c r="Q164" s="33" t="str">
        <f ca="1">IF($A164="","",IF(INDEX(Sheet!V$2:V$7967,$A164)="","",INDEX(Sheet!V$2:V$7967,$A164)))</f>
        <v/>
      </c>
      <c r="R164" s="33" t="str">
        <f ca="1">IF($A164="","",IF(INDEX(Sheet!Z$2:Z$7967,$A164)="","",INDEX(Sheet!Z$2:Z$7967,$A164)))</f>
        <v/>
      </c>
      <c r="S164" s="33" t="str">
        <f ca="1">IF($A164="","",IF(INDEX(Sheet!Y$2:Y$7967,$A164)="","",INDEX(Sheet!Y$2:Y$7967,$A164)))</f>
        <v/>
      </c>
      <c r="T164" s="33" t="str">
        <f ca="1">IF($A164="","",IF(INDEX(Sheet!X$2:X$7967,$A164)="","",INDEX(Sheet!X$2:X$7967,$A164)))</f>
        <v/>
      </c>
      <c r="U164" s="33" t="str">
        <f ca="1">IF($A164="","",IF(INDEX(Sheet!AA$2:AA$7967,$A164)="","",INDEX(Sheet!AA$2:AA$7967,$A164)))</f>
        <v/>
      </c>
      <c r="V164" s="33" t="str">
        <f ca="1">IF($A164="","",IF(INDEX(Sheet!AB$2:AB$7967,$A164)="","",INDEX(Sheet!AB$2:AB$7967,$A164)))</f>
        <v/>
      </c>
      <c r="W164" s="33" t="str">
        <f ca="1">IF($A164="","",IF(INDEX(Sheet!AH$2:AH$7967,$A164)="","",INDEX(Sheet!AH$2:AH$7967,$A164)))</f>
        <v/>
      </c>
      <c r="X164" s="33" t="str">
        <f ca="1">IF($A164="","",IF(INDEX(Sheet!AC$2:AC$7967,$A164)="","",INDEX(Sheet!AC$2:AC$7967,$A164)))</f>
        <v/>
      </c>
      <c r="Y164" s="33" t="str">
        <f ca="1">IF($A164="","",IF(INDEX(Sheet!AD$2:AD$7967,$A164)="","",INDEX(Sheet!AD$2:AD$7967,$A164)))</f>
        <v/>
      </c>
      <c r="Z164" s="33" t="str">
        <f ca="1">IF($A164="","",IF(INDEX(Sheet!AL$2:AL$7967,$A164)="","",INDEX(Sheet!AL$2:AL$7967,$A164)))</f>
        <v/>
      </c>
      <c r="AA164" s="33" t="str">
        <f ca="1">IF($A164="","",IF(INDEX(Sheet!AE$2:AE$7967,$A164)="","",INDEX(Sheet!AE$2:AE$7967,$A164)))</f>
        <v/>
      </c>
      <c r="AB164" s="33" t="str">
        <f ca="1">IF($A164="","",IF(INDEX(Sheet!AF$2:AF$7967,$A164)="","",INDEX(Sheet!AF$2:AF$7967,$A164)))</f>
        <v/>
      </c>
      <c r="AC164" s="33" t="str">
        <f ca="1">IF($A164="","",IF(INDEX(Sheet!AG$2:AG$7967,$A164)="","",INDEX(Sheet!AG$2:AG$7967,$A164)))</f>
        <v/>
      </c>
      <c r="AD164" s="33" t="str">
        <f ca="1">IF($A164="","",IF(INDEX(Sheet!AM$2:AM$7967,$A164)="","",INDEX(Sheet!AM$2:AM$7967,$A164)))</f>
        <v/>
      </c>
      <c r="AE164" s="33" t="str">
        <f ca="1">IF($A164="","",IF(INDEX(Sheet!AJ$2:AJ$7967,$A164)="","",INDEX(Sheet!AJ$2:AJ$7967,$A164)))</f>
        <v/>
      </c>
      <c r="AF164" s="33" t="str">
        <f ca="1">IF($A164="","",IF(INDEX(Sheet!AI$2:AI$7967,$A164)="","",INDEX(Sheet!AI$2:AI$7967,$A164)))</f>
        <v/>
      </c>
      <c r="AG164" s="33" t="str">
        <f ca="1">IF(D164="duyệt sản xuất"," Bảo Bảo, Ngày "&amp;DAY($J$4)&amp;" Tháng "&amp;MONTH($J$4)&amp;" Năm "&amp;YEAR($J$4),IF(D164="Phê duyệt","NGƯỜI LẬP",IF(D164="Nguyễn Ngọc Thắng","NGUYỄN THỊ MAI",IF($A164="","",INDEX(Sheet!AK$2:AK$7967,$A164)))))</f>
        <v/>
      </c>
      <c r="AH164" s="58" t="str">
        <f ca="1">IF($A164="","",INDEX(Sheet!AR$2:AR$7967,$A164)&amp;" ; "&amp;INDEX(Sheet!M$2:M$7967,$A164))</f>
        <v/>
      </c>
      <c r="AI164" s="1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G164" s="35" t="str">
        <f ca="1">IFERROR(VALUE(separ(INDEX(Sheet!Q$2:Q$7967,$A164),"-",1)),"")</f>
        <v/>
      </c>
      <c r="BH164" s="35" t="str">
        <f ca="1">IFERROR(VALUE(separ(INDEX(Sheet!R$2:R$7967,$A164),"-",1)),"")</f>
        <v/>
      </c>
      <c r="BI164" s="35" t="str">
        <f ca="1">IFERROR(VALUE(separ(INDEX(Sheet!S$2:S$7967,$A164),"-",1)),"")</f>
        <v/>
      </c>
      <c r="BJ164" s="35" t="str">
        <f ca="1">IFERROR(VALUE(separ(INDEX(Sheet!T$2:T$7967,$A164),"-",1)),"")</f>
        <v/>
      </c>
      <c r="BK164" s="35" t="str">
        <f ca="1">IFERROR(VALUE(separ(INDEX(Sheet!U$2:U$7967,$A164),"-",1)),"")</f>
        <v/>
      </c>
      <c r="BL164" s="35" t="str">
        <f ca="1">IFERROR(VALUE(separ(INDEX(Sheet!V$2:V$7967,$A164),"-",1)),"")</f>
        <v/>
      </c>
      <c r="BM164" s="35" t="str">
        <f ca="1">IFERROR(VALUE(separ(INDEX(Sheet!W$2:W$7967,$A164),"-",1)),"")</f>
        <v/>
      </c>
      <c r="BN164" s="35" t="str">
        <f ca="1">IFERROR(VALUE(separ(INDEX(Sheet!X$2:X$7967,$A164),"-",1)),"")</f>
        <v/>
      </c>
      <c r="BO164" s="35" t="str">
        <f ca="1">IFERROR(VALUE(separ(INDEX(Sheet!Y$2:Y$7967,$A164),"-",1)),"")</f>
        <v/>
      </c>
      <c r="BP164" s="35" t="str">
        <f ca="1">IFERROR(VALUE(separ(INDEX(Sheet!Z$2:Z$7967,$A164),"-",1)),"")</f>
        <v/>
      </c>
      <c r="BQ164" s="35" t="str">
        <f ca="1">IFERROR(VALUE(separ(INDEX(Sheet!AA$2:AA$7967,$A164),"-",1)),"")</f>
        <v/>
      </c>
      <c r="BR164" s="35" t="str">
        <f ca="1">IFERROR(VALUE(separ(INDEX(Sheet!AB$2:AB$7967,$A164),"-",1)),"")</f>
        <v/>
      </c>
      <c r="BS164" s="35" t="str">
        <f ca="1">IFERROR(VALUE(separ(INDEX(Sheet!AC$2:AC$7967,$A164),"-",1)),"")</f>
        <v/>
      </c>
      <c r="BT164" s="35" t="str">
        <f ca="1">IFERROR(VALUE(separ(INDEX(Sheet!AD$2:AD$7967,$A164),"-",1)),"")</f>
        <v/>
      </c>
      <c r="BU164" s="35" t="str">
        <f ca="1">IFERROR(VALUE(separ(INDEX(Sheet!AE$2:AE$7967,$A164),"-",1)),"")</f>
        <v/>
      </c>
      <c r="BV164" s="35"/>
      <c r="BW164" s="35" t="str">
        <f ca="1">IFERROR((separ(INDEX(Sheet!Q$2:Q$7967,$A164),"-",2)),"")</f>
        <v/>
      </c>
      <c r="BX164" s="35" t="str">
        <f ca="1">IFERROR((separ(INDEX(Sheet!R$2:R$7967,$A164),"-",2)),"")</f>
        <v/>
      </c>
      <c r="BY164" s="35" t="str">
        <f ca="1">IFERROR((separ(INDEX(Sheet!S$2:S$7967,$A164),"-",2)),"")</f>
        <v/>
      </c>
      <c r="BZ164" s="35" t="str">
        <f ca="1">IFERROR((separ(INDEX(Sheet!T$2:T$7967,$A164),"-",2)),"")</f>
        <v/>
      </c>
      <c r="CA164" s="35" t="str">
        <f ca="1">IFERROR((separ(INDEX(Sheet!U$2:U$7967,$A164),"-",2)),"")</f>
        <v/>
      </c>
      <c r="CB164" s="35" t="str">
        <f ca="1">IFERROR((separ(INDEX(Sheet!V$2:V$7967,$A164),"-",2)),"")</f>
        <v/>
      </c>
      <c r="CC164" s="35" t="str">
        <f ca="1">IFERROR((separ(INDEX(Sheet!W$2:W$7967,$A164),"-",2)),"")</f>
        <v/>
      </c>
      <c r="CD164" s="35" t="str">
        <f ca="1">IFERROR((separ(INDEX(Sheet!X$2:X$7967,$A164),"-",2)),"")</f>
        <v/>
      </c>
      <c r="CE164" s="35" t="str">
        <f ca="1">IFERROR((separ(INDEX(Sheet!Y$2:Y$7967,$A164),"-",2)),"")</f>
        <v/>
      </c>
      <c r="CF164" s="35" t="str">
        <f ca="1">IFERROR((separ(INDEX(Sheet!Z$2:Z$7967,$A164),"-",2)),"")</f>
        <v/>
      </c>
      <c r="CG164" s="35" t="str">
        <f ca="1">IFERROR((separ(INDEX(Sheet!AA$2:AA$7967,$A164),"-",2)),"")</f>
        <v/>
      </c>
      <c r="CH164" s="35" t="str">
        <f ca="1">IFERROR((separ(INDEX(Sheet!AB$2:AB$7967,$A164),"-",2)),"")</f>
        <v/>
      </c>
      <c r="CI164" s="35" t="str">
        <f ca="1">IFERROR((separ(INDEX(Sheet!AC$2:AC$7967,$A164),"-",2)),"")</f>
        <v/>
      </c>
      <c r="CJ164" s="35" t="str">
        <f ca="1">IFERROR((separ(INDEX(Sheet!AD$2:AD$7967,$A164),"-",2)),"")</f>
        <v/>
      </c>
      <c r="CK164" s="35" t="str">
        <f ca="1">IFERROR((separ(INDEX(Sheet!AE$2:AE$7967,$A164),"-",2)),"")</f>
        <v/>
      </c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</row>
    <row r="165" spans="1:104" s="29" customFormat="1">
      <c r="A165" s="45" t="str">
        <f ca="1">IFERROR(MATCH($B$3,OFFSET(Sheet!$D$2,A164,0):'Sheet'!$D$7657,0)+A164,"")</f>
        <v/>
      </c>
      <c r="B165" s="29" t="str">
        <f ca="1">IF(ROW(A158)&lt;=COUNT($A$6:$A$800),INDEX(Sheet!$A$2:$A$7967,$A165),IF(ROW(A158)=COUNT($A$6:$A$800)+1," ",IF(ROW(A158)=COUNT($A$6:$A$800)+2,"  ","")))</f>
        <v/>
      </c>
      <c r="C165" s="67" t="str">
        <f ca="1">IF($A165="","",INDEX(Sheet!E$2:E$7967,$A165))</f>
        <v/>
      </c>
      <c r="D165" s="31" t="str">
        <f ca="1">IF(B162=" ",$AR$1,IF(B165=" ",$AQ$1,IF(A165="","",INDEX(Sheet!G$2:G$7967,$A165))))</f>
        <v/>
      </c>
      <c r="E165" s="32" t="str">
        <f ca="1">IF($A165="","",TEXT(INDEX(Sheet!J$2:J$7967,$A165),"#,#")&amp;" "&amp;INDEX(Sheet!AT$2:AT$7967,$A165))</f>
        <v/>
      </c>
      <c r="F165" s="53" t="str">
        <f ca="1">IF($A165="","",INDEX(Sheet!F$2:F$7967,$A165))</f>
        <v/>
      </c>
      <c r="G165" s="32" t="str">
        <f ca="1">IF($A165="","",INDEX(Sheet!I$2:I$7967,$A165))</f>
        <v/>
      </c>
      <c r="H165" s="32" t="str">
        <f ca="1">IF($A165="","",INDEX(Sheet!L$2:L$7967,$A165))</f>
        <v/>
      </c>
      <c r="I165" s="32" t="str">
        <f ca="1">IF($A165="","",INDEX(Sheet!N$2:N$7967,$A165))</f>
        <v/>
      </c>
      <c r="J165" s="53" t="str">
        <f ca="1">IF($A165="","",INDEX(Sheet!AS$2:AS$7967,$A165))</f>
        <v/>
      </c>
      <c r="K165" s="33" t="str">
        <f ca="1">IF($A165="","",IF(INDEX(Sheet!S$2:S$7967,$A165)="","",INDEX(Sheet!S$2:S$7967,$A165)))</f>
        <v/>
      </c>
      <c r="L165" s="33" t="str">
        <f ca="1">IF($A165="","",IF(INDEX(Sheet!R$2:R$7967,$A165)="","",INDEX(Sheet!R$2:R$7967,$A165)))</f>
        <v/>
      </c>
      <c r="M165" s="33" t="str">
        <f ca="1">IF($A165="","",IF(INDEX(Sheet!AO$2:AO$7967,$A165)="","",INDEX(Sheet!AO$2:AO$7967,$A165)))</f>
        <v/>
      </c>
      <c r="N165" s="33" t="str">
        <f ca="1">IF($A165="","",IF(INDEX(Sheet!T$2:T$7967,$A165)="","",INDEX(Sheet!T$2:T$7967,$A165)))</f>
        <v/>
      </c>
      <c r="O165" s="33" t="str">
        <f ca="1">IF($A165="","",IF(INDEX(Sheet!U$2:U$7967,$A165)="","",INDEX(Sheet!U$2:U$7967,$A165)))</f>
        <v/>
      </c>
      <c r="P165" s="33" t="str">
        <f ca="1">IF($A165="","",IF(INDEX(Sheet!W$2:W$7967,$A165)="","",INDEX(Sheet!W$2:W$7967,$A165)))</f>
        <v/>
      </c>
      <c r="Q165" s="33" t="str">
        <f ca="1">IF($A165="","",IF(INDEX(Sheet!V$2:V$7967,$A165)="","",INDEX(Sheet!V$2:V$7967,$A165)))</f>
        <v/>
      </c>
      <c r="R165" s="33" t="str">
        <f ca="1">IF($A165="","",IF(INDEX(Sheet!Z$2:Z$7967,$A165)="","",INDEX(Sheet!Z$2:Z$7967,$A165)))</f>
        <v/>
      </c>
      <c r="S165" s="33" t="str">
        <f ca="1">IF($A165="","",IF(INDEX(Sheet!Y$2:Y$7967,$A165)="","",INDEX(Sheet!Y$2:Y$7967,$A165)))</f>
        <v/>
      </c>
      <c r="T165" s="33" t="str">
        <f ca="1">IF($A165="","",IF(INDEX(Sheet!X$2:X$7967,$A165)="","",INDEX(Sheet!X$2:X$7967,$A165)))</f>
        <v/>
      </c>
      <c r="U165" s="33" t="str">
        <f ca="1">IF($A165="","",IF(INDEX(Sheet!AA$2:AA$7967,$A165)="","",INDEX(Sheet!AA$2:AA$7967,$A165)))</f>
        <v/>
      </c>
      <c r="V165" s="33" t="str">
        <f ca="1">IF($A165="","",IF(INDEX(Sheet!AB$2:AB$7967,$A165)="","",INDEX(Sheet!AB$2:AB$7967,$A165)))</f>
        <v/>
      </c>
      <c r="W165" s="33" t="str">
        <f ca="1">IF($A165="","",IF(INDEX(Sheet!AH$2:AH$7967,$A165)="","",INDEX(Sheet!AH$2:AH$7967,$A165)))</f>
        <v/>
      </c>
      <c r="X165" s="33" t="str">
        <f ca="1">IF($A165="","",IF(INDEX(Sheet!AC$2:AC$7967,$A165)="","",INDEX(Sheet!AC$2:AC$7967,$A165)))</f>
        <v/>
      </c>
      <c r="Y165" s="33" t="str">
        <f ca="1">IF($A165="","",IF(INDEX(Sheet!AD$2:AD$7967,$A165)="","",INDEX(Sheet!AD$2:AD$7967,$A165)))</f>
        <v/>
      </c>
      <c r="Z165" s="33" t="str">
        <f ca="1">IF($A165="","",IF(INDEX(Sheet!AL$2:AL$7967,$A165)="","",INDEX(Sheet!AL$2:AL$7967,$A165)))</f>
        <v/>
      </c>
      <c r="AA165" s="33" t="str">
        <f ca="1">IF($A165="","",IF(INDEX(Sheet!AE$2:AE$7967,$A165)="","",INDEX(Sheet!AE$2:AE$7967,$A165)))</f>
        <v/>
      </c>
      <c r="AB165" s="33" t="str">
        <f ca="1">IF($A165="","",IF(INDEX(Sheet!AF$2:AF$7967,$A165)="","",INDEX(Sheet!AF$2:AF$7967,$A165)))</f>
        <v/>
      </c>
      <c r="AC165" s="33" t="str">
        <f ca="1">IF($A165="","",IF(INDEX(Sheet!AG$2:AG$7967,$A165)="","",INDEX(Sheet!AG$2:AG$7967,$A165)))</f>
        <v/>
      </c>
      <c r="AD165" s="33" t="str">
        <f ca="1">IF($A165="","",IF(INDEX(Sheet!AM$2:AM$7967,$A165)="","",INDEX(Sheet!AM$2:AM$7967,$A165)))</f>
        <v/>
      </c>
      <c r="AE165" s="33" t="str">
        <f ca="1">IF($A165="","",IF(INDEX(Sheet!AJ$2:AJ$7967,$A165)="","",INDEX(Sheet!AJ$2:AJ$7967,$A165)))</f>
        <v/>
      </c>
      <c r="AF165" s="33" t="str">
        <f ca="1">IF($A165="","",IF(INDEX(Sheet!AI$2:AI$7967,$A165)="","",INDEX(Sheet!AI$2:AI$7967,$A165)))</f>
        <v/>
      </c>
      <c r="AG165" s="33" t="str">
        <f ca="1">IF(D165="duyệt sản xuất"," Bảo Bảo, Ngày "&amp;DAY($J$4)&amp;" Tháng "&amp;MONTH($J$4)&amp;" Năm "&amp;YEAR($J$4),IF(D165="Phê duyệt","NGƯỜI LẬP",IF(D165="Nguyễn Ngọc Thắng","NGUYỄN THỊ MAI",IF($A165="","",INDEX(Sheet!AK$2:AK$7967,$A165)))))</f>
        <v/>
      </c>
      <c r="AH165" s="58" t="str">
        <f ca="1">IF($A165="","",INDEX(Sheet!AR$2:AR$7967,$A165)&amp;" ; "&amp;INDEX(Sheet!M$2:M$7967,$A165))</f>
        <v/>
      </c>
      <c r="AI165" s="1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G165" s="35" t="str">
        <f ca="1">IFERROR(VALUE(separ(INDEX(Sheet!Q$2:Q$7967,$A165),"-",1)),"")</f>
        <v/>
      </c>
      <c r="BH165" s="35" t="str">
        <f ca="1">IFERROR(VALUE(separ(INDEX(Sheet!R$2:R$7967,$A165),"-",1)),"")</f>
        <v/>
      </c>
      <c r="BI165" s="35" t="str">
        <f ca="1">IFERROR(VALUE(separ(INDEX(Sheet!S$2:S$7967,$A165),"-",1)),"")</f>
        <v/>
      </c>
      <c r="BJ165" s="35" t="str">
        <f ca="1">IFERROR(VALUE(separ(INDEX(Sheet!T$2:T$7967,$A165),"-",1)),"")</f>
        <v/>
      </c>
      <c r="BK165" s="35" t="str">
        <f ca="1">IFERROR(VALUE(separ(INDEX(Sheet!U$2:U$7967,$A165),"-",1)),"")</f>
        <v/>
      </c>
      <c r="BL165" s="35" t="str">
        <f ca="1">IFERROR(VALUE(separ(INDEX(Sheet!V$2:V$7967,$A165),"-",1)),"")</f>
        <v/>
      </c>
      <c r="BM165" s="35" t="str">
        <f ca="1">IFERROR(VALUE(separ(INDEX(Sheet!W$2:W$7967,$A165),"-",1)),"")</f>
        <v/>
      </c>
      <c r="BN165" s="35" t="str">
        <f ca="1">IFERROR(VALUE(separ(INDEX(Sheet!X$2:X$7967,$A165),"-",1)),"")</f>
        <v/>
      </c>
      <c r="BO165" s="35" t="str">
        <f ca="1">IFERROR(VALUE(separ(INDEX(Sheet!Y$2:Y$7967,$A165),"-",1)),"")</f>
        <v/>
      </c>
      <c r="BP165" s="35" t="str">
        <f ca="1">IFERROR(VALUE(separ(INDEX(Sheet!Z$2:Z$7967,$A165),"-",1)),"")</f>
        <v/>
      </c>
      <c r="BQ165" s="35" t="str">
        <f ca="1">IFERROR(VALUE(separ(INDEX(Sheet!AA$2:AA$7967,$A165),"-",1)),"")</f>
        <v/>
      </c>
      <c r="BR165" s="35" t="str">
        <f ca="1">IFERROR(VALUE(separ(INDEX(Sheet!AB$2:AB$7967,$A165),"-",1)),"")</f>
        <v/>
      </c>
      <c r="BS165" s="35" t="str">
        <f ca="1">IFERROR(VALUE(separ(INDEX(Sheet!AC$2:AC$7967,$A165),"-",1)),"")</f>
        <v/>
      </c>
      <c r="BT165" s="35" t="str">
        <f ca="1">IFERROR(VALUE(separ(INDEX(Sheet!AD$2:AD$7967,$A165),"-",1)),"")</f>
        <v/>
      </c>
      <c r="BU165" s="35" t="str">
        <f ca="1">IFERROR(VALUE(separ(INDEX(Sheet!AE$2:AE$7967,$A165),"-",1)),"")</f>
        <v/>
      </c>
      <c r="BV165" s="35"/>
      <c r="BW165" s="35" t="str">
        <f ca="1">IFERROR((separ(INDEX(Sheet!Q$2:Q$7967,$A165),"-",2)),"")</f>
        <v/>
      </c>
      <c r="BX165" s="35" t="str">
        <f ca="1">IFERROR((separ(INDEX(Sheet!R$2:R$7967,$A165),"-",2)),"")</f>
        <v/>
      </c>
      <c r="BY165" s="35" t="str">
        <f ca="1">IFERROR((separ(INDEX(Sheet!S$2:S$7967,$A165),"-",2)),"")</f>
        <v/>
      </c>
      <c r="BZ165" s="35" t="str">
        <f ca="1">IFERROR((separ(INDEX(Sheet!T$2:T$7967,$A165),"-",2)),"")</f>
        <v/>
      </c>
      <c r="CA165" s="35" t="str">
        <f ca="1">IFERROR((separ(INDEX(Sheet!U$2:U$7967,$A165),"-",2)),"")</f>
        <v/>
      </c>
      <c r="CB165" s="35" t="str">
        <f ca="1">IFERROR((separ(INDEX(Sheet!V$2:V$7967,$A165),"-",2)),"")</f>
        <v/>
      </c>
      <c r="CC165" s="35" t="str">
        <f ca="1">IFERROR((separ(INDEX(Sheet!W$2:W$7967,$A165),"-",2)),"")</f>
        <v/>
      </c>
      <c r="CD165" s="35" t="str">
        <f ca="1">IFERROR((separ(INDEX(Sheet!X$2:X$7967,$A165),"-",2)),"")</f>
        <v/>
      </c>
      <c r="CE165" s="35" t="str">
        <f ca="1">IFERROR((separ(INDEX(Sheet!Y$2:Y$7967,$A165),"-",2)),"")</f>
        <v/>
      </c>
      <c r="CF165" s="35" t="str">
        <f ca="1">IFERROR((separ(INDEX(Sheet!Z$2:Z$7967,$A165),"-",2)),"")</f>
        <v/>
      </c>
      <c r="CG165" s="35" t="str">
        <f ca="1">IFERROR((separ(INDEX(Sheet!AA$2:AA$7967,$A165),"-",2)),"")</f>
        <v/>
      </c>
      <c r="CH165" s="35" t="str">
        <f ca="1">IFERROR((separ(INDEX(Sheet!AB$2:AB$7967,$A165),"-",2)),"")</f>
        <v/>
      </c>
      <c r="CI165" s="35" t="str">
        <f ca="1">IFERROR((separ(INDEX(Sheet!AC$2:AC$7967,$A165),"-",2)),"")</f>
        <v/>
      </c>
      <c r="CJ165" s="35" t="str">
        <f ca="1">IFERROR((separ(INDEX(Sheet!AD$2:AD$7967,$A165),"-",2)),"")</f>
        <v/>
      </c>
      <c r="CK165" s="35" t="str">
        <f ca="1">IFERROR((separ(INDEX(Sheet!AE$2:AE$7967,$A165),"-",2)),"")</f>
        <v/>
      </c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</row>
    <row r="166" spans="1:104" s="29" customFormat="1">
      <c r="A166" s="45" t="str">
        <f ca="1">IFERROR(MATCH($B$3,OFFSET(Sheet!$D$2,A165,0):'Sheet'!$D$7657,0)+A165,"")</f>
        <v/>
      </c>
      <c r="B166" s="29" t="str">
        <f ca="1">IF(ROW(A159)&lt;=COUNT($A$6:$A$800),INDEX(Sheet!$A$2:$A$7967,$A166),IF(ROW(A159)=COUNT($A$6:$A$800)+1," ",IF(ROW(A159)=COUNT($A$6:$A$800)+2,"  ","")))</f>
        <v/>
      </c>
      <c r="C166" s="67" t="str">
        <f ca="1">IF($A166="","",INDEX(Sheet!E$2:E$7967,$A166))</f>
        <v/>
      </c>
      <c r="D166" s="31" t="str">
        <f ca="1">IF(B163=" ",$AR$1,IF(B166=" ",$AQ$1,IF(A166="","",INDEX(Sheet!G$2:G$7967,$A166))))</f>
        <v/>
      </c>
      <c r="E166" s="32" t="str">
        <f ca="1">IF($A166="","",TEXT(INDEX(Sheet!J$2:J$7967,$A166),"#,#")&amp;" "&amp;INDEX(Sheet!AT$2:AT$7967,$A166))</f>
        <v/>
      </c>
      <c r="F166" s="53" t="str">
        <f ca="1">IF($A166="","",INDEX(Sheet!F$2:F$7967,$A166))</f>
        <v/>
      </c>
      <c r="G166" s="32" t="str">
        <f ca="1">IF($A166="","",INDEX(Sheet!I$2:I$7967,$A166))</f>
        <v/>
      </c>
      <c r="H166" s="32" t="str">
        <f ca="1">IF($A166="","",INDEX(Sheet!L$2:L$7967,$A166))</f>
        <v/>
      </c>
      <c r="I166" s="32" t="str">
        <f ca="1">IF($A166="","",INDEX(Sheet!N$2:N$7967,$A166))</f>
        <v/>
      </c>
      <c r="J166" s="53" t="str">
        <f ca="1">IF($A166="","",INDEX(Sheet!AS$2:AS$7967,$A166))</f>
        <v/>
      </c>
      <c r="K166" s="33" t="str">
        <f ca="1">IF($A166="","",IF(INDEX(Sheet!S$2:S$7967,$A166)="","",INDEX(Sheet!S$2:S$7967,$A166)))</f>
        <v/>
      </c>
      <c r="L166" s="33" t="str">
        <f ca="1">IF($A166="","",IF(INDEX(Sheet!R$2:R$7967,$A166)="","",INDEX(Sheet!R$2:R$7967,$A166)))</f>
        <v/>
      </c>
      <c r="M166" s="33" t="str">
        <f ca="1">IF($A166="","",IF(INDEX(Sheet!AO$2:AO$7967,$A166)="","",INDEX(Sheet!AO$2:AO$7967,$A166)))</f>
        <v/>
      </c>
      <c r="N166" s="33" t="str">
        <f ca="1">IF($A166="","",IF(INDEX(Sheet!T$2:T$7967,$A166)="","",INDEX(Sheet!T$2:T$7967,$A166)))</f>
        <v/>
      </c>
      <c r="O166" s="33" t="str">
        <f ca="1">IF($A166="","",IF(INDEX(Sheet!U$2:U$7967,$A166)="","",INDEX(Sheet!U$2:U$7967,$A166)))</f>
        <v/>
      </c>
      <c r="P166" s="33" t="str">
        <f ca="1">IF($A166="","",IF(INDEX(Sheet!W$2:W$7967,$A166)="","",INDEX(Sheet!W$2:W$7967,$A166)))</f>
        <v/>
      </c>
      <c r="Q166" s="33" t="str">
        <f ca="1">IF($A166="","",IF(INDEX(Sheet!V$2:V$7967,$A166)="","",INDEX(Sheet!V$2:V$7967,$A166)))</f>
        <v/>
      </c>
      <c r="R166" s="33" t="str">
        <f ca="1">IF($A166="","",IF(INDEX(Sheet!Z$2:Z$7967,$A166)="","",INDEX(Sheet!Z$2:Z$7967,$A166)))</f>
        <v/>
      </c>
      <c r="S166" s="33" t="str">
        <f ca="1">IF($A166="","",IF(INDEX(Sheet!Y$2:Y$7967,$A166)="","",INDEX(Sheet!Y$2:Y$7967,$A166)))</f>
        <v/>
      </c>
      <c r="T166" s="33" t="str">
        <f ca="1">IF($A166="","",IF(INDEX(Sheet!X$2:X$7967,$A166)="","",INDEX(Sheet!X$2:X$7967,$A166)))</f>
        <v/>
      </c>
      <c r="U166" s="33" t="str">
        <f ca="1">IF($A166="","",IF(INDEX(Sheet!AA$2:AA$7967,$A166)="","",INDEX(Sheet!AA$2:AA$7967,$A166)))</f>
        <v/>
      </c>
      <c r="V166" s="33" t="str">
        <f ca="1">IF($A166="","",IF(INDEX(Sheet!AB$2:AB$7967,$A166)="","",INDEX(Sheet!AB$2:AB$7967,$A166)))</f>
        <v/>
      </c>
      <c r="W166" s="33" t="str">
        <f ca="1">IF($A166="","",IF(INDEX(Sheet!AH$2:AH$7967,$A166)="","",INDEX(Sheet!AH$2:AH$7967,$A166)))</f>
        <v/>
      </c>
      <c r="X166" s="33" t="str">
        <f ca="1">IF($A166="","",IF(INDEX(Sheet!AC$2:AC$7967,$A166)="","",INDEX(Sheet!AC$2:AC$7967,$A166)))</f>
        <v/>
      </c>
      <c r="Y166" s="33" t="str">
        <f ca="1">IF($A166="","",IF(INDEX(Sheet!AD$2:AD$7967,$A166)="","",INDEX(Sheet!AD$2:AD$7967,$A166)))</f>
        <v/>
      </c>
      <c r="Z166" s="33" t="str">
        <f ca="1">IF($A166="","",IF(INDEX(Sheet!AL$2:AL$7967,$A166)="","",INDEX(Sheet!AL$2:AL$7967,$A166)))</f>
        <v/>
      </c>
      <c r="AA166" s="33" t="str">
        <f ca="1">IF($A166="","",IF(INDEX(Sheet!AE$2:AE$7967,$A166)="","",INDEX(Sheet!AE$2:AE$7967,$A166)))</f>
        <v/>
      </c>
      <c r="AB166" s="33" t="str">
        <f ca="1">IF($A166="","",IF(INDEX(Sheet!AF$2:AF$7967,$A166)="","",INDEX(Sheet!AF$2:AF$7967,$A166)))</f>
        <v/>
      </c>
      <c r="AC166" s="33" t="str">
        <f ca="1">IF($A166="","",IF(INDEX(Sheet!AG$2:AG$7967,$A166)="","",INDEX(Sheet!AG$2:AG$7967,$A166)))</f>
        <v/>
      </c>
      <c r="AD166" s="33" t="str">
        <f ca="1">IF($A166="","",IF(INDEX(Sheet!AM$2:AM$7967,$A166)="","",INDEX(Sheet!AM$2:AM$7967,$A166)))</f>
        <v/>
      </c>
      <c r="AE166" s="33" t="str">
        <f ca="1">IF($A166="","",IF(INDEX(Sheet!AJ$2:AJ$7967,$A166)="","",INDEX(Sheet!AJ$2:AJ$7967,$A166)))</f>
        <v/>
      </c>
      <c r="AF166" s="33" t="str">
        <f ca="1">IF($A166="","",IF(INDEX(Sheet!AI$2:AI$7967,$A166)="","",INDEX(Sheet!AI$2:AI$7967,$A166)))</f>
        <v/>
      </c>
      <c r="AG166" s="33" t="str">
        <f ca="1">IF(D166="duyệt sản xuất"," Bảo Bảo, Ngày "&amp;DAY($J$4)&amp;" Tháng "&amp;MONTH($J$4)&amp;" Năm "&amp;YEAR($J$4),IF(D166="Phê duyệt","NGƯỜI LẬP",IF(D166="Nguyễn Ngọc Thắng","NGUYỄN THỊ MAI",IF($A166="","",INDEX(Sheet!AK$2:AK$7967,$A166)))))</f>
        <v/>
      </c>
      <c r="AH166" s="58" t="str">
        <f ca="1">IF($A166="","",INDEX(Sheet!AR$2:AR$7967,$A166)&amp;" ; "&amp;INDEX(Sheet!M$2:M$7967,$A166))</f>
        <v/>
      </c>
      <c r="AI166" s="1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G166" s="35" t="str">
        <f ca="1">IFERROR(VALUE(separ(INDEX(Sheet!Q$2:Q$7967,$A166),"-",1)),"")</f>
        <v/>
      </c>
      <c r="BH166" s="35" t="str">
        <f ca="1">IFERROR(VALUE(separ(INDEX(Sheet!R$2:R$7967,$A166),"-",1)),"")</f>
        <v/>
      </c>
      <c r="BI166" s="35" t="str">
        <f ca="1">IFERROR(VALUE(separ(INDEX(Sheet!S$2:S$7967,$A166),"-",1)),"")</f>
        <v/>
      </c>
      <c r="BJ166" s="35" t="str">
        <f ca="1">IFERROR(VALUE(separ(INDEX(Sheet!T$2:T$7967,$A166),"-",1)),"")</f>
        <v/>
      </c>
      <c r="BK166" s="35" t="str">
        <f ca="1">IFERROR(VALUE(separ(INDEX(Sheet!U$2:U$7967,$A166),"-",1)),"")</f>
        <v/>
      </c>
      <c r="BL166" s="35" t="str">
        <f ca="1">IFERROR(VALUE(separ(INDEX(Sheet!V$2:V$7967,$A166),"-",1)),"")</f>
        <v/>
      </c>
      <c r="BM166" s="35" t="str">
        <f ca="1">IFERROR(VALUE(separ(INDEX(Sheet!W$2:W$7967,$A166),"-",1)),"")</f>
        <v/>
      </c>
      <c r="BN166" s="35" t="str">
        <f ca="1">IFERROR(VALUE(separ(INDEX(Sheet!X$2:X$7967,$A166),"-",1)),"")</f>
        <v/>
      </c>
      <c r="BO166" s="35" t="str">
        <f ca="1">IFERROR(VALUE(separ(INDEX(Sheet!Y$2:Y$7967,$A166),"-",1)),"")</f>
        <v/>
      </c>
      <c r="BP166" s="35" t="str">
        <f ca="1">IFERROR(VALUE(separ(INDEX(Sheet!Z$2:Z$7967,$A166),"-",1)),"")</f>
        <v/>
      </c>
      <c r="BQ166" s="35" t="str">
        <f ca="1">IFERROR(VALUE(separ(INDEX(Sheet!AA$2:AA$7967,$A166),"-",1)),"")</f>
        <v/>
      </c>
      <c r="BR166" s="35" t="str">
        <f ca="1">IFERROR(VALUE(separ(INDEX(Sheet!AB$2:AB$7967,$A166),"-",1)),"")</f>
        <v/>
      </c>
      <c r="BS166" s="35" t="str">
        <f ca="1">IFERROR(VALUE(separ(INDEX(Sheet!AC$2:AC$7967,$A166),"-",1)),"")</f>
        <v/>
      </c>
      <c r="BT166" s="35" t="str">
        <f ca="1">IFERROR(VALUE(separ(INDEX(Sheet!AD$2:AD$7967,$A166),"-",1)),"")</f>
        <v/>
      </c>
      <c r="BU166" s="35" t="str">
        <f ca="1">IFERROR(VALUE(separ(INDEX(Sheet!AE$2:AE$7967,$A166),"-",1)),"")</f>
        <v/>
      </c>
      <c r="BV166" s="35"/>
      <c r="BW166" s="35" t="str">
        <f ca="1">IFERROR((separ(INDEX(Sheet!Q$2:Q$7967,$A166),"-",2)),"")</f>
        <v/>
      </c>
      <c r="BX166" s="35" t="str">
        <f ca="1">IFERROR((separ(INDEX(Sheet!R$2:R$7967,$A166),"-",2)),"")</f>
        <v/>
      </c>
      <c r="BY166" s="35" t="str">
        <f ca="1">IFERROR((separ(INDEX(Sheet!S$2:S$7967,$A166),"-",2)),"")</f>
        <v/>
      </c>
      <c r="BZ166" s="35" t="str">
        <f ca="1">IFERROR((separ(INDEX(Sheet!T$2:T$7967,$A166),"-",2)),"")</f>
        <v/>
      </c>
      <c r="CA166" s="35" t="str">
        <f ca="1">IFERROR((separ(INDEX(Sheet!U$2:U$7967,$A166),"-",2)),"")</f>
        <v/>
      </c>
      <c r="CB166" s="35" t="str">
        <f ca="1">IFERROR((separ(INDEX(Sheet!V$2:V$7967,$A166),"-",2)),"")</f>
        <v/>
      </c>
      <c r="CC166" s="35" t="str">
        <f ca="1">IFERROR((separ(INDEX(Sheet!W$2:W$7967,$A166),"-",2)),"")</f>
        <v/>
      </c>
      <c r="CD166" s="35" t="str">
        <f ca="1">IFERROR((separ(INDEX(Sheet!X$2:X$7967,$A166),"-",2)),"")</f>
        <v/>
      </c>
      <c r="CE166" s="35" t="str">
        <f ca="1">IFERROR((separ(INDEX(Sheet!Y$2:Y$7967,$A166),"-",2)),"")</f>
        <v/>
      </c>
      <c r="CF166" s="35" t="str">
        <f ca="1">IFERROR((separ(INDEX(Sheet!Z$2:Z$7967,$A166),"-",2)),"")</f>
        <v/>
      </c>
      <c r="CG166" s="35" t="str">
        <f ca="1">IFERROR((separ(INDEX(Sheet!AA$2:AA$7967,$A166),"-",2)),"")</f>
        <v/>
      </c>
      <c r="CH166" s="35" t="str">
        <f ca="1">IFERROR((separ(INDEX(Sheet!AB$2:AB$7967,$A166),"-",2)),"")</f>
        <v/>
      </c>
      <c r="CI166" s="35" t="str">
        <f ca="1">IFERROR((separ(INDEX(Sheet!AC$2:AC$7967,$A166),"-",2)),"")</f>
        <v/>
      </c>
      <c r="CJ166" s="35" t="str">
        <f ca="1">IFERROR((separ(INDEX(Sheet!AD$2:AD$7967,$A166),"-",2)),"")</f>
        <v/>
      </c>
      <c r="CK166" s="35" t="str">
        <f ca="1">IFERROR((separ(INDEX(Sheet!AE$2:AE$7967,$A166),"-",2)),"")</f>
        <v/>
      </c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</row>
    <row r="167" spans="1:104" s="29" customFormat="1">
      <c r="A167" s="45" t="str">
        <f ca="1">IFERROR(MATCH($B$3,OFFSET(Sheet!$D$2,A166,0):'Sheet'!$D$7657,0)+A166,"")</f>
        <v/>
      </c>
      <c r="B167" s="29" t="str">
        <f ca="1">IF(ROW(A160)&lt;=COUNT($A$6:$A$800),INDEX(Sheet!$A$2:$A$7967,$A167),IF(ROW(A160)=COUNT($A$6:$A$800)+1," ",IF(ROW(A160)=COUNT($A$6:$A$800)+2,"  ","")))</f>
        <v/>
      </c>
      <c r="C167" s="67" t="str">
        <f ca="1">IF($A167="","",INDEX(Sheet!E$2:E$7967,$A167))</f>
        <v/>
      </c>
      <c r="D167" s="31" t="str">
        <f ca="1">IF(B164=" ",$AR$1,IF(B167=" ",$AQ$1,IF(A167="","",INDEX(Sheet!G$2:G$7967,$A167))))</f>
        <v/>
      </c>
      <c r="E167" s="32" t="str">
        <f ca="1">IF($A167="","",TEXT(INDEX(Sheet!J$2:J$7967,$A167),"#,#")&amp;" "&amp;INDEX(Sheet!AT$2:AT$7967,$A167))</f>
        <v/>
      </c>
      <c r="F167" s="53" t="str">
        <f ca="1">IF($A167="","",INDEX(Sheet!F$2:F$7967,$A167))</f>
        <v/>
      </c>
      <c r="G167" s="32" t="str">
        <f ca="1">IF($A167="","",INDEX(Sheet!I$2:I$7967,$A167))</f>
        <v/>
      </c>
      <c r="H167" s="32" t="str">
        <f ca="1">IF($A167="","",INDEX(Sheet!L$2:L$7967,$A167))</f>
        <v/>
      </c>
      <c r="I167" s="32" t="str">
        <f ca="1">IF($A167="","",INDEX(Sheet!N$2:N$7967,$A167))</f>
        <v/>
      </c>
      <c r="J167" s="53" t="str">
        <f ca="1">IF($A167="","",INDEX(Sheet!AS$2:AS$7967,$A167))</f>
        <v/>
      </c>
      <c r="K167" s="33" t="str">
        <f ca="1">IF($A167="","",IF(INDEX(Sheet!S$2:S$7967,$A167)="","",INDEX(Sheet!S$2:S$7967,$A167)))</f>
        <v/>
      </c>
      <c r="L167" s="33" t="str">
        <f ca="1">IF($A167="","",IF(INDEX(Sheet!R$2:R$7967,$A167)="","",INDEX(Sheet!R$2:R$7967,$A167)))</f>
        <v/>
      </c>
      <c r="M167" s="33" t="str">
        <f ca="1">IF($A167="","",IF(INDEX(Sheet!AO$2:AO$7967,$A167)="","",INDEX(Sheet!AO$2:AO$7967,$A167)))</f>
        <v/>
      </c>
      <c r="N167" s="33" t="str">
        <f ca="1">IF($A167="","",IF(INDEX(Sheet!T$2:T$7967,$A167)="","",INDEX(Sheet!T$2:T$7967,$A167)))</f>
        <v/>
      </c>
      <c r="O167" s="33" t="str">
        <f ca="1">IF($A167="","",IF(INDEX(Sheet!U$2:U$7967,$A167)="","",INDEX(Sheet!U$2:U$7967,$A167)))</f>
        <v/>
      </c>
      <c r="P167" s="33" t="str">
        <f ca="1">IF($A167="","",IF(INDEX(Sheet!W$2:W$7967,$A167)="","",INDEX(Sheet!W$2:W$7967,$A167)))</f>
        <v/>
      </c>
      <c r="Q167" s="33" t="str">
        <f ca="1">IF($A167="","",IF(INDEX(Sheet!V$2:V$7967,$A167)="","",INDEX(Sheet!V$2:V$7967,$A167)))</f>
        <v/>
      </c>
      <c r="R167" s="33" t="str">
        <f ca="1">IF($A167="","",IF(INDEX(Sheet!Z$2:Z$7967,$A167)="","",INDEX(Sheet!Z$2:Z$7967,$A167)))</f>
        <v/>
      </c>
      <c r="S167" s="33" t="str">
        <f ca="1">IF($A167="","",IF(INDEX(Sheet!Y$2:Y$7967,$A167)="","",INDEX(Sheet!Y$2:Y$7967,$A167)))</f>
        <v/>
      </c>
      <c r="T167" s="33" t="str">
        <f ca="1">IF($A167="","",IF(INDEX(Sheet!X$2:X$7967,$A167)="","",INDEX(Sheet!X$2:X$7967,$A167)))</f>
        <v/>
      </c>
      <c r="U167" s="33" t="str">
        <f ca="1">IF($A167="","",IF(INDEX(Sheet!AA$2:AA$7967,$A167)="","",INDEX(Sheet!AA$2:AA$7967,$A167)))</f>
        <v/>
      </c>
      <c r="V167" s="33" t="str">
        <f ca="1">IF($A167="","",IF(INDEX(Sheet!AB$2:AB$7967,$A167)="","",INDEX(Sheet!AB$2:AB$7967,$A167)))</f>
        <v/>
      </c>
      <c r="W167" s="33" t="str">
        <f ca="1">IF($A167="","",IF(INDEX(Sheet!AH$2:AH$7967,$A167)="","",INDEX(Sheet!AH$2:AH$7967,$A167)))</f>
        <v/>
      </c>
      <c r="X167" s="33" t="str">
        <f ca="1">IF($A167="","",IF(INDEX(Sheet!AC$2:AC$7967,$A167)="","",INDEX(Sheet!AC$2:AC$7967,$A167)))</f>
        <v/>
      </c>
      <c r="Y167" s="33" t="str">
        <f ca="1">IF($A167="","",IF(INDEX(Sheet!AD$2:AD$7967,$A167)="","",INDEX(Sheet!AD$2:AD$7967,$A167)))</f>
        <v/>
      </c>
      <c r="Z167" s="33" t="str">
        <f ca="1">IF($A167="","",IF(INDEX(Sheet!AL$2:AL$7967,$A167)="","",INDEX(Sheet!AL$2:AL$7967,$A167)))</f>
        <v/>
      </c>
      <c r="AA167" s="33" t="str">
        <f ca="1">IF($A167="","",IF(INDEX(Sheet!AE$2:AE$7967,$A167)="","",INDEX(Sheet!AE$2:AE$7967,$A167)))</f>
        <v/>
      </c>
      <c r="AB167" s="33" t="str">
        <f ca="1">IF($A167="","",IF(INDEX(Sheet!AF$2:AF$7967,$A167)="","",INDEX(Sheet!AF$2:AF$7967,$A167)))</f>
        <v/>
      </c>
      <c r="AC167" s="33" t="str">
        <f ca="1">IF($A167="","",IF(INDEX(Sheet!AG$2:AG$7967,$A167)="","",INDEX(Sheet!AG$2:AG$7967,$A167)))</f>
        <v/>
      </c>
      <c r="AD167" s="33" t="str">
        <f ca="1">IF($A167="","",IF(INDEX(Sheet!AM$2:AM$7967,$A167)="","",INDEX(Sheet!AM$2:AM$7967,$A167)))</f>
        <v/>
      </c>
      <c r="AE167" s="33" t="str">
        <f ca="1">IF($A167="","",IF(INDEX(Sheet!AJ$2:AJ$7967,$A167)="","",INDEX(Sheet!AJ$2:AJ$7967,$A167)))</f>
        <v/>
      </c>
      <c r="AF167" s="33" t="str">
        <f ca="1">IF($A167="","",IF(INDEX(Sheet!AI$2:AI$7967,$A167)="","",INDEX(Sheet!AI$2:AI$7967,$A167)))</f>
        <v/>
      </c>
      <c r="AG167" s="33" t="str">
        <f ca="1">IF(D167="duyệt sản xuất"," Bảo Bảo, Ngày "&amp;DAY($J$4)&amp;" Tháng "&amp;MONTH($J$4)&amp;" Năm "&amp;YEAR($J$4),IF(D167="Phê duyệt","NGƯỜI LẬP",IF(D167="Nguyễn Ngọc Thắng","NGUYỄN THỊ MAI",IF($A167="","",INDEX(Sheet!AK$2:AK$7967,$A167)))))</f>
        <v/>
      </c>
      <c r="AH167" s="58" t="str">
        <f ca="1">IF($A167="","",INDEX(Sheet!AR$2:AR$7967,$A167)&amp;" ; "&amp;INDEX(Sheet!M$2:M$7967,$A167))</f>
        <v/>
      </c>
      <c r="AI167" s="1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G167" s="35" t="str">
        <f ca="1">IFERROR(VALUE(separ(INDEX(Sheet!Q$2:Q$7967,$A167),"-",1)),"")</f>
        <v/>
      </c>
      <c r="BH167" s="35" t="str">
        <f ca="1">IFERROR(VALUE(separ(INDEX(Sheet!R$2:R$7967,$A167),"-",1)),"")</f>
        <v/>
      </c>
      <c r="BI167" s="35" t="str">
        <f ca="1">IFERROR(VALUE(separ(INDEX(Sheet!S$2:S$7967,$A167),"-",1)),"")</f>
        <v/>
      </c>
      <c r="BJ167" s="35" t="str">
        <f ca="1">IFERROR(VALUE(separ(INDEX(Sheet!T$2:T$7967,$A167),"-",1)),"")</f>
        <v/>
      </c>
      <c r="BK167" s="35" t="str">
        <f ca="1">IFERROR(VALUE(separ(INDEX(Sheet!U$2:U$7967,$A167),"-",1)),"")</f>
        <v/>
      </c>
      <c r="BL167" s="35" t="str">
        <f ca="1">IFERROR(VALUE(separ(INDEX(Sheet!V$2:V$7967,$A167),"-",1)),"")</f>
        <v/>
      </c>
      <c r="BM167" s="35" t="str">
        <f ca="1">IFERROR(VALUE(separ(INDEX(Sheet!W$2:W$7967,$A167),"-",1)),"")</f>
        <v/>
      </c>
      <c r="BN167" s="35" t="str">
        <f ca="1">IFERROR(VALUE(separ(INDEX(Sheet!X$2:X$7967,$A167),"-",1)),"")</f>
        <v/>
      </c>
      <c r="BO167" s="35" t="str">
        <f ca="1">IFERROR(VALUE(separ(INDEX(Sheet!Y$2:Y$7967,$A167),"-",1)),"")</f>
        <v/>
      </c>
      <c r="BP167" s="35" t="str">
        <f ca="1">IFERROR(VALUE(separ(INDEX(Sheet!Z$2:Z$7967,$A167),"-",1)),"")</f>
        <v/>
      </c>
      <c r="BQ167" s="35" t="str">
        <f ca="1">IFERROR(VALUE(separ(INDEX(Sheet!AA$2:AA$7967,$A167),"-",1)),"")</f>
        <v/>
      </c>
      <c r="BR167" s="35" t="str">
        <f ca="1">IFERROR(VALUE(separ(INDEX(Sheet!AB$2:AB$7967,$A167),"-",1)),"")</f>
        <v/>
      </c>
      <c r="BS167" s="35" t="str">
        <f ca="1">IFERROR(VALUE(separ(INDEX(Sheet!AC$2:AC$7967,$A167),"-",1)),"")</f>
        <v/>
      </c>
      <c r="BT167" s="35" t="str">
        <f ca="1">IFERROR(VALUE(separ(INDEX(Sheet!AD$2:AD$7967,$A167),"-",1)),"")</f>
        <v/>
      </c>
      <c r="BU167" s="35" t="str">
        <f ca="1">IFERROR(VALUE(separ(INDEX(Sheet!AE$2:AE$7967,$A167),"-",1)),"")</f>
        <v/>
      </c>
      <c r="BV167" s="35"/>
      <c r="BW167" s="35" t="str">
        <f ca="1">IFERROR((separ(INDEX(Sheet!Q$2:Q$7967,$A167),"-",2)),"")</f>
        <v/>
      </c>
      <c r="BX167" s="35" t="str">
        <f ca="1">IFERROR((separ(INDEX(Sheet!R$2:R$7967,$A167),"-",2)),"")</f>
        <v/>
      </c>
      <c r="BY167" s="35" t="str">
        <f ca="1">IFERROR((separ(INDEX(Sheet!S$2:S$7967,$A167),"-",2)),"")</f>
        <v/>
      </c>
      <c r="BZ167" s="35" t="str">
        <f ca="1">IFERROR((separ(INDEX(Sheet!T$2:T$7967,$A167),"-",2)),"")</f>
        <v/>
      </c>
      <c r="CA167" s="35" t="str">
        <f ca="1">IFERROR((separ(INDEX(Sheet!U$2:U$7967,$A167),"-",2)),"")</f>
        <v/>
      </c>
      <c r="CB167" s="35" t="str">
        <f ca="1">IFERROR((separ(INDEX(Sheet!V$2:V$7967,$A167),"-",2)),"")</f>
        <v/>
      </c>
      <c r="CC167" s="35" t="str">
        <f ca="1">IFERROR((separ(INDEX(Sheet!W$2:W$7967,$A167),"-",2)),"")</f>
        <v/>
      </c>
      <c r="CD167" s="35" t="str">
        <f ca="1">IFERROR((separ(INDEX(Sheet!X$2:X$7967,$A167),"-",2)),"")</f>
        <v/>
      </c>
      <c r="CE167" s="35" t="str">
        <f ca="1">IFERROR((separ(INDEX(Sheet!Y$2:Y$7967,$A167),"-",2)),"")</f>
        <v/>
      </c>
      <c r="CF167" s="35" t="str">
        <f ca="1">IFERROR((separ(INDEX(Sheet!Z$2:Z$7967,$A167),"-",2)),"")</f>
        <v/>
      </c>
      <c r="CG167" s="35" t="str">
        <f ca="1">IFERROR((separ(INDEX(Sheet!AA$2:AA$7967,$A167),"-",2)),"")</f>
        <v/>
      </c>
      <c r="CH167" s="35" t="str">
        <f ca="1">IFERROR((separ(INDEX(Sheet!AB$2:AB$7967,$A167),"-",2)),"")</f>
        <v/>
      </c>
      <c r="CI167" s="35" t="str">
        <f ca="1">IFERROR((separ(INDEX(Sheet!AC$2:AC$7967,$A167),"-",2)),"")</f>
        <v/>
      </c>
      <c r="CJ167" s="35" t="str">
        <f ca="1">IFERROR((separ(INDEX(Sheet!AD$2:AD$7967,$A167),"-",2)),"")</f>
        <v/>
      </c>
      <c r="CK167" s="35" t="str">
        <f ca="1">IFERROR((separ(INDEX(Sheet!AE$2:AE$7967,$A167),"-",2)),"")</f>
        <v/>
      </c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</row>
    <row r="168" spans="1:104" s="29" customFormat="1">
      <c r="A168" s="45" t="str">
        <f ca="1">IFERROR(MATCH($B$3,OFFSET(Sheet!$D$2,A167,0):'Sheet'!$D$7657,0)+A167,"")</f>
        <v/>
      </c>
      <c r="B168" s="29" t="str">
        <f ca="1">IF(ROW(A161)&lt;=COUNT($A$6:$A$800),INDEX(Sheet!$A$2:$A$7967,$A168),IF(ROW(A161)=COUNT($A$6:$A$800)+1," ",IF(ROW(A161)=COUNT($A$6:$A$800)+2,"  ","")))</f>
        <v/>
      </c>
      <c r="C168" s="67" t="str">
        <f ca="1">IF($A168="","",INDEX(Sheet!E$2:E$7967,$A168))</f>
        <v/>
      </c>
      <c r="D168" s="31" t="str">
        <f ca="1">IF(B165=" ",$AR$1,IF(B168=" ",$AQ$1,IF(A168="","",INDEX(Sheet!G$2:G$7967,$A168))))</f>
        <v/>
      </c>
      <c r="E168" s="32" t="str">
        <f ca="1">IF($A168="","",TEXT(INDEX(Sheet!J$2:J$7967,$A168),"#,#")&amp;" "&amp;INDEX(Sheet!AT$2:AT$7967,$A168))</f>
        <v/>
      </c>
      <c r="F168" s="53" t="str">
        <f ca="1">IF($A168="","",INDEX(Sheet!F$2:F$7967,$A168))</f>
        <v/>
      </c>
      <c r="G168" s="32" t="str">
        <f ca="1">IF($A168="","",INDEX(Sheet!I$2:I$7967,$A168))</f>
        <v/>
      </c>
      <c r="H168" s="32" t="str">
        <f ca="1">IF($A168="","",INDEX(Sheet!L$2:L$7967,$A168))</f>
        <v/>
      </c>
      <c r="I168" s="32" t="str">
        <f ca="1">IF($A168="","",INDEX(Sheet!N$2:N$7967,$A168))</f>
        <v/>
      </c>
      <c r="J168" s="53" t="str">
        <f ca="1">IF($A168="","",INDEX(Sheet!AS$2:AS$7967,$A168))</f>
        <v/>
      </c>
      <c r="K168" s="33" t="str">
        <f ca="1">IF($A168="","",IF(INDEX(Sheet!S$2:S$7967,$A168)="","",INDEX(Sheet!S$2:S$7967,$A168)))</f>
        <v/>
      </c>
      <c r="L168" s="33" t="str">
        <f ca="1">IF($A168="","",IF(INDEX(Sheet!R$2:R$7967,$A168)="","",INDEX(Sheet!R$2:R$7967,$A168)))</f>
        <v/>
      </c>
      <c r="M168" s="33" t="str">
        <f ca="1">IF($A168="","",IF(INDEX(Sheet!AO$2:AO$7967,$A168)="","",INDEX(Sheet!AO$2:AO$7967,$A168)))</f>
        <v/>
      </c>
      <c r="N168" s="33" t="str">
        <f ca="1">IF($A168="","",IF(INDEX(Sheet!T$2:T$7967,$A168)="","",INDEX(Sheet!T$2:T$7967,$A168)))</f>
        <v/>
      </c>
      <c r="O168" s="33" t="str">
        <f ca="1">IF($A168="","",IF(INDEX(Sheet!U$2:U$7967,$A168)="","",INDEX(Sheet!U$2:U$7967,$A168)))</f>
        <v/>
      </c>
      <c r="P168" s="33" t="str">
        <f ca="1">IF($A168="","",IF(INDEX(Sheet!W$2:W$7967,$A168)="","",INDEX(Sheet!W$2:W$7967,$A168)))</f>
        <v/>
      </c>
      <c r="Q168" s="33" t="str">
        <f ca="1">IF($A168="","",IF(INDEX(Sheet!V$2:V$7967,$A168)="","",INDEX(Sheet!V$2:V$7967,$A168)))</f>
        <v/>
      </c>
      <c r="R168" s="33" t="str">
        <f ca="1">IF($A168="","",IF(INDEX(Sheet!Z$2:Z$7967,$A168)="","",INDEX(Sheet!Z$2:Z$7967,$A168)))</f>
        <v/>
      </c>
      <c r="S168" s="33" t="str">
        <f ca="1">IF($A168="","",IF(INDEX(Sheet!Y$2:Y$7967,$A168)="","",INDEX(Sheet!Y$2:Y$7967,$A168)))</f>
        <v/>
      </c>
      <c r="T168" s="33" t="str">
        <f ca="1">IF($A168="","",IF(INDEX(Sheet!X$2:X$7967,$A168)="","",INDEX(Sheet!X$2:X$7967,$A168)))</f>
        <v/>
      </c>
      <c r="U168" s="33" t="str">
        <f ca="1">IF($A168="","",IF(INDEX(Sheet!AA$2:AA$7967,$A168)="","",INDEX(Sheet!AA$2:AA$7967,$A168)))</f>
        <v/>
      </c>
      <c r="V168" s="33" t="str">
        <f ca="1">IF($A168="","",IF(INDEX(Sheet!AB$2:AB$7967,$A168)="","",INDEX(Sheet!AB$2:AB$7967,$A168)))</f>
        <v/>
      </c>
      <c r="W168" s="33" t="str">
        <f ca="1">IF($A168="","",IF(INDEX(Sheet!AH$2:AH$7967,$A168)="","",INDEX(Sheet!AH$2:AH$7967,$A168)))</f>
        <v/>
      </c>
      <c r="X168" s="33" t="str">
        <f ca="1">IF($A168="","",IF(INDEX(Sheet!AC$2:AC$7967,$A168)="","",INDEX(Sheet!AC$2:AC$7967,$A168)))</f>
        <v/>
      </c>
      <c r="Y168" s="33" t="str">
        <f ca="1">IF($A168="","",IF(INDEX(Sheet!AD$2:AD$7967,$A168)="","",INDEX(Sheet!AD$2:AD$7967,$A168)))</f>
        <v/>
      </c>
      <c r="Z168" s="33" t="str">
        <f ca="1">IF($A168="","",IF(INDEX(Sheet!AL$2:AL$7967,$A168)="","",INDEX(Sheet!AL$2:AL$7967,$A168)))</f>
        <v/>
      </c>
      <c r="AA168" s="33" t="str">
        <f ca="1">IF($A168="","",IF(INDEX(Sheet!AE$2:AE$7967,$A168)="","",INDEX(Sheet!AE$2:AE$7967,$A168)))</f>
        <v/>
      </c>
      <c r="AB168" s="33" t="str">
        <f ca="1">IF($A168="","",IF(INDEX(Sheet!AF$2:AF$7967,$A168)="","",INDEX(Sheet!AF$2:AF$7967,$A168)))</f>
        <v/>
      </c>
      <c r="AC168" s="33" t="str">
        <f ca="1">IF($A168="","",IF(INDEX(Sheet!AG$2:AG$7967,$A168)="","",INDEX(Sheet!AG$2:AG$7967,$A168)))</f>
        <v/>
      </c>
      <c r="AD168" s="33" t="str">
        <f ca="1">IF($A168="","",IF(INDEX(Sheet!AM$2:AM$7967,$A168)="","",INDEX(Sheet!AM$2:AM$7967,$A168)))</f>
        <v/>
      </c>
      <c r="AE168" s="33" t="str">
        <f ca="1">IF($A168="","",IF(INDEX(Sheet!AJ$2:AJ$7967,$A168)="","",INDEX(Sheet!AJ$2:AJ$7967,$A168)))</f>
        <v/>
      </c>
      <c r="AF168" s="33" t="str">
        <f ca="1">IF($A168="","",IF(INDEX(Sheet!AI$2:AI$7967,$A168)="","",INDEX(Sheet!AI$2:AI$7967,$A168)))</f>
        <v/>
      </c>
      <c r="AG168" s="33" t="str">
        <f ca="1">IF(D168="duyệt sản xuất"," Bảo Bảo, Ngày "&amp;DAY($J$4)&amp;" Tháng "&amp;MONTH($J$4)&amp;" Năm "&amp;YEAR($J$4),IF(D168="Phê duyệt","NGƯỜI LẬP",IF(D168="Nguyễn Ngọc Thắng","NGUYỄN THỊ MAI",IF($A168="","",INDEX(Sheet!AK$2:AK$7967,$A168)))))</f>
        <v/>
      </c>
      <c r="AH168" s="58" t="str">
        <f ca="1">IF($A168="","",INDEX(Sheet!AR$2:AR$7967,$A168)&amp;" ; "&amp;INDEX(Sheet!M$2:M$7967,$A168))</f>
        <v/>
      </c>
      <c r="AI168" s="1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G168" s="35" t="str">
        <f ca="1">IFERROR(VALUE(separ(INDEX(Sheet!Q$2:Q$7967,$A168),"-",1)),"")</f>
        <v/>
      </c>
      <c r="BH168" s="35" t="str">
        <f ca="1">IFERROR(VALUE(separ(INDEX(Sheet!R$2:R$7967,$A168),"-",1)),"")</f>
        <v/>
      </c>
      <c r="BI168" s="35" t="str">
        <f ca="1">IFERROR(VALUE(separ(INDEX(Sheet!S$2:S$7967,$A168),"-",1)),"")</f>
        <v/>
      </c>
      <c r="BJ168" s="35" t="str">
        <f ca="1">IFERROR(VALUE(separ(INDEX(Sheet!T$2:T$7967,$A168),"-",1)),"")</f>
        <v/>
      </c>
      <c r="BK168" s="35" t="str">
        <f ca="1">IFERROR(VALUE(separ(INDEX(Sheet!U$2:U$7967,$A168),"-",1)),"")</f>
        <v/>
      </c>
      <c r="BL168" s="35" t="str">
        <f ca="1">IFERROR(VALUE(separ(INDEX(Sheet!V$2:V$7967,$A168),"-",1)),"")</f>
        <v/>
      </c>
      <c r="BM168" s="35" t="str">
        <f ca="1">IFERROR(VALUE(separ(INDEX(Sheet!W$2:W$7967,$A168),"-",1)),"")</f>
        <v/>
      </c>
      <c r="BN168" s="35" t="str">
        <f ca="1">IFERROR(VALUE(separ(INDEX(Sheet!X$2:X$7967,$A168),"-",1)),"")</f>
        <v/>
      </c>
      <c r="BO168" s="35" t="str">
        <f ca="1">IFERROR(VALUE(separ(INDEX(Sheet!Y$2:Y$7967,$A168),"-",1)),"")</f>
        <v/>
      </c>
      <c r="BP168" s="35" t="str">
        <f ca="1">IFERROR(VALUE(separ(INDEX(Sheet!Z$2:Z$7967,$A168),"-",1)),"")</f>
        <v/>
      </c>
      <c r="BQ168" s="35" t="str">
        <f ca="1">IFERROR(VALUE(separ(INDEX(Sheet!AA$2:AA$7967,$A168),"-",1)),"")</f>
        <v/>
      </c>
      <c r="BR168" s="35" t="str">
        <f ca="1">IFERROR(VALUE(separ(INDEX(Sheet!AB$2:AB$7967,$A168),"-",1)),"")</f>
        <v/>
      </c>
      <c r="BS168" s="35" t="str">
        <f ca="1">IFERROR(VALUE(separ(INDEX(Sheet!AC$2:AC$7967,$A168),"-",1)),"")</f>
        <v/>
      </c>
      <c r="BT168" s="35" t="str">
        <f ca="1">IFERROR(VALUE(separ(INDEX(Sheet!AD$2:AD$7967,$A168),"-",1)),"")</f>
        <v/>
      </c>
      <c r="BU168" s="35" t="str">
        <f ca="1">IFERROR(VALUE(separ(INDEX(Sheet!AE$2:AE$7967,$A168),"-",1)),"")</f>
        <v/>
      </c>
      <c r="BV168" s="35"/>
      <c r="BW168" s="35" t="str">
        <f ca="1">IFERROR((separ(INDEX(Sheet!Q$2:Q$7967,$A168),"-",2)),"")</f>
        <v/>
      </c>
      <c r="BX168" s="35" t="str">
        <f ca="1">IFERROR((separ(INDEX(Sheet!R$2:R$7967,$A168),"-",2)),"")</f>
        <v/>
      </c>
      <c r="BY168" s="35" t="str">
        <f ca="1">IFERROR((separ(INDEX(Sheet!S$2:S$7967,$A168),"-",2)),"")</f>
        <v/>
      </c>
      <c r="BZ168" s="35" t="str">
        <f ca="1">IFERROR((separ(INDEX(Sheet!T$2:T$7967,$A168),"-",2)),"")</f>
        <v/>
      </c>
      <c r="CA168" s="35" t="str">
        <f ca="1">IFERROR((separ(INDEX(Sheet!U$2:U$7967,$A168),"-",2)),"")</f>
        <v/>
      </c>
      <c r="CB168" s="35" t="str">
        <f ca="1">IFERROR((separ(INDEX(Sheet!V$2:V$7967,$A168),"-",2)),"")</f>
        <v/>
      </c>
      <c r="CC168" s="35" t="str">
        <f ca="1">IFERROR((separ(INDEX(Sheet!W$2:W$7967,$A168),"-",2)),"")</f>
        <v/>
      </c>
      <c r="CD168" s="35" t="str">
        <f ca="1">IFERROR((separ(INDEX(Sheet!X$2:X$7967,$A168),"-",2)),"")</f>
        <v/>
      </c>
      <c r="CE168" s="35" t="str">
        <f ca="1">IFERROR((separ(INDEX(Sheet!Y$2:Y$7967,$A168),"-",2)),"")</f>
        <v/>
      </c>
      <c r="CF168" s="35" t="str">
        <f ca="1">IFERROR((separ(INDEX(Sheet!Z$2:Z$7967,$A168),"-",2)),"")</f>
        <v/>
      </c>
      <c r="CG168" s="35" t="str">
        <f ca="1">IFERROR((separ(INDEX(Sheet!AA$2:AA$7967,$A168),"-",2)),"")</f>
        <v/>
      </c>
      <c r="CH168" s="35" t="str">
        <f ca="1">IFERROR((separ(INDEX(Sheet!AB$2:AB$7967,$A168),"-",2)),"")</f>
        <v/>
      </c>
      <c r="CI168" s="35" t="str">
        <f ca="1">IFERROR((separ(INDEX(Sheet!AC$2:AC$7967,$A168),"-",2)),"")</f>
        <v/>
      </c>
      <c r="CJ168" s="35" t="str">
        <f ca="1">IFERROR((separ(INDEX(Sheet!AD$2:AD$7967,$A168),"-",2)),"")</f>
        <v/>
      </c>
      <c r="CK168" s="35" t="str">
        <f ca="1">IFERROR((separ(INDEX(Sheet!AE$2:AE$7967,$A168),"-",2)),"")</f>
        <v/>
      </c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</row>
    <row r="169" spans="1:104" s="29" customFormat="1">
      <c r="A169" s="45" t="str">
        <f ca="1">IFERROR(MATCH($B$3,OFFSET(Sheet!$D$2,A168,0):'Sheet'!$D$7657,0)+A168,"")</f>
        <v/>
      </c>
      <c r="B169" s="29" t="str">
        <f ca="1">IF(ROW(A162)&lt;=COUNT($A$6:$A$800),INDEX(Sheet!$A$2:$A$7967,$A169),IF(ROW(A162)=COUNT($A$6:$A$800)+1," ",IF(ROW(A162)=COUNT($A$6:$A$800)+2,"  ","")))</f>
        <v/>
      </c>
      <c r="C169" s="67" t="str">
        <f ca="1">IF($A169="","",INDEX(Sheet!E$2:E$7967,$A169))</f>
        <v/>
      </c>
      <c r="D169" s="31" t="str">
        <f ca="1">IF(B166=" ",$AR$1,IF(B169=" ",$AQ$1,IF(A169="","",INDEX(Sheet!G$2:G$7967,$A169))))</f>
        <v/>
      </c>
      <c r="E169" s="32" t="str">
        <f ca="1">IF($A169="","",TEXT(INDEX(Sheet!J$2:J$7967,$A169),"#,#")&amp;" "&amp;INDEX(Sheet!AT$2:AT$7967,$A169))</f>
        <v/>
      </c>
      <c r="F169" s="53" t="str">
        <f ca="1">IF($A169="","",INDEX(Sheet!F$2:F$7967,$A169))</f>
        <v/>
      </c>
      <c r="G169" s="32" t="str">
        <f ca="1">IF($A169="","",INDEX(Sheet!I$2:I$7967,$A169))</f>
        <v/>
      </c>
      <c r="H169" s="32" t="str">
        <f ca="1">IF($A169="","",INDEX(Sheet!L$2:L$7967,$A169))</f>
        <v/>
      </c>
      <c r="I169" s="32" t="str">
        <f ca="1">IF($A169="","",INDEX(Sheet!N$2:N$7967,$A169))</f>
        <v/>
      </c>
      <c r="J169" s="53" t="str">
        <f ca="1">IF($A169="","",INDEX(Sheet!AS$2:AS$7967,$A169))</f>
        <v/>
      </c>
      <c r="K169" s="33" t="str">
        <f ca="1">IF($A169="","",IF(INDEX(Sheet!S$2:S$7967,$A169)="","",INDEX(Sheet!S$2:S$7967,$A169)))</f>
        <v/>
      </c>
      <c r="L169" s="33" t="str">
        <f ca="1">IF($A169="","",IF(INDEX(Sheet!R$2:R$7967,$A169)="","",INDEX(Sheet!R$2:R$7967,$A169)))</f>
        <v/>
      </c>
      <c r="M169" s="33" t="str">
        <f ca="1">IF($A169="","",IF(INDEX(Sheet!AO$2:AO$7967,$A169)="","",INDEX(Sheet!AO$2:AO$7967,$A169)))</f>
        <v/>
      </c>
      <c r="N169" s="33" t="str">
        <f ca="1">IF($A169="","",IF(INDEX(Sheet!T$2:T$7967,$A169)="","",INDEX(Sheet!T$2:T$7967,$A169)))</f>
        <v/>
      </c>
      <c r="O169" s="33" t="str">
        <f ca="1">IF($A169="","",IF(INDEX(Sheet!U$2:U$7967,$A169)="","",INDEX(Sheet!U$2:U$7967,$A169)))</f>
        <v/>
      </c>
      <c r="P169" s="33" t="str">
        <f ca="1">IF($A169="","",IF(INDEX(Sheet!W$2:W$7967,$A169)="","",INDEX(Sheet!W$2:W$7967,$A169)))</f>
        <v/>
      </c>
      <c r="Q169" s="33" t="str">
        <f ca="1">IF($A169="","",IF(INDEX(Sheet!V$2:V$7967,$A169)="","",INDEX(Sheet!V$2:V$7967,$A169)))</f>
        <v/>
      </c>
      <c r="R169" s="33" t="str">
        <f ca="1">IF($A169="","",IF(INDEX(Sheet!Z$2:Z$7967,$A169)="","",INDEX(Sheet!Z$2:Z$7967,$A169)))</f>
        <v/>
      </c>
      <c r="S169" s="33" t="str">
        <f ca="1">IF($A169="","",IF(INDEX(Sheet!Y$2:Y$7967,$A169)="","",INDEX(Sheet!Y$2:Y$7967,$A169)))</f>
        <v/>
      </c>
      <c r="T169" s="33" t="str">
        <f ca="1">IF($A169="","",IF(INDEX(Sheet!X$2:X$7967,$A169)="","",INDEX(Sheet!X$2:X$7967,$A169)))</f>
        <v/>
      </c>
      <c r="U169" s="33" t="str">
        <f ca="1">IF($A169="","",IF(INDEX(Sheet!AA$2:AA$7967,$A169)="","",INDEX(Sheet!AA$2:AA$7967,$A169)))</f>
        <v/>
      </c>
      <c r="V169" s="33" t="str">
        <f ca="1">IF($A169="","",IF(INDEX(Sheet!AB$2:AB$7967,$A169)="","",INDEX(Sheet!AB$2:AB$7967,$A169)))</f>
        <v/>
      </c>
      <c r="W169" s="33" t="str">
        <f ca="1">IF($A169="","",IF(INDEX(Sheet!AH$2:AH$7967,$A169)="","",INDEX(Sheet!AH$2:AH$7967,$A169)))</f>
        <v/>
      </c>
      <c r="X169" s="33" t="str">
        <f ca="1">IF($A169="","",IF(INDEX(Sheet!AC$2:AC$7967,$A169)="","",INDEX(Sheet!AC$2:AC$7967,$A169)))</f>
        <v/>
      </c>
      <c r="Y169" s="33" t="str">
        <f ca="1">IF($A169="","",IF(INDEX(Sheet!AD$2:AD$7967,$A169)="","",INDEX(Sheet!AD$2:AD$7967,$A169)))</f>
        <v/>
      </c>
      <c r="Z169" s="33" t="str">
        <f ca="1">IF($A169="","",IF(INDEX(Sheet!AL$2:AL$7967,$A169)="","",INDEX(Sheet!AL$2:AL$7967,$A169)))</f>
        <v/>
      </c>
      <c r="AA169" s="33" t="str">
        <f ca="1">IF($A169="","",IF(INDEX(Sheet!AE$2:AE$7967,$A169)="","",INDEX(Sheet!AE$2:AE$7967,$A169)))</f>
        <v/>
      </c>
      <c r="AB169" s="33" t="str">
        <f ca="1">IF($A169="","",IF(INDEX(Sheet!AF$2:AF$7967,$A169)="","",INDEX(Sheet!AF$2:AF$7967,$A169)))</f>
        <v/>
      </c>
      <c r="AC169" s="33" t="str">
        <f ca="1">IF($A169="","",IF(INDEX(Sheet!AG$2:AG$7967,$A169)="","",INDEX(Sheet!AG$2:AG$7967,$A169)))</f>
        <v/>
      </c>
      <c r="AD169" s="33" t="str">
        <f ca="1">IF($A169="","",IF(INDEX(Sheet!AM$2:AM$7967,$A169)="","",INDEX(Sheet!AM$2:AM$7967,$A169)))</f>
        <v/>
      </c>
      <c r="AE169" s="33" t="str">
        <f ca="1">IF($A169="","",IF(INDEX(Sheet!AJ$2:AJ$7967,$A169)="","",INDEX(Sheet!AJ$2:AJ$7967,$A169)))</f>
        <v/>
      </c>
      <c r="AF169" s="33" t="str">
        <f ca="1">IF($A169="","",IF(INDEX(Sheet!AI$2:AI$7967,$A169)="","",INDEX(Sheet!AI$2:AI$7967,$A169)))</f>
        <v/>
      </c>
      <c r="AG169" s="33" t="str">
        <f ca="1">IF(D169="duyệt sản xuất"," Bảo Bảo, Ngày "&amp;DAY($J$4)&amp;" Tháng "&amp;MONTH($J$4)&amp;" Năm "&amp;YEAR($J$4),IF(D169="Phê duyệt","NGƯỜI LẬP",IF(D169="Nguyễn Ngọc Thắng","NGUYỄN THỊ MAI",IF($A169="","",INDEX(Sheet!AK$2:AK$7967,$A169)))))</f>
        <v/>
      </c>
      <c r="AH169" s="58" t="str">
        <f ca="1">IF($A169="","",INDEX(Sheet!AR$2:AR$7967,$A169)&amp;" ; "&amp;INDEX(Sheet!M$2:M$7967,$A169))</f>
        <v/>
      </c>
      <c r="AI169" s="1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G169" s="35" t="str">
        <f ca="1">IFERROR(VALUE(separ(INDEX(Sheet!Q$2:Q$7967,$A169),"-",1)),"")</f>
        <v/>
      </c>
      <c r="BH169" s="35" t="str">
        <f ca="1">IFERROR(VALUE(separ(INDEX(Sheet!R$2:R$7967,$A169),"-",1)),"")</f>
        <v/>
      </c>
      <c r="BI169" s="35" t="str">
        <f ca="1">IFERROR(VALUE(separ(INDEX(Sheet!S$2:S$7967,$A169),"-",1)),"")</f>
        <v/>
      </c>
      <c r="BJ169" s="35" t="str">
        <f ca="1">IFERROR(VALUE(separ(INDEX(Sheet!T$2:T$7967,$A169),"-",1)),"")</f>
        <v/>
      </c>
      <c r="BK169" s="35" t="str">
        <f ca="1">IFERROR(VALUE(separ(INDEX(Sheet!U$2:U$7967,$A169),"-",1)),"")</f>
        <v/>
      </c>
      <c r="BL169" s="35" t="str">
        <f ca="1">IFERROR(VALUE(separ(INDEX(Sheet!V$2:V$7967,$A169),"-",1)),"")</f>
        <v/>
      </c>
      <c r="BM169" s="35" t="str">
        <f ca="1">IFERROR(VALUE(separ(INDEX(Sheet!W$2:W$7967,$A169),"-",1)),"")</f>
        <v/>
      </c>
      <c r="BN169" s="35" t="str">
        <f ca="1">IFERROR(VALUE(separ(INDEX(Sheet!X$2:X$7967,$A169),"-",1)),"")</f>
        <v/>
      </c>
      <c r="BO169" s="35" t="str">
        <f ca="1">IFERROR(VALUE(separ(INDEX(Sheet!Y$2:Y$7967,$A169),"-",1)),"")</f>
        <v/>
      </c>
      <c r="BP169" s="35" t="str">
        <f ca="1">IFERROR(VALUE(separ(INDEX(Sheet!Z$2:Z$7967,$A169),"-",1)),"")</f>
        <v/>
      </c>
      <c r="BQ169" s="35" t="str">
        <f ca="1">IFERROR(VALUE(separ(INDEX(Sheet!AA$2:AA$7967,$A169),"-",1)),"")</f>
        <v/>
      </c>
      <c r="BR169" s="35" t="str">
        <f ca="1">IFERROR(VALUE(separ(INDEX(Sheet!AB$2:AB$7967,$A169),"-",1)),"")</f>
        <v/>
      </c>
      <c r="BS169" s="35" t="str">
        <f ca="1">IFERROR(VALUE(separ(INDEX(Sheet!AC$2:AC$7967,$A169),"-",1)),"")</f>
        <v/>
      </c>
      <c r="BT169" s="35" t="str">
        <f ca="1">IFERROR(VALUE(separ(INDEX(Sheet!AD$2:AD$7967,$A169),"-",1)),"")</f>
        <v/>
      </c>
      <c r="BU169" s="35" t="str">
        <f ca="1">IFERROR(VALUE(separ(INDEX(Sheet!AE$2:AE$7967,$A169),"-",1)),"")</f>
        <v/>
      </c>
      <c r="BV169" s="35"/>
      <c r="BW169" s="35" t="str">
        <f ca="1">IFERROR((separ(INDEX(Sheet!Q$2:Q$7967,$A169),"-",2)),"")</f>
        <v/>
      </c>
      <c r="BX169" s="35" t="str">
        <f ca="1">IFERROR((separ(INDEX(Sheet!R$2:R$7967,$A169),"-",2)),"")</f>
        <v/>
      </c>
      <c r="BY169" s="35" t="str">
        <f ca="1">IFERROR((separ(INDEX(Sheet!S$2:S$7967,$A169),"-",2)),"")</f>
        <v/>
      </c>
      <c r="BZ169" s="35" t="str">
        <f ca="1">IFERROR((separ(INDEX(Sheet!T$2:T$7967,$A169),"-",2)),"")</f>
        <v/>
      </c>
      <c r="CA169" s="35" t="str">
        <f ca="1">IFERROR((separ(INDEX(Sheet!U$2:U$7967,$A169),"-",2)),"")</f>
        <v/>
      </c>
      <c r="CB169" s="35" t="str">
        <f ca="1">IFERROR((separ(INDEX(Sheet!V$2:V$7967,$A169),"-",2)),"")</f>
        <v/>
      </c>
      <c r="CC169" s="35" t="str">
        <f ca="1">IFERROR((separ(INDEX(Sheet!W$2:W$7967,$A169),"-",2)),"")</f>
        <v/>
      </c>
      <c r="CD169" s="35" t="str">
        <f ca="1">IFERROR((separ(INDEX(Sheet!X$2:X$7967,$A169),"-",2)),"")</f>
        <v/>
      </c>
      <c r="CE169" s="35" t="str">
        <f ca="1">IFERROR((separ(INDEX(Sheet!Y$2:Y$7967,$A169),"-",2)),"")</f>
        <v/>
      </c>
      <c r="CF169" s="35" t="str">
        <f ca="1">IFERROR((separ(INDEX(Sheet!Z$2:Z$7967,$A169),"-",2)),"")</f>
        <v/>
      </c>
      <c r="CG169" s="35" t="str">
        <f ca="1">IFERROR((separ(INDEX(Sheet!AA$2:AA$7967,$A169),"-",2)),"")</f>
        <v/>
      </c>
      <c r="CH169" s="35" t="str">
        <f ca="1">IFERROR((separ(INDEX(Sheet!AB$2:AB$7967,$A169),"-",2)),"")</f>
        <v/>
      </c>
      <c r="CI169" s="35" t="str">
        <f ca="1">IFERROR((separ(INDEX(Sheet!AC$2:AC$7967,$A169),"-",2)),"")</f>
        <v/>
      </c>
      <c r="CJ169" s="35" t="str">
        <f ca="1">IFERROR((separ(INDEX(Sheet!AD$2:AD$7967,$A169),"-",2)),"")</f>
        <v/>
      </c>
      <c r="CK169" s="35" t="str">
        <f ca="1">IFERROR((separ(INDEX(Sheet!AE$2:AE$7967,$A169),"-",2)),"")</f>
        <v/>
      </c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</row>
    <row r="170" spans="1:104" s="29" customFormat="1">
      <c r="A170" s="45" t="str">
        <f ca="1">IFERROR(MATCH($B$3,OFFSET(Sheet!$D$2,A169,0):'Sheet'!$D$7657,0)+A169,"")</f>
        <v/>
      </c>
      <c r="B170" s="29" t="str">
        <f ca="1">IF(ROW(A163)&lt;=COUNT($A$6:$A$800),INDEX(Sheet!$A$2:$A$7967,$A170),IF(ROW(A163)=COUNT($A$6:$A$800)+1," ",IF(ROW(A163)=COUNT($A$6:$A$800)+2,"  ","")))</f>
        <v/>
      </c>
      <c r="C170" s="67" t="str">
        <f ca="1">IF($A170="","",INDEX(Sheet!E$2:E$7967,$A170))</f>
        <v/>
      </c>
      <c r="D170" s="31" t="str">
        <f ca="1">IF(B167=" ",$AR$1,IF(B170=" ",$AQ$1,IF(A170="","",INDEX(Sheet!G$2:G$7967,$A170))))</f>
        <v/>
      </c>
      <c r="E170" s="32" t="str">
        <f ca="1">IF($A170="","",TEXT(INDEX(Sheet!J$2:J$7967,$A170),"#,#")&amp;" "&amp;INDEX(Sheet!AT$2:AT$7967,$A170))</f>
        <v/>
      </c>
      <c r="F170" s="53" t="str">
        <f ca="1">IF($A170="","",INDEX(Sheet!F$2:F$7967,$A170))</f>
        <v/>
      </c>
      <c r="G170" s="32" t="str">
        <f ca="1">IF($A170="","",INDEX(Sheet!I$2:I$7967,$A170))</f>
        <v/>
      </c>
      <c r="H170" s="32" t="str">
        <f ca="1">IF($A170="","",INDEX(Sheet!L$2:L$7967,$A170))</f>
        <v/>
      </c>
      <c r="I170" s="32" t="str">
        <f ca="1">IF($A170="","",INDEX(Sheet!N$2:N$7967,$A170))</f>
        <v/>
      </c>
      <c r="J170" s="53" t="str">
        <f ca="1">IF($A170="","",INDEX(Sheet!AS$2:AS$7967,$A170))</f>
        <v/>
      </c>
      <c r="K170" s="33" t="str">
        <f ca="1">IF($A170="","",IF(INDEX(Sheet!S$2:S$7967,$A170)="","",INDEX(Sheet!S$2:S$7967,$A170)))</f>
        <v/>
      </c>
      <c r="L170" s="33" t="str">
        <f ca="1">IF($A170="","",IF(INDEX(Sheet!R$2:R$7967,$A170)="","",INDEX(Sheet!R$2:R$7967,$A170)))</f>
        <v/>
      </c>
      <c r="M170" s="33" t="str">
        <f ca="1">IF($A170="","",IF(INDEX(Sheet!AO$2:AO$7967,$A170)="","",INDEX(Sheet!AO$2:AO$7967,$A170)))</f>
        <v/>
      </c>
      <c r="N170" s="33" t="str">
        <f ca="1">IF($A170="","",IF(INDEX(Sheet!T$2:T$7967,$A170)="","",INDEX(Sheet!T$2:T$7967,$A170)))</f>
        <v/>
      </c>
      <c r="O170" s="33" t="str">
        <f ca="1">IF($A170="","",IF(INDEX(Sheet!U$2:U$7967,$A170)="","",INDEX(Sheet!U$2:U$7967,$A170)))</f>
        <v/>
      </c>
      <c r="P170" s="33" t="str">
        <f ca="1">IF($A170="","",IF(INDEX(Sheet!W$2:W$7967,$A170)="","",INDEX(Sheet!W$2:W$7967,$A170)))</f>
        <v/>
      </c>
      <c r="Q170" s="33" t="str">
        <f ca="1">IF($A170="","",IF(INDEX(Sheet!V$2:V$7967,$A170)="","",INDEX(Sheet!V$2:V$7967,$A170)))</f>
        <v/>
      </c>
      <c r="R170" s="33" t="str">
        <f ca="1">IF($A170="","",IF(INDEX(Sheet!Z$2:Z$7967,$A170)="","",INDEX(Sheet!Z$2:Z$7967,$A170)))</f>
        <v/>
      </c>
      <c r="S170" s="33" t="str">
        <f ca="1">IF($A170="","",IF(INDEX(Sheet!Y$2:Y$7967,$A170)="","",INDEX(Sheet!Y$2:Y$7967,$A170)))</f>
        <v/>
      </c>
      <c r="T170" s="33" t="str">
        <f ca="1">IF($A170="","",IF(INDEX(Sheet!X$2:X$7967,$A170)="","",INDEX(Sheet!X$2:X$7967,$A170)))</f>
        <v/>
      </c>
      <c r="U170" s="33" t="str">
        <f ca="1">IF($A170="","",IF(INDEX(Sheet!AA$2:AA$7967,$A170)="","",INDEX(Sheet!AA$2:AA$7967,$A170)))</f>
        <v/>
      </c>
      <c r="V170" s="33" t="str">
        <f ca="1">IF($A170="","",IF(INDEX(Sheet!AB$2:AB$7967,$A170)="","",INDEX(Sheet!AB$2:AB$7967,$A170)))</f>
        <v/>
      </c>
      <c r="W170" s="33" t="str">
        <f ca="1">IF($A170="","",IF(INDEX(Sheet!AH$2:AH$7967,$A170)="","",INDEX(Sheet!AH$2:AH$7967,$A170)))</f>
        <v/>
      </c>
      <c r="X170" s="33" t="str">
        <f ca="1">IF($A170="","",IF(INDEX(Sheet!AC$2:AC$7967,$A170)="","",INDEX(Sheet!AC$2:AC$7967,$A170)))</f>
        <v/>
      </c>
      <c r="Y170" s="33" t="str">
        <f ca="1">IF($A170="","",IF(INDEX(Sheet!AD$2:AD$7967,$A170)="","",INDEX(Sheet!AD$2:AD$7967,$A170)))</f>
        <v/>
      </c>
      <c r="Z170" s="33" t="str">
        <f ca="1">IF($A170="","",IF(INDEX(Sheet!AL$2:AL$7967,$A170)="","",INDEX(Sheet!AL$2:AL$7967,$A170)))</f>
        <v/>
      </c>
      <c r="AA170" s="33" t="str">
        <f ca="1">IF($A170="","",IF(INDEX(Sheet!AE$2:AE$7967,$A170)="","",INDEX(Sheet!AE$2:AE$7967,$A170)))</f>
        <v/>
      </c>
      <c r="AB170" s="33" t="str">
        <f ca="1">IF($A170="","",IF(INDEX(Sheet!AF$2:AF$7967,$A170)="","",INDEX(Sheet!AF$2:AF$7967,$A170)))</f>
        <v/>
      </c>
      <c r="AC170" s="33" t="str">
        <f ca="1">IF($A170="","",IF(INDEX(Sheet!AG$2:AG$7967,$A170)="","",INDEX(Sheet!AG$2:AG$7967,$A170)))</f>
        <v/>
      </c>
      <c r="AD170" s="33" t="str">
        <f ca="1">IF($A170="","",IF(INDEX(Sheet!AM$2:AM$7967,$A170)="","",INDEX(Sheet!AM$2:AM$7967,$A170)))</f>
        <v/>
      </c>
      <c r="AE170" s="33" t="str">
        <f ca="1">IF($A170="","",IF(INDEX(Sheet!AJ$2:AJ$7967,$A170)="","",INDEX(Sheet!AJ$2:AJ$7967,$A170)))</f>
        <v/>
      </c>
      <c r="AF170" s="33" t="str">
        <f ca="1">IF($A170="","",IF(INDEX(Sheet!AI$2:AI$7967,$A170)="","",INDEX(Sheet!AI$2:AI$7967,$A170)))</f>
        <v/>
      </c>
      <c r="AG170" s="33" t="str">
        <f ca="1">IF(D170="duyệt sản xuất"," Bảo Bảo, Ngày "&amp;DAY($J$4)&amp;" Tháng "&amp;MONTH($J$4)&amp;" Năm "&amp;YEAR($J$4),IF(D170="Phê duyệt","NGƯỜI LẬP",IF(D170="Nguyễn Ngọc Thắng","NGUYỄN THỊ MAI",IF($A170="","",INDEX(Sheet!AK$2:AK$7967,$A170)))))</f>
        <v/>
      </c>
      <c r="AH170" s="58" t="str">
        <f ca="1">IF($A170="","",INDEX(Sheet!AR$2:AR$7967,$A170)&amp;" ; "&amp;INDEX(Sheet!M$2:M$7967,$A170))</f>
        <v/>
      </c>
      <c r="AI170" s="1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G170" s="35" t="str">
        <f ca="1">IFERROR(VALUE(separ(INDEX(Sheet!Q$2:Q$7967,$A170),"-",1)),"")</f>
        <v/>
      </c>
      <c r="BH170" s="35" t="str">
        <f ca="1">IFERROR(VALUE(separ(INDEX(Sheet!R$2:R$7967,$A170),"-",1)),"")</f>
        <v/>
      </c>
      <c r="BI170" s="35" t="str">
        <f ca="1">IFERROR(VALUE(separ(INDEX(Sheet!S$2:S$7967,$A170),"-",1)),"")</f>
        <v/>
      </c>
      <c r="BJ170" s="35" t="str">
        <f ca="1">IFERROR(VALUE(separ(INDEX(Sheet!T$2:T$7967,$A170),"-",1)),"")</f>
        <v/>
      </c>
      <c r="BK170" s="35" t="str">
        <f ca="1">IFERROR(VALUE(separ(INDEX(Sheet!U$2:U$7967,$A170),"-",1)),"")</f>
        <v/>
      </c>
      <c r="BL170" s="35" t="str">
        <f ca="1">IFERROR(VALUE(separ(INDEX(Sheet!V$2:V$7967,$A170),"-",1)),"")</f>
        <v/>
      </c>
      <c r="BM170" s="35" t="str">
        <f ca="1">IFERROR(VALUE(separ(INDEX(Sheet!W$2:W$7967,$A170),"-",1)),"")</f>
        <v/>
      </c>
      <c r="BN170" s="35" t="str">
        <f ca="1">IFERROR(VALUE(separ(INDEX(Sheet!X$2:X$7967,$A170),"-",1)),"")</f>
        <v/>
      </c>
      <c r="BO170" s="35" t="str">
        <f ca="1">IFERROR(VALUE(separ(INDEX(Sheet!Y$2:Y$7967,$A170),"-",1)),"")</f>
        <v/>
      </c>
      <c r="BP170" s="35" t="str">
        <f ca="1">IFERROR(VALUE(separ(INDEX(Sheet!Z$2:Z$7967,$A170),"-",1)),"")</f>
        <v/>
      </c>
      <c r="BQ170" s="35" t="str">
        <f ca="1">IFERROR(VALUE(separ(INDEX(Sheet!AA$2:AA$7967,$A170),"-",1)),"")</f>
        <v/>
      </c>
      <c r="BR170" s="35" t="str">
        <f ca="1">IFERROR(VALUE(separ(INDEX(Sheet!AB$2:AB$7967,$A170),"-",1)),"")</f>
        <v/>
      </c>
      <c r="BS170" s="35" t="str">
        <f ca="1">IFERROR(VALUE(separ(INDEX(Sheet!AC$2:AC$7967,$A170),"-",1)),"")</f>
        <v/>
      </c>
      <c r="BT170" s="35" t="str">
        <f ca="1">IFERROR(VALUE(separ(INDEX(Sheet!AD$2:AD$7967,$A170),"-",1)),"")</f>
        <v/>
      </c>
      <c r="BU170" s="35" t="str">
        <f ca="1">IFERROR(VALUE(separ(INDEX(Sheet!AE$2:AE$7967,$A170),"-",1)),"")</f>
        <v/>
      </c>
      <c r="BV170" s="35"/>
      <c r="BW170" s="35" t="str">
        <f ca="1">IFERROR((separ(INDEX(Sheet!Q$2:Q$7967,$A170),"-",2)),"")</f>
        <v/>
      </c>
      <c r="BX170" s="35" t="str">
        <f ca="1">IFERROR((separ(INDEX(Sheet!R$2:R$7967,$A170),"-",2)),"")</f>
        <v/>
      </c>
      <c r="BY170" s="35" t="str">
        <f ca="1">IFERROR((separ(INDEX(Sheet!S$2:S$7967,$A170),"-",2)),"")</f>
        <v/>
      </c>
      <c r="BZ170" s="35" t="str">
        <f ca="1">IFERROR((separ(INDEX(Sheet!T$2:T$7967,$A170),"-",2)),"")</f>
        <v/>
      </c>
      <c r="CA170" s="35" t="str">
        <f ca="1">IFERROR((separ(INDEX(Sheet!U$2:U$7967,$A170),"-",2)),"")</f>
        <v/>
      </c>
      <c r="CB170" s="35" t="str">
        <f ca="1">IFERROR((separ(INDEX(Sheet!V$2:V$7967,$A170),"-",2)),"")</f>
        <v/>
      </c>
      <c r="CC170" s="35" t="str">
        <f ca="1">IFERROR((separ(INDEX(Sheet!W$2:W$7967,$A170),"-",2)),"")</f>
        <v/>
      </c>
      <c r="CD170" s="35" t="str">
        <f ca="1">IFERROR((separ(INDEX(Sheet!X$2:X$7967,$A170),"-",2)),"")</f>
        <v/>
      </c>
      <c r="CE170" s="35" t="str">
        <f ca="1">IFERROR((separ(INDEX(Sheet!Y$2:Y$7967,$A170),"-",2)),"")</f>
        <v/>
      </c>
      <c r="CF170" s="35" t="str">
        <f ca="1">IFERROR((separ(INDEX(Sheet!Z$2:Z$7967,$A170),"-",2)),"")</f>
        <v/>
      </c>
      <c r="CG170" s="35" t="str">
        <f ca="1">IFERROR((separ(INDEX(Sheet!AA$2:AA$7967,$A170),"-",2)),"")</f>
        <v/>
      </c>
      <c r="CH170" s="35" t="str">
        <f ca="1">IFERROR((separ(INDEX(Sheet!AB$2:AB$7967,$A170),"-",2)),"")</f>
        <v/>
      </c>
      <c r="CI170" s="35" t="str">
        <f ca="1">IFERROR((separ(INDEX(Sheet!AC$2:AC$7967,$A170),"-",2)),"")</f>
        <v/>
      </c>
      <c r="CJ170" s="35" t="str">
        <f ca="1">IFERROR((separ(INDEX(Sheet!AD$2:AD$7967,$A170),"-",2)),"")</f>
        <v/>
      </c>
      <c r="CK170" s="35" t="str">
        <f ca="1">IFERROR((separ(INDEX(Sheet!AE$2:AE$7967,$A170),"-",2)),"")</f>
        <v/>
      </c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</row>
    <row r="171" spans="1:104" s="29" customFormat="1">
      <c r="A171" s="45" t="str">
        <f ca="1">IFERROR(MATCH($B$3,OFFSET(Sheet!$D$2,A170,0):'Sheet'!$D$7657,0)+A170,"")</f>
        <v/>
      </c>
      <c r="B171" s="29" t="str">
        <f ca="1">IF(ROW(A164)&lt;=COUNT($A$6:$A$800),INDEX(Sheet!$A$2:$A$7967,$A171),IF(ROW(A164)=COUNT($A$6:$A$800)+1," ",IF(ROW(A164)=COUNT($A$6:$A$800)+2,"  ","")))</f>
        <v/>
      </c>
      <c r="C171" s="67" t="str">
        <f ca="1">IF($A171="","",INDEX(Sheet!E$2:E$7967,$A171))</f>
        <v/>
      </c>
      <c r="D171" s="31" t="str">
        <f ca="1">IF(B168=" ",$AR$1,IF(B171=" ",$AQ$1,IF(A171="","",INDEX(Sheet!G$2:G$7967,$A171))))</f>
        <v/>
      </c>
      <c r="E171" s="32" t="str">
        <f ca="1">IF($A171="","",TEXT(INDEX(Sheet!J$2:J$7967,$A171),"#,#")&amp;" "&amp;INDEX(Sheet!AT$2:AT$7967,$A171))</f>
        <v/>
      </c>
      <c r="F171" s="53" t="str">
        <f ca="1">IF($A171="","",INDEX(Sheet!F$2:F$7967,$A171))</f>
        <v/>
      </c>
      <c r="G171" s="32" t="str">
        <f ca="1">IF($A171="","",INDEX(Sheet!I$2:I$7967,$A171))</f>
        <v/>
      </c>
      <c r="H171" s="32" t="str">
        <f ca="1">IF($A171="","",INDEX(Sheet!L$2:L$7967,$A171))</f>
        <v/>
      </c>
      <c r="I171" s="32" t="str">
        <f ca="1">IF($A171="","",INDEX(Sheet!N$2:N$7967,$A171))</f>
        <v/>
      </c>
      <c r="J171" s="53" t="str">
        <f ca="1">IF($A171="","",INDEX(Sheet!AS$2:AS$7967,$A171))</f>
        <v/>
      </c>
      <c r="K171" s="33" t="str">
        <f ca="1">IF($A171="","",IF(INDEX(Sheet!S$2:S$7967,$A171)="","",INDEX(Sheet!S$2:S$7967,$A171)))</f>
        <v/>
      </c>
      <c r="L171" s="33" t="str">
        <f ca="1">IF($A171="","",IF(INDEX(Sheet!R$2:R$7967,$A171)="","",INDEX(Sheet!R$2:R$7967,$A171)))</f>
        <v/>
      </c>
      <c r="M171" s="33" t="str">
        <f ca="1">IF($A171="","",IF(INDEX(Sheet!AO$2:AO$7967,$A171)="","",INDEX(Sheet!AO$2:AO$7967,$A171)))</f>
        <v/>
      </c>
      <c r="N171" s="33" t="str">
        <f ca="1">IF($A171="","",IF(INDEX(Sheet!T$2:T$7967,$A171)="","",INDEX(Sheet!T$2:T$7967,$A171)))</f>
        <v/>
      </c>
      <c r="O171" s="33" t="str">
        <f ca="1">IF($A171="","",IF(INDEX(Sheet!U$2:U$7967,$A171)="","",INDEX(Sheet!U$2:U$7967,$A171)))</f>
        <v/>
      </c>
      <c r="P171" s="33" t="str">
        <f ca="1">IF($A171="","",IF(INDEX(Sheet!W$2:W$7967,$A171)="","",INDEX(Sheet!W$2:W$7967,$A171)))</f>
        <v/>
      </c>
      <c r="Q171" s="33" t="str">
        <f ca="1">IF($A171="","",IF(INDEX(Sheet!V$2:V$7967,$A171)="","",INDEX(Sheet!V$2:V$7967,$A171)))</f>
        <v/>
      </c>
      <c r="R171" s="33" t="str">
        <f ca="1">IF($A171="","",IF(INDEX(Sheet!Z$2:Z$7967,$A171)="","",INDEX(Sheet!Z$2:Z$7967,$A171)))</f>
        <v/>
      </c>
      <c r="S171" s="33" t="str">
        <f ca="1">IF($A171="","",IF(INDEX(Sheet!Y$2:Y$7967,$A171)="","",INDEX(Sheet!Y$2:Y$7967,$A171)))</f>
        <v/>
      </c>
      <c r="T171" s="33" t="str">
        <f ca="1">IF($A171="","",IF(INDEX(Sheet!X$2:X$7967,$A171)="","",INDEX(Sheet!X$2:X$7967,$A171)))</f>
        <v/>
      </c>
      <c r="U171" s="33" t="str">
        <f ca="1">IF($A171="","",IF(INDEX(Sheet!AA$2:AA$7967,$A171)="","",INDEX(Sheet!AA$2:AA$7967,$A171)))</f>
        <v/>
      </c>
      <c r="V171" s="33" t="str">
        <f ca="1">IF($A171="","",IF(INDEX(Sheet!AB$2:AB$7967,$A171)="","",INDEX(Sheet!AB$2:AB$7967,$A171)))</f>
        <v/>
      </c>
      <c r="W171" s="33" t="str">
        <f ca="1">IF($A171="","",IF(INDEX(Sheet!AH$2:AH$7967,$A171)="","",INDEX(Sheet!AH$2:AH$7967,$A171)))</f>
        <v/>
      </c>
      <c r="X171" s="33" t="str">
        <f ca="1">IF($A171="","",IF(INDEX(Sheet!AC$2:AC$7967,$A171)="","",INDEX(Sheet!AC$2:AC$7967,$A171)))</f>
        <v/>
      </c>
      <c r="Y171" s="33" t="str">
        <f ca="1">IF($A171="","",IF(INDEX(Sheet!AD$2:AD$7967,$A171)="","",INDEX(Sheet!AD$2:AD$7967,$A171)))</f>
        <v/>
      </c>
      <c r="Z171" s="33" t="str">
        <f ca="1">IF($A171="","",IF(INDEX(Sheet!AL$2:AL$7967,$A171)="","",INDEX(Sheet!AL$2:AL$7967,$A171)))</f>
        <v/>
      </c>
      <c r="AA171" s="33" t="str">
        <f ca="1">IF($A171="","",IF(INDEX(Sheet!AE$2:AE$7967,$A171)="","",INDEX(Sheet!AE$2:AE$7967,$A171)))</f>
        <v/>
      </c>
      <c r="AB171" s="33" t="str">
        <f ca="1">IF($A171="","",IF(INDEX(Sheet!AF$2:AF$7967,$A171)="","",INDEX(Sheet!AF$2:AF$7967,$A171)))</f>
        <v/>
      </c>
      <c r="AC171" s="33" t="str">
        <f ca="1">IF($A171="","",IF(INDEX(Sheet!AG$2:AG$7967,$A171)="","",INDEX(Sheet!AG$2:AG$7967,$A171)))</f>
        <v/>
      </c>
      <c r="AD171" s="33" t="str">
        <f ca="1">IF($A171="","",IF(INDEX(Sheet!AM$2:AM$7967,$A171)="","",INDEX(Sheet!AM$2:AM$7967,$A171)))</f>
        <v/>
      </c>
      <c r="AE171" s="33" t="str">
        <f ca="1">IF($A171="","",IF(INDEX(Sheet!AJ$2:AJ$7967,$A171)="","",INDEX(Sheet!AJ$2:AJ$7967,$A171)))</f>
        <v/>
      </c>
      <c r="AF171" s="33" t="str">
        <f ca="1">IF($A171="","",IF(INDEX(Sheet!AI$2:AI$7967,$A171)="","",INDEX(Sheet!AI$2:AI$7967,$A171)))</f>
        <v/>
      </c>
      <c r="AG171" s="33" t="str">
        <f ca="1">IF(D171="duyệt sản xuất"," Bảo Bảo, Ngày "&amp;DAY($J$4)&amp;" Tháng "&amp;MONTH($J$4)&amp;" Năm "&amp;YEAR($J$4),IF(D171="Phê duyệt","NGƯỜI LẬP",IF(D171="Nguyễn Ngọc Thắng","NGUYỄN THỊ MAI",IF($A171="","",INDEX(Sheet!AK$2:AK$7967,$A171)))))</f>
        <v/>
      </c>
      <c r="AH171" s="58" t="str">
        <f ca="1">IF($A171="","",INDEX(Sheet!AR$2:AR$7967,$A171)&amp;" ; "&amp;INDEX(Sheet!M$2:M$7967,$A171))</f>
        <v/>
      </c>
      <c r="AI171" s="1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G171" s="35" t="str">
        <f ca="1">IFERROR(VALUE(separ(INDEX(Sheet!Q$2:Q$7967,$A171),"-",1)),"")</f>
        <v/>
      </c>
      <c r="BH171" s="35" t="str">
        <f ca="1">IFERROR(VALUE(separ(INDEX(Sheet!R$2:R$7967,$A171),"-",1)),"")</f>
        <v/>
      </c>
      <c r="BI171" s="35" t="str">
        <f ca="1">IFERROR(VALUE(separ(INDEX(Sheet!S$2:S$7967,$A171),"-",1)),"")</f>
        <v/>
      </c>
      <c r="BJ171" s="35" t="str">
        <f ca="1">IFERROR(VALUE(separ(INDEX(Sheet!T$2:T$7967,$A171),"-",1)),"")</f>
        <v/>
      </c>
      <c r="BK171" s="35" t="str">
        <f ca="1">IFERROR(VALUE(separ(INDEX(Sheet!U$2:U$7967,$A171),"-",1)),"")</f>
        <v/>
      </c>
      <c r="BL171" s="35" t="str">
        <f ca="1">IFERROR(VALUE(separ(INDEX(Sheet!V$2:V$7967,$A171),"-",1)),"")</f>
        <v/>
      </c>
      <c r="BM171" s="35" t="str">
        <f ca="1">IFERROR(VALUE(separ(INDEX(Sheet!W$2:W$7967,$A171),"-",1)),"")</f>
        <v/>
      </c>
      <c r="BN171" s="35" t="str">
        <f ca="1">IFERROR(VALUE(separ(INDEX(Sheet!X$2:X$7967,$A171),"-",1)),"")</f>
        <v/>
      </c>
      <c r="BO171" s="35" t="str">
        <f ca="1">IFERROR(VALUE(separ(INDEX(Sheet!Y$2:Y$7967,$A171),"-",1)),"")</f>
        <v/>
      </c>
      <c r="BP171" s="35" t="str">
        <f ca="1">IFERROR(VALUE(separ(INDEX(Sheet!Z$2:Z$7967,$A171),"-",1)),"")</f>
        <v/>
      </c>
      <c r="BQ171" s="35" t="str">
        <f ca="1">IFERROR(VALUE(separ(INDEX(Sheet!AA$2:AA$7967,$A171),"-",1)),"")</f>
        <v/>
      </c>
      <c r="BR171" s="35" t="str">
        <f ca="1">IFERROR(VALUE(separ(INDEX(Sheet!AB$2:AB$7967,$A171),"-",1)),"")</f>
        <v/>
      </c>
      <c r="BS171" s="35" t="str">
        <f ca="1">IFERROR(VALUE(separ(INDEX(Sheet!AC$2:AC$7967,$A171),"-",1)),"")</f>
        <v/>
      </c>
      <c r="BT171" s="35" t="str">
        <f ca="1">IFERROR(VALUE(separ(INDEX(Sheet!AD$2:AD$7967,$A171),"-",1)),"")</f>
        <v/>
      </c>
      <c r="BU171" s="35" t="str">
        <f ca="1">IFERROR(VALUE(separ(INDEX(Sheet!AE$2:AE$7967,$A171),"-",1)),"")</f>
        <v/>
      </c>
      <c r="BV171" s="35"/>
      <c r="BW171" s="35" t="str">
        <f ca="1">IFERROR((separ(INDEX(Sheet!Q$2:Q$7967,$A171),"-",2)),"")</f>
        <v/>
      </c>
      <c r="BX171" s="35" t="str">
        <f ca="1">IFERROR((separ(INDEX(Sheet!R$2:R$7967,$A171),"-",2)),"")</f>
        <v/>
      </c>
      <c r="BY171" s="35" t="str">
        <f ca="1">IFERROR((separ(INDEX(Sheet!S$2:S$7967,$A171),"-",2)),"")</f>
        <v/>
      </c>
      <c r="BZ171" s="35" t="str">
        <f ca="1">IFERROR((separ(INDEX(Sheet!T$2:T$7967,$A171),"-",2)),"")</f>
        <v/>
      </c>
      <c r="CA171" s="35" t="str">
        <f ca="1">IFERROR((separ(INDEX(Sheet!U$2:U$7967,$A171),"-",2)),"")</f>
        <v/>
      </c>
      <c r="CB171" s="35" t="str">
        <f ca="1">IFERROR((separ(INDEX(Sheet!V$2:V$7967,$A171),"-",2)),"")</f>
        <v/>
      </c>
      <c r="CC171" s="35" t="str">
        <f ca="1">IFERROR((separ(INDEX(Sheet!W$2:W$7967,$A171),"-",2)),"")</f>
        <v/>
      </c>
      <c r="CD171" s="35" t="str">
        <f ca="1">IFERROR((separ(INDEX(Sheet!X$2:X$7967,$A171),"-",2)),"")</f>
        <v/>
      </c>
      <c r="CE171" s="35" t="str">
        <f ca="1">IFERROR((separ(INDEX(Sheet!Y$2:Y$7967,$A171),"-",2)),"")</f>
        <v/>
      </c>
      <c r="CF171" s="35" t="str">
        <f ca="1">IFERROR((separ(INDEX(Sheet!Z$2:Z$7967,$A171),"-",2)),"")</f>
        <v/>
      </c>
      <c r="CG171" s="35" t="str">
        <f ca="1">IFERROR((separ(INDEX(Sheet!AA$2:AA$7967,$A171),"-",2)),"")</f>
        <v/>
      </c>
      <c r="CH171" s="35" t="str">
        <f ca="1">IFERROR((separ(INDEX(Sheet!AB$2:AB$7967,$A171),"-",2)),"")</f>
        <v/>
      </c>
      <c r="CI171" s="35" t="str">
        <f ca="1">IFERROR((separ(INDEX(Sheet!AC$2:AC$7967,$A171),"-",2)),"")</f>
        <v/>
      </c>
      <c r="CJ171" s="35" t="str">
        <f ca="1">IFERROR((separ(INDEX(Sheet!AD$2:AD$7967,$A171),"-",2)),"")</f>
        <v/>
      </c>
      <c r="CK171" s="35" t="str">
        <f ca="1">IFERROR((separ(INDEX(Sheet!AE$2:AE$7967,$A171),"-",2)),"")</f>
        <v/>
      </c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</row>
    <row r="172" spans="1:104" s="29" customFormat="1">
      <c r="A172" s="45" t="str">
        <f ca="1">IFERROR(MATCH($B$3,OFFSET(Sheet!$D$2,A171,0):'Sheet'!$D$7657,0)+A171,"")</f>
        <v/>
      </c>
      <c r="B172" s="29" t="str">
        <f ca="1">IF(ROW(A165)&lt;=COUNT($A$6:$A$800),INDEX(Sheet!$A$2:$A$7967,$A172),IF(ROW(A165)=COUNT($A$6:$A$800)+1," ",IF(ROW(A165)=COUNT($A$6:$A$800)+2,"  ","")))</f>
        <v/>
      </c>
      <c r="C172" s="67" t="str">
        <f ca="1">IF($A172="","",INDEX(Sheet!E$2:E$7967,$A172))</f>
        <v/>
      </c>
      <c r="D172" s="31" t="str">
        <f ca="1">IF(B169=" ",$AR$1,IF(B172=" ",$AQ$1,IF(A172="","",INDEX(Sheet!G$2:G$7967,$A172))))</f>
        <v/>
      </c>
      <c r="E172" s="32" t="str">
        <f ca="1">IF($A172="","",TEXT(INDEX(Sheet!J$2:J$7967,$A172),"#,#")&amp;" "&amp;INDEX(Sheet!AT$2:AT$7967,$A172))</f>
        <v/>
      </c>
      <c r="F172" s="53" t="str">
        <f ca="1">IF($A172="","",INDEX(Sheet!F$2:F$7967,$A172))</f>
        <v/>
      </c>
      <c r="G172" s="32" t="str">
        <f ca="1">IF($A172="","",INDEX(Sheet!I$2:I$7967,$A172))</f>
        <v/>
      </c>
      <c r="H172" s="32" t="str">
        <f ca="1">IF($A172="","",INDEX(Sheet!L$2:L$7967,$A172))</f>
        <v/>
      </c>
      <c r="I172" s="32" t="str">
        <f ca="1">IF($A172="","",INDEX(Sheet!N$2:N$7967,$A172))</f>
        <v/>
      </c>
      <c r="J172" s="53" t="str">
        <f ca="1">IF($A172="","",INDEX(Sheet!AS$2:AS$7967,$A172))</f>
        <v/>
      </c>
      <c r="K172" s="33" t="str">
        <f ca="1">IF($A172="","",IF(INDEX(Sheet!S$2:S$7967,$A172)="","",INDEX(Sheet!S$2:S$7967,$A172)))</f>
        <v/>
      </c>
      <c r="L172" s="33" t="str">
        <f ca="1">IF($A172="","",IF(INDEX(Sheet!R$2:R$7967,$A172)="","",INDEX(Sheet!R$2:R$7967,$A172)))</f>
        <v/>
      </c>
      <c r="M172" s="33" t="str">
        <f ca="1">IF($A172="","",IF(INDEX(Sheet!AO$2:AO$7967,$A172)="","",INDEX(Sheet!AO$2:AO$7967,$A172)))</f>
        <v/>
      </c>
      <c r="N172" s="33" t="str">
        <f ca="1">IF($A172="","",IF(INDEX(Sheet!T$2:T$7967,$A172)="","",INDEX(Sheet!T$2:T$7967,$A172)))</f>
        <v/>
      </c>
      <c r="O172" s="33" t="str">
        <f ca="1">IF($A172="","",IF(INDEX(Sheet!U$2:U$7967,$A172)="","",INDEX(Sheet!U$2:U$7967,$A172)))</f>
        <v/>
      </c>
      <c r="P172" s="33" t="str">
        <f ca="1">IF($A172="","",IF(INDEX(Sheet!W$2:W$7967,$A172)="","",INDEX(Sheet!W$2:W$7967,$A172)))</f>
        <v/>
      </c>
      <c r="Q172" s="33" t="str">
        <f ca="1">IF($A172="","",IF(INDEX(Sheet!V$2:V$7967,$A172)="","",INDEX(Sheet!V$2:V$7967,$A172)))</f>
        <v/>
      </c>
      <c r="R172" s="33" t="str">
        <f ca="1">IF($A172="","",IF(INDEX(Sheet!Z$2:Z$7967,$A172)="","",INDEX(Sheet!Z$2:Z$7967,$A172)))</f>
        <v/>
      </c>
      <c r="S172" s="33" t="str">
        <f ca="1">IF($A172="","",IF(INDEX(Sheet!Y$2:Y$7967,$A172)="","",INDEX(Sheet!Y$2:Y$7967,$A172)))</f>
        <v/>
      </c>
      <c r="T172" s="33" t="str">
        <f ca="1">IF($A172="","",IF(INDEX(Sheet!X$2:X$7967,$A172)="","",INDEX(Sheet!X$2:X$7967,$A172)))</f>
        <v/>
      </c>
      <c r="U172" s="33" t="str">
        <f ca="1">IF($A172="","",IF(INDEX(Sheet!AA$2:AA$7967,$A172)="","",INDEX(Sheet!AA$2:AA$7967,$A172)))</f>
        <v/>
      </c>
      <c r="V172" s="33" t="str">
        <f ca="1">IF($A172="","",IF(INDEX(Sheet!AB$2:AB$7967,$A172)="","",INDEX(Sheet!AB$2:AB$7967,$A172)))</f>
        <v/>
      </c>
      <c r="W172" s="33" t="str">
        <f ca="1">IF($A172="","",IF(INDEX(Sheet!AH$2:AH$7967,$A172)="","",INDEX(Sheet!AH$2:AH$7967,$A172)))</f>
        <v/>
      </c>
      <c r="X172" s="33" t="str">
        <f ca="1">IF($A172="","",IF(INDEX(Sheet!AC$2:AC$7967,$A172)="","",INDEX(Sheet!AC$2:AC$7967,$A172)))</f>
        <v/>
      </c>
      <c r="Y172" s="33" t="str">
        <f ca="1">IF($A172="","",IF(INDEX(Sheet!AD$2:AD$7967,$A172)="","",INDEX(Sheet!AD$2:AD$7967,$A172)))</f>
        <v/>
      </c>
      <c r="Z172" s="33" t="str">
        <f ca="1">IF($A172="","",IF(INDEX(Sheet!AL$2:AL$7967,$A172)="","",INDEX(Sheet!AL$2:AL$7967,$A172)))</f>
        <v/>
      </c>
      <c r="AA172" s="33" t="str">
        <f ca="1">IF($A172="","",IF(INDEX(Sheet!AE$2:AE$7967,$A172)="","",INDEX(Sheet!AE$2:AE$7967,$A172)))</f>
        <v/>
      </c>
      <c r="AB172" s="33" t="str">
        <f ca="1">IF($A172="","",IF(INDEX(Sheet!AF$2:AF$7967,$A172)="","",INDEX(Sheet!AF$2:AF$7967,$A172)))</f>
        <v/>
      </c>
      <c r="AC172" s="33" t="str">
        <f ca="1">IF($A172="","",IF(INDEX(Sheet!AG$2:AG$7967,$A172)="","",INDEX(Sheet!AG$2:AG$7967,$A172)))</f>
        <v/>
      </c>
      <c r="AD172" s="33" t="str">
        <f ca="1">IF($A172="","",IF(INDEX(Sheet!AM$2:AM$7967,$A172)="","",INDEX(Sheet!AM$2:AM$7967,$A172)))</f>
        <v/>
      </c>
      <c r="AE172" s="33" t="str">
        <f ca="1">IF($A172="","",IF(INDEX(Sheet!AJ$2:AJ$7967,$A172)="","",INDEX(Sheet!AJ$2:AJ$7967,$A172)))</f>
        <v/>
      </c>
      <c r="AF172" s="33" t="str">
        <f ca="1">IF($A172="","",IF(INDEX(Sheet!AI$2:AI$7967,$A172)="","",INDEX(Sheet!AI$2:AI$7967,$A172)))</f>
        <v/>
      </c>
      <c r="AG172" s="33" t="str">
        <f ca="1">IF(D172="duyệt sản xuất"," Bảo Bảo, Ngày "&amp;DAY($J$4)&amp;" Tháng "&amp;MONTH($J$4)&amp;" Năm "&amp;YEAR($J$4),IF(D172="Phê duyệt","NGƯỜI LẬP",IF(D172="Nguyễn Ngọc Thắng","NGUYỄN THỊ MAI",IF($A172="","",INDEX(Sheet!AK$2:AK$7967,$A172)))))</f>
        <v/>
      </c>
      <c r="AH172" s="58" t="str">
        <f ca="1">IF($A172="","",INDEX(Sheet!AR$2:AR$7967,$A172)&amp;" ; "&amp;INDEX(Sheet!M$2:M$7967,$A172))</f>
        <v/>
      </c>
      <c r="AI172" s="1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G172" s="35" t="str">
        <f ca="1">IFERROR(VALUE(separ(INDEX(Sheet!Q$2:Q$7967,$A172),"-",1)),"")</f>
        <v/>
      </c>
      <c r="BH172" s="35" t="str">
        <f ca="1">IFERROR(VALUE(separ(INDEX(Sheet!R$2:R$7967,$A172),"-",1)),"")</f>
        <v/>
      </c>
      <c r="BI172" s="35" t="str">
        <f ca="1">IFERROR(VALUE(separ(INDEX(Sheet!S$2:S$7967,$A172),"-",1)),"")</f>
        <v/>
      </c>
      <c r="BJ172" s="35" t="str">
        <f ca="1">IFERROR(VALUE(separ(INDEX(Sheet!T$2:T$7967,$A172),"-",1)),"")</f>
        <v/>
      </c>
      <c r="BK172" s="35" t="str">
        <f ca="1">IFERROR(VALUE(separ(INDEX(Sheet!U$2:U$7967,$A172),"-",1)),"")</f>
        <v/>
      </c>
      <c r="BL172" s="35" t="str">
        <f ca="1">IFERROR(VALUE(separ(INDEX(Sheet!V$2:V$7967,$A172),"-",1)),"")</f>
        <v/>
      </c>
      <c r="BM172" s="35" t="str">
        <f ca="1">IFERROR(VALUE(separ(INDEX(Sheet!W$2:W$7967,$A172),"-",1)),"")</f>
        <v/>
      </c>
      <c r="BN172" s="35" t="str">
        <f ca="1">IFERROR(VALUE(separ(INDEX(Sheet!X$2:X$7967,$A172),"-",1)),"")</f>
        <v/>
      </c>
      <c r="BO172" s="35" t="str">
        <f ca="1">IFERROR(VALUE(separ(INDEX(Sheet!Y$2:Y$7967,$A172),"-",1)),"")</f>
        <v/>
      </c>
      <c r="BP172" s="35" t="str">
        <f ca="1">IFERROR(VALUE(separ(INDEX(Sheet!Z$2:Z$7967,$A172),"-",1)),"")</f>
        <v/>
      </c>
      <c r="BQ172" s="35" t="str">
        <f ca="1">IFERROR(VALUE(separ(INDEX(Sheet!AA$2:AA$7967,$A172),"-",1)),"")</f>
        <v/>
      </c>
      <c r="BR172" s="35" t="str">
        <f ca="1">IFERROR(VALUE(separ(INDEX(Sheet!AB$2:AB$7967,$A172),"-",1)),"")</f>
        <v/>
      </c>
      <c r="BS172" s="35" t="str">
        <f ca="1">IFERROR(VALUE(separ(INDEX(Sheet!AC$2:AC$7967,$A172),"-",1)),"")</f>
        <v/>
      </c>
      <c r="BT172" s="35" t="str">
        <f ca="1">IFERROR(VALUE(separ(INDEX(Sheet!AD$2:AD$7967,$A172),"-",1)),"")</f>
        <v/>
      </c>
      <c r="BU172" s="35" t="str">
        <f ca="1">IFERROR(VALUE(separ(INDEX(Sheet!AE$2:AE$7967,$A172),"-",1)),"")</f>
        <v/>
      </c>
      <c r="BV172" s="35"/>
      <c r="BW172" s="35" t="str">
        <f ca="1">IFERROR((separ(INDEX(Sheet!Q$2:Q$7967,$A172),"-",2)),"")</f>
        <v/>
      </c>
      <c r="BX172" s="35" t="str">
        <f ca="1">IFERROR((separ(INDEX(Sheet!R$2:R$7967,$A172),"-",2)),"")</f>
        <v/>
      </c>
      <c r="BY172" s="35" t="str">
        <f ca="1">IFERROR((separ(INDEX(Sheet!S$2:S$7967,$A172),"-",2)),"")</f>
        <v/>
      </c>
      <c r="BZ172" s="35" t="str">
        <f ca="1">IFERROR((separ(INDEX(Sheet!T$2:T$7967,$A172),"-",2)),"")</f>
        <v/>
      </c>
      <c r="CA172" s="35" t="str">
        <f ca="1">IFERROR((separ(INDEX(Sheet!U$2:U$7967,$A172),"-",2)),"")</f>
        <v/>
      </c>
      <c r="CB172" s="35" t="str">
        <f ca="1">IFERROR((separ(INDEX(Sheet!V$2:V$7967,$A172),"-",2)),"")</f>
        <v/>
      </c>
      <c r="CC172" s="35" t="str">
        <f ca="1">IFERROR((separ(INDEX(Sheet!W$2:W$7967,$A172),"-",2)),"")</f>
        <v/>
      </c>
      <c r="CD172" s="35" t="str">
        <f ca="1">IFERROR((separ(INDEX(Sheet!X$2:X$7967,$A172),"-",2)),"")</f>
        <v/>
      </c>
      <c r="CE172" s="35" t="str">
        <f ca="1">IFERROR((separ(INDEX(Sheet!Y$2:Y$7967,$A172),"-",2)),"")</f>
        <v/>
      </c>
      <c r="CF172" s="35" t="str">
        <f ca="1">IFERROR((separ(INDEX(Sheet!Z$2:Z$7967,$A172),"-",2)),"")</f>
        <v/>
      </c>
      <c r="CG172" s="35" t="str">
        <f ca="1">IFERROR((separ(INDEX(Sheet!AA$2:AA$7967,$A172),"-",2)),"")</f>
        <v/>
      </c>
      <c r="CH172" s="35" t="str">
        <f ca="1">IFERROR((separ(INDEX(Sheet!AB$2:AB$7967,$A172),"-",2)),"")</f>
        <v/>
      </c>
      <c r="CI172" s="35" t="str">
        <f ca="1">IFERROR((separ(INDEX(Sheet!AC$2:AC$7967,$A172),"-",2)),"")</f>
        <v/>
      </c>
      <c r="CJ172" s="35" t="str">
        <f ca="1">IFERROR((separ(INDEX(Sheet!AD$2:AD$7967,$A172),"-",2)),"")</f>
        <v/>
      </c>
      <c r="CK172" s="35" t="str">
        <f ca="1">IFERROR((separ(INDEX(Sheet!AE$2:AE$7967,$A172),"-",2)),"")</f>
        <v/>
      </c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</row>
    <row r="173" spans="1:104" s="29" customFormat="1">
      <c r="A173" s="45" t="str">
        <f ca="1">IFERROR(MATCH($B$3,OFFSET(Sheet!$D$2,A172,0):'Sheet'!$D$7657,0)+A172,"")</f>
        <v/>
      </c>
      <c r="B173" s="29" t="str">
        <f ca="1">IF(ROW(A166)&lt;=COUNT($A$6:$A$800),INDEX(Sheet!$A$2:$A$7967,$A173),IF(ROW(A166)=COUNT($A$6:$A$800)+1," ",IF(ROW(A166)=COUNT($A$6:$A$800)+2,"  ","")))</f>
        <v/>
      </c>
      <c r="C173" s="67" t="str">
        <f ca="1">IF($A173="","",INDEX(Sheet!E$2:E$7967,$A173))</f>
        <v/>
      </c>
      <c r="D173" s="31" t="str">
        <f ca="1">IF(B170=" ",$AR$1,IF(B173=" ",$AQ$1,IF(A173="","",INDEX(Sheet!G$2:G$7967,$A173))))</f>
        <v/>
      </c>
      <c r="E173" s="32" t="str">
        <f ca="1">IF($A173="","",TEXT(INDEX(Sheet!J$2:J$7967,$A173),"#,#")&amp;" "&amp;INDEX(Sheet!AT$2:AT$7967,$A173))</f>
        <v/>
      </c>
      <c r="F173" s="53" t="str">
        <f ca="1">IF($A173="","",INDEX(Sheet!F$2:F$7967,$A173))</f>
        <v/>
      </c>
      <c r="G173" s="32" t="str">
        <f ca="1">IF($A173="","",INDEX(Sheet!I$2:I$7967,$A173))</f>
        <v/>
      </c>
      <c r="H173" s="32" t="str">
        <f ca="1">IF($A173="","",INDEX(Sheet!L$2:L$7967,$A173))</f>
        <v/>
      </c>
      <c r="I173" s="32" t="str">
        <f ca="1">IF($A173="","",INDEX(Sheet!N$2:N$7967,$A173))</f>
        <v/>
      </c>
      <c r="J173" s="53" t="str">
        <f ca="1">IF($A173="","",INDEX(Sheet!AS$2:AS$7967,$A173))</f>
        <v/>
      </c>
      <c r="K173" s="33" t="str">
        <f ca="1">IF($A173="","",IF(INDEX(Sheet!S$2:S$7967,$A173)="","",INDEX(Sheet!S$2:S$7967,$A173)))</f>
        <v/>
      </c>
      <c r="L173" s="33" t="str">
        <f ca="1">IF($A173="","",IF(INDEX(Sheet!R$2:R$7967,$A173)="","",INDEX(Sheet!R$2:R$7967,$A173)))</f>
        <v/>
      </c>
      <c r="M173" s="33" t="str">
        <f ca="1">IF($A173="","",IF(INDEX(Sheet!AO$2:AO$7967,$A173)="","",INDEX(Sheet!AO$2:AO$7967,$A173)))</f>
        <v/>
      </c>
      <c r="N173" s="33" t="str">
        <f ca="1">IF($A173="","",IF(INDEX(Sheet!T$2:T$7967,$A173)="","",INDEX(Sheet!T$2:T$7967,$A173)))</f>
        <v/>
      </c>
      <c r="O173" s="33" t="str">
        <f ca="1">IF($A173="","",IF(INDEX(Sheet!U$2:U$7967,$A173)="","",INDEX(Sheet!U$2:U$7967,$A173)))</f>
        <v/>
      </c>
      <c r="P173" s="33" t="str">
        <f ca="1">IF($A173="","",IF(INDEX(Sheet!W$2:W$7967,$A173)="","",INDEX(Sheet!W$2:W$7967,$A173)))</f>
        <v/>
      </c>
      <c r="Q173" s="33" t="str">
        <f ca="1">IF($A173="","",IF(INDEX(Sheet!V$2:V$7967,$A173)="","",INDEX(Sheet!V$2:V$7967,$A173)))</f>
        <v/>
      </c>
      <c r="R173" s="33" t="str">
        <f ca="1">IF($A173="","",IF(INDEX(Sheet!Z$2:Z$7967,$A173)="","",INDEX(Sheet!Z$2:Z$7967,$A173)))</f>
        <v/>
      </c>
      <c r="S173" s="33" t="str">
        <f ca="1">IF($A173="","",IF(INDEX(Sheet!Y$2:Y$7967,$A173)="","",INDEX(Sheet!Y$2:Y$7967,$A173)))</f>
        <v/>
      </c>
      <c r="T173" s="33" t="str">
        <f ca="1">IF($A173="","",IF(INDEX(Sheet!X$2:X$7967,$A173)="","",INDEX(Sheet!X$2:X$7967,$A173)))</f>
        <v/>
      </c>
      <c r="U173" s="33" t="str">
        <f ca="1">IF($A173="","",IF(INDEX(Sheet!AA$2:AA$7967,$A173)="","",INDEX(Sheet!AA$2:AA$7967,$A173)))</f>
        <v/>
      </c>
      <c r="V173" s="33" t="str">
        <f ca="1">IF($A173="","",IF(INDEX(Sheet!AB$2:AB$7967,$A173)="","",INDEX(Sheet!AB$2:AB$7967,$A173)))</f>
        <v/>
      </c>
      <c r="W173" s="33" t="str">
        <f ca="1">IF($A173="","",IF(INDEX(Sheet!AH$2:AH$7967,$A173)="","",INDEX(Sheet!AH$2:AH$7967,$A173)))</f>
        <v/>
      </c>
      <c r="X173" s="33" t="str">
        <f ca="1">IF($A173="","",IF(INDEX(Sheet!AC$2:AC$7967,$A173)="","",INDEX(Sheet!AC$2:AC$7967,$A173)))</f>
        <v/>
      </c>
      <c r="Y173" s="33" t="str">
        <f ca="1">IF($A173="","",IF(INDEX(Sheet!AD$2:AD$7967,$A173)="","",INDEX(Sheet!AD$2:AD$7967,$A173)))</f>
        <v/>
      </c>
      <c r="Z173" s="33" t="str">
        <f ca="1">IF($A173="","",IF(INDEX(Sheet!AL$2:AL$7967,$A173)="","",INDEX(Sheet!AL$2:AL$7967,$A173)))</f>
        <v/>
      </c>
      <c r="AA173" s="33" t="str">
        <f ca="1">IF($A173="","",IF(INDEX(Sheet!AE$2:AE$7967,$A173)="","",INDEX(Sheet!AE$2:AE$7967,$A173)))</f>
        <v/>
      </c>
      <c r="AB173" s="33" t="str">
        <f ca="1">IF($A173="","",IF(INDEX(Sheet!AF$2:AF$7967,$A173)="","",INDEX(Sheet!AF$2:AF$7967,$A173)))</f>
        <v/>
      </c>
      <c r="AC173" s="33" t="str">
        <f ca="1">IF($A173="","",IF(INDEX(Sheet!AG$2:AG$7967,$A173)="","",INDEX(Sheet!AG$2:AG$7967,$A173)))</f>
        <v/>
      </c>
      <c r="AD173" s="33" t="str">
        <f ca="1">IF($A173="","",IF(INDEX(Sheet!AM$2:AM$7967,$A173)="","",INDEX(Sheet!AM$2:AM$7967,$A173)))</f>
        <v/>
      </c>
      <c r="AE173" s="33" t="str">
        <f ca="1">IF($A173="","",IF(INDEX(Sheet!AJ$2:AJ$7967,$A173)="","",INDEX(Sheet!AJ$2:AJ$7967,$A173)))</f>
        <v/>
      </c>
      <c r="AF173" s="33" t="str">
        <f ca="1">IF($A173="","",IF(INDEX(Sheet!AI$2:AI$7967,$A173)="","",INDEX(Sheet!AI$2:AI$7967,$A173)))</f>
        <v/>
      </c>
      <c r="AG173" s="33" t="str">
        <f ca="1">IF(D173="duyệt sản xuất"," Bảo Bảo, Ngày "&amp;DAY($J$4)&amp;" Tháng "&amp;MONTH($J$4)&amp;" Năm "&amp;YEAR($J$4),IF(D173="Phê duyệt","NGƯỜI LẬP",IF(D173="Nguyễn Ngọc Thắng","NGUYỄN THỊ MAI",IF($A173="","",INDEX(Sheet!AK$2:AK$7967,$A173)))))</f>
        <v/>
      </c>
      <c r="AH173" s="58" t="str">
        <f ca="1">IF($A173="","",INDEX(Sheet!AR$2:AR$7967,$A173)&amp;" ; "&amp;INDEX(Sheet!M$2:M$7967,$A173))</f>
        <v/>
      </c>
      <c r="AI173" s="1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G173" s="35" t="str">
        <f ca="1">IFERROR(VALUE(separ(INDEX(Sheet!Q$2:Q$7967,$A173),"-",1)),"")</f>
        <v/>
      </c>
      <c r="BH173" s="35" t="str">
        <f ca="1">IFERROR(VALUE(separ(INDEX(Sheet!R$2:R$7967,$A173),"-",1)),"")</f>
        <v/>
      </c>
      <c r="BI173" s="35" t="str">
        <f ca="1">IFERROR(VALUE(separ(INDEX(Sheet!S$2:S$7967,$A173),"-",1)),"")</f>
        <v/>
      </c>
      <c r="BJ173" s="35" t="str">
        <f ca="1">IFERROR(VALUE(separ(INDEX(Sheet!T$2:T$7967,$A173),"-",1)),"")</f>
        <v/>
      </c>
      <c r="BK173" s="35" t="str">
        <f ca="1">IFERROR(VALUE(separ(INDEX(Sheet!U$2:U$7967,$A173),"-",1)),"")</f>
        <v/>
      </c>
      <c r="BL173" s="35" t="str">
        <f ca="1">IFERROR(VALUE(separ(INDEX(Sheet!V$2:V$7967,$A173),"-",1)),"")</f>
        <v/>
      </c>
      <c r="BM173" s="35" t="str">
        <f ca="1">IFERROR(VALUE(separ(INDEX(Sheet!W$2:W$7967,$A173),"-",1)),"")</f>
        <v/>
      </c>
      <c r="BN173" s="35" t="str">
        <f ca="1">IFERROR(VALUE(separ(INDEX(Sheet!X$2:X$7967,$A173),"-",1)),"")</f>
        <v/>
      </c>
      <c r="BO173" s="35" t="str">
        <f ca="1">IFERROR(VALUE(separ(INDEX(Sheet!Y$2:Y$7967,$A173),"-",1)),"")</f>
        <v/>
      </c>
      <c r="BP173" s="35" t="str">
        <f ca="1">IFERROR(VALUE(separ(INDEX(Sheet!Z$2:Z$7967,$A173),"-",1)),"")</f>
        <v/>
      </c>
      <c r="BQ173" s="35" t="str">
        <f ca="1">IFERROR(VALUE(separ(INDEX(Sheet!AA$2:AA$7967,$A173),"-",1)),"")</f>
        <v/>
      </c>
      <c r="BR173" s="35" t="str">
        <f ca="1">IFERROR(VALUE(separ(INDEX(Sheet!AB$2:AB$7967,$A173),"-",1)),"")</f>
        <v/>
      </c>
      <c r="BS173" s="35" t="str">
        <f ca="1">IFERROR(VALUE(separ(INDEX(Sheet!AC$2:AC$7967,$A173),"-",1)),"")</f>
        <v/>
      </c>
      <c r="BT173" s="35" t="str">
        <f ca="1">IFERROR(VALUE(separ(INDEX(Sheet!AD$2:AD$7967,$A173),"-",1)),"")</f>
        <v/>
      </c>
      <c r="BU173" s="35" t="str">
        <f ca="1">IFERROR(VALUE(separ(INDEX(Sheet!AE$2:AE$7967,$A173),"-",1)),"")</f>
        <v/>
      </c>
      <c r="BV173" s="35"/>
      <c r="BW173" s="35" t="str">
        <f ca="1">IFERROR((separ(INDEX(Sheet!Q$2:Q$7967,$A173),"-",2)),"")</f>
        <v/>
      </c>
      <c r="BX173" s="35" t="str">
        <f ca="1">IFERROR((separ(INDEX(Sheet!R$2:R$7967,$A173),"-",2)),"")</f>
        <v/>
      </c>
      <c r="BY173" s="35" t="str">
        <f ca="1">IFERROR((separ(INDEX(Sheet!S$2:S$7967,$A173),"-",2)),"")</f>
        <v/>
      </c>
      <c r="BZ173" s="35" t="str">
        <f ca="1">IFERROR((separ(INDEX(Sheet!T$2:T$7967,$A173),"-",2)),"")</f>
        <v/>
      </c>
      <c r="CA173" s="35" t="str">
        <f ca="1">IFERROR((separ(INDEX(Sheet!U$2:U$7967,$A173),"-",2)),"")</f>
        <v/>
      </c>
      <c r="CB173" s="35" t="str">
        <f ca="1">IFERROR((separ(INDEX(Sheet!V$2:V$7967,$A173),"-",2)),"")</f>
        <v/>
      </c>
      <c r="CC173" s="35" t="str">
        <f ca="1">IFERROR((separ(INDEX(Sheet!W$2:W$7967,$A173),"-",2)),"")</f>
        <v/>
      </c>
      <c r="CD173" s="35" t="str">
        <f ca="1">IFERROR((separ(INDEX(Sheet!X$2:X$7967,$A173),"-",2)),"")</f>
        <v/>
      </c>
      <c r="CE173" s="35" t="str">
        <f ca="1">IFERROR((separ(INDEX(Sheet!Y$2:Y$7967,$A173),"-",2)),"")</f>
        <v/>
      </c>
      <c r="CF173" s="35" t="str">
        <f ca="1">IFERROR((separ(INDEX(Sheet!Z$2:Z$7967,$A173),"-",2)),"")</f>
        <v/>
      </c>
      <c r="CG173" s="35" t="str">
        <f ca="1">IFERROR((separ(INDEX(Sheet!AA$2:AA$7967,$A173),"-",2)),"")</f>
        <v/>
      </c>
      <c r="CH173" s="35" t="str">
        <f ca="1">IFERROR((separ(INDEX(Sheet!AB$2:AB$7967,$A173),"-",2)),"")</f>
        <v/>
      </c>
      <c r="CI173" s="35" t="str">
        <f ca="1">IFERROR((separ(INDEX(Sheet!AC$2:AC$7967,$A173),"-",2)),"")</f>
        <v/>
      </c>
      <c r="CJ173" s="35" t="str">
        <f ca="1">IFERROR((separ(INDEX(Sheet!AD$2:AD$7967,$A173),"-",2)),"")</f>
        <v/>
      </c>
      <c r="CK173" s="35" t="str">
        <f ca="1">IFERROR((separ(INDEX(Sheet!AE$2:AE$7967,$A173),"-",2)),"")</f>
        <v/>
      </c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</row>
    <row r="174" spans="1:104" s="29" customFormat="1">
      <c r="A174" s="45" t="str">
        <f ca="1">IFERROR(MATCH($B$3,OFFSET(Sheet!$D$2,A173,0):'Sheet'!$D$7657,0)+A173,"")</f>
        <v/>
      </c>
      <c r="B174" s="29" t="str">
        <f ca="1">IF(ROW(A167)&lt;=COUNT($A$6:$A$800),INDEX(Sheet!$A$2:$A$7967,$A174),IF(ROW(A167)=COUNT($A$6:$A$800)+1," ",IF(ROW(A167)=COUNT($A$6:$A$800)+2,"  ","")))</f>
        <v/>
      </c>
      <c r="C174" s="67" t="str">
        <f ca="1">IF($A174="","",INDEX(Sheet!E$2:E$7967,$A174))</f>
        <v/>
      </c>
      <c r="D174" s="31" t="str">
        <f ca="1">IF(B171=" ",$AR$1,IF(B174=" ",$AQ$1,IF(A174="","",INDEX(Sheet!G$2:G$7967,$A174))))</f>
        <v/>
      </c>
      <c r="E174" s="32" t="str">
        <f ca="1">IF($A174="","",TEXT(INDEX(Sheet!J$2:J$7967,$A174),"#,#")&amp;" "&amp;INDEX(Sheet!AT$2:AT$7967,$A174))</f>
        <v/>
      </c>
      <c r="F174" s="53" t="str">
        <f ca="1">IF($A174="","",INDEX(Sheet!F$2:F$7967,$A174))</f>
        <v/>
      </c>
      <c r="G174" s="32" t="str">
        <f ca="1">IF($A174="","",INDEX(Sheet!I$2:I$7967,$A174))</f>
        <v/>
      </c>
      <c r="H174" s="32" t="str">
        <f ca="1">IF($A174="","",INDEX(Sheet!L$2:L$7967,$A174))</f>
        <v/>
      </c>
      <c r="I174" s="32" t="str">
        <f ca="1">IF($A174="","",INDEX(Sheet!N$2:N$7967,$A174))</f>
        <v/>
      </c>
      <c r="J174" s="53" t="str">
        <f ca="1">IF($A174="","",INDEX(Sheet!AS$2:AS$7967,$A174))</f>
        <v/>
      </c>
      <c r="K174" s="33" t="str">
        <f ca="1">IF($A174="","",IF(INDEX(Sheet!S$2:S$7967,$A174)="","",INDEX(Sheet!S$2:S$7967,$A174)))</f>
        <v/>
      </c>
      <c r="L174" s="33" t="str">
        <f ca="1">IF($A174="","",IF(INDEX(Sheet!R$2:R$7967,$A174)="","",INDEX(Sheet!R$2:R$7967,$A174)))</f>
        <v/>
      </c>
      <c r="M174" s="33" t="str">
        <f ca="1">IF($A174="","",IF(INDEX(Sheet!AO$2:AO$7967,$A174)="","",INDEX(Sheet!AO$2:AO$7967,$A174)))</f>
        <v/>
      </c>
      <c r="N174" s="33" t="str">
        <f ca="1">IF($A174="","",IF(INDEX(Sheet!T$2:T$7967,$A174)="","",INDEX(Sheet!T$2:T$7967,$A174)))</f>
        <v/>
      </c>
      <c r="O174" s="33" t="str">
        <f ca="1">IF($A174="","",IF(INDEX(Sheet!U$2:U$7967,$A174)="","",INDEX(Sheet!U$2:U$7967,$A174)))</f>
        <v/>
      </c>
      <c r="P174" s="33" t="str">
        <f ca="1">IF($A174="","",IF(INDEX(Sheet!W$2:W$7967,$A174)="","",INDEX(Sheet!W$2:W$7967,$A174)))</f>
        <v/>
      </c>
      <c r="Q174" s="33" t="str">
        <f ca="1">IF($A174="","",IF(INDEX(Sheet!V$2:V$7967,$A174)="","",INDEX(Sheet!V$2:V$7967,$A174)))</f>
        <v/>
      </c>
      <c r="R174" s="33" t="str">
        <f ca="1">IF($A174="","",IF(INDEX(Sheet!Z$2:Z$7967,$A174)="","",INDEX(Sheet!Z$2:Z$7967,$A174)))</f>
        <v/>
      </c>
      <c r="S174" s="33" t="str">
        <f ca="1">IF($A174="","",IF(INDEX(Sheet!Y$2:Y$7967,$A174)="","",INDEX(Sheet!Y$2:Y$7967,$A174)))</f>
        <v/>
      </c>
      <c r="T174" s="33" t="str">
        <f ca="1">IF($A174="","",IF(INDEX(Sheet!X$2:X$7967,$A174)="","",INDEX(Sheet!X$2:X$7967,$A174)))</f>
        <v/>
      </c>
      <c r="U174" s="33" t="str">
        <f ca="1">IF($A174="","",IF(INDEX(Sheet!AA$2:AA$7967,$A174)="","",INDEX(Sheet!AA$2:AA$7967,$A174)))</f>
        <v/>
      </c>
      <c r="V174" s="33" t="str">
        <f ca="1">IF($A174="","",IF(INDEX(Sheet!AB$2:AB$7967,$A174)="","",INDEX(Sheet!AB$2:AB$7967,$A174)))</f>
        <v/>
      </c>
      <c r="W174" s="33" t="str">
        <f ca="1">IF($A174="","",IF(INDEX(Sheet!AH$2:AH$7967,$A174)="","",INDEX(Sheet!AH$2:AH$7967,$A174)))</f>
        <v/>
      </c>
      <c r="X174" s="33" t="str">
        <f ca="1">IF($A174="","",IF(INDEX(Sheet!AC$2:AC$7967,$A174)="","",INDEX(Sheet!AC$2:AC$7967,$A174)))</f>
        <v/>
      </c>
      <c r="Y174" s="33" t="str">
        <f ca="1">IF($A174="","",IF(INDEX(Sheet!AD$2:AD$7967,$A174)="","",INDEX(Sheet!AD$2:AD$7967,$A174)))</f>
        <v/>
      </c>
      <c r="Z174" s="33" t="str">
        <f ca="1">IF($A174="","",IF(INDEX(Sheet!AL$2:AL$7967,$A174)="","",INDEX(Sheet!AL$2:AL$7967,$A174)))</f>
        <v/>
      </c>
      <c r="AA174" s="33" t="str">
        <f ca="1">IF($A174="","",IF(INDEX(Sheet!AE$2:AE$7967,$A174)="","",INDEX(Sheet!AE$2:AE$7967,$A174)))</f>
        <v/>
      </c>
      <c r="AB174" s="33" t="str">
        <f ca="1">IF($A174="","",IF(INDEX(Sheet!AF$2:AF$7967,$A174)="","",INDEX(Sheet!AF$2:AF$7967,$A174)))</f>
        <v/>
      </c>
      <c r="AC174" s="33" t="str">
        <f ca="1">IF($A174="","",IF(INDEX(Sheet!AG$2:AG$7967,$A174)="","",INDEX(Sheet!AG$2:AG$7967,$A174)))</f>
        <v/>
      </c>
      <c r="AD174" s="33" t="str">
        <f ca="1">IF($A174="","",IF(INDEX(Sheet!AM$2:AM$7967,$A174)="","",INDEX(Sheet!AM$2:AM$7967,$A174)))</f>
        <v/>
      </c>
      <c r="AE174" s="33" t="str">
        <f ca="1">IF($A174="","",IF(INDEX(Sheet!AJ$2:AJ$7967,$A174)="","",INDEX(Sheet!AJ$2:AJ$7967,$A174)))</f>
        <v/>
      </c>
      <c r="AF174" s="33" t="str">
        <f ca="1">IF($A174="","",IF(INDEX(Sheet!AI$2:AI$7967,$A174)="","",INDEX(Sheet!AI$2:AI$7967,$A174)))</f>
        <v/>
      </c>
      <c r="AG174" s="33" t="str">
        <f ca="1">IF(D174="duyệt sản xuất"," Bảo Bảo, Ngày "&amp;DAY($J$4)&amp;" Tháng "&amp;MONTH($J$4)&amp;" Năm "&amp;YEAR($J$4),IF(D174="Phê duyệt","NGƯỜI LẬP",IF(D174="Nguyễn Ngọc Thắng","NGUYỄN THỊ MAI",IF($A174="","",INDEX(Sheet!AK$2:AK$7967,$A174)))))</f>
        <v/>
      </c>
      <c r="AH174" s="58" t="str">
        <f ca="1">IF($A174="","",INDEX(Sheet!AR$2:AR$7967,$A174)&amp;" ; "&amp;INDEX(Sheet!M$2:M$7967,$A174))</f>
        <v/>
      </c>
      <c r="AI174" s="1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G174" s="35" t="str">
        <f ca="1">IFERROR(VALUE(separ(INDEX(Sheet!Q$2:Q$7967,$A174),"-",1)),"")</f>
        <v/>
      </c>
      <c r="BH174" s="35" t="str">
        <f ca="1">IFERROR(VALUE(separ(INDEX(Sheet!R$2:R$7967,$A174),"-",1)),"")</f>
        <v/>
      </c>
      <c r="BI174" s="35" t="str">
        <f ca="1">IFERROR(VALUE(separ(INDEX(Sheet!S$2:S$7967,$A174),"-",1)),"")</f>
        <v/>
      </c>
      <c r="BJ174" s="35" t="str">
        <f ca="1">IFERROR(VALUE(separ(INDEX(Sheet!T$2:T$7967,$A174),"-",1)),"")</f>
        <v/>
      </c>
      <c r="BK174" s="35" t="str">
        <f ca="1">IFERROR(VALUE(separ(INDEX(Sheet!U$2:U$7967,$A174),"-",1)),"")</f>
        <v/>
      </c>
      <c r="BL174" s="35" t="str">
        <f ca="1">IFERROR(VALUE(separ(INDEX(Sheet!V$2:V$7967,$A174),"-",1)),"")</f>
        <v/>
      </c>
      <c r="BM174" s="35" t="str">
        <f ca="1">IFERROR(VALUE(separ(INDEX(Sheet!W$2:W$7967,$A174),"-",1)),"")</f>
        <v/>
      </c>
      <c r="BN174" s="35" t="str">
        <f ca="1">IFERROR(VALUE(separ(INDEX(Sheet!X$2:X$7967,$A174),"-",1)),"")</f>
        <v/>
      </c>
      <c r="BO174" s="35" t="str">
        <f ca="1">IFERROR(VALUE(separ(INDEX(Sheet!Y$2:Y$7967,$A174),"-",1)),"")</f>
        <v/>
      </c>
      <c r="BP174" s="35" t="str">
        <f ca="1">IFERROR(VALUE(separ(INDEX(Sheet!Z$2:Z$7967,$A174),"-",1)),"")</f>
        <v/>
      </c>
      <c r="BQ174" s="35" t="str">
        <f ca="1">IFERROR(VALUE(separ(INDEX(Sheet!AA$2:AA$7967,$A174),"-",1)),"")</f>
        <v/>
      </c>
      <c r="BR174" s="35" t="str">
        <f ca="1">IFERROR(VALUE(separ(INDEX(Sheet!AB$2:AB$7967,$A174),"-",1)),"")</f>
        <v/>
      </c>
      <c r="BS174" s="35" t="str">
        <f ca="1">IFERROR(VALUE(separ(INDEX(Sheet!AC$2:AC$7967,$A174),"-",1)),"")</f>
        <v/>
      </c>
      <c r="BT174" s="35" t="str">
        <f ca="1">IFERROR(VALUE(separ(INDEX(Sheet!AD$2:AD$7967,$A174),"-",1)),"")</f>
        <v/>
      </c>
      <c r="BU174" s="35" t="str">
        <f ca="1">IFERROR(VALUE(separ(INDEX(Sheet!AE$2:AE$7967,$A174),"-",1)),"")</f>
        <v/>
      </c>
      <c r="BV174" s="35"/>
      <c r="BW174" s="35" t="str">
        <f ca="1">IFERROR((separ(INDEX(Sheet!Q$2:Q$7967,$A174),"-",2)),"")</f>
        <v/>
      </c>
      <c r="BX174" s="35" t="str">
        <f ca="1">IFERROR((separ(INDEX(Sheet!R$2:R$7967,$A174),"-",2)),"")</f>
        <v/>
      </c>
      <c r="BY174" s="35" t="str">
        <f ca="1">IFERROR((separ(INDEX(Sheet!S$2:S$7967,$A174),"-",2)),"")</f>
        <v/>
      </c>
      <c r="BZ174" s="35" t="str">
        <f ca="1">IFERROR((separ(INDEX(Sheet!T$2:T$7967,$A174),"-",2)),"")</f>
        <v/>
      </c>
      <c r="CA174" s="35" t="str">
        <f ca="1">IFERROR((separ(INDEX(Sheet!U$2:U$7967,$A174),"-",2)),"")</f>
        <v/>
      </c>
      <c r="CB174" s="35" t="str">
        <f ca="1">IFERROR((separ(INDEX(Sheet!V$2:V$7967,$A174),"-",2)),"")</f>
        <v/>
      </c>
      <c r="CC174" s="35" t="str">
        <f ca="1">IFERROR((separ(INDEX(Sheet!W$2:W$7967,$A174),"-",2)),"")</f>
        <v/>
      </c>
      <c r="CD174" s="35" t="str">
        <f ca="1">IFERROR((separ(INDEX(Sheet!X$2:X$7967,$A174),"-",2)),"")</f>
        <v/>
      </c>
      <c r="CE174" s="35" t="str">
        <f ca="1">IFERROR((separ(INDEX(Sheet!Y$2:Y$7967,$A174),"-",2)),"")</f>
        <v/>
      </c>
      <c r="CF174" s="35" t="str">
        <f ca="1">IFERROR((separ(INDEX(Sheet!Z$2:Z$7967,$A174),"-",2)),"")</f>
        <v/>
      </c>
      <c r="CG174" s="35" t="str">
        <f ca="1">IFERROR((separ(INDEX(Sheet!AA$2:AA$7967,$A174),"-",2)),"")</f>
        <v/>
      </c>
      <c r="CH174" s="35" t="str">
        <f ca="1">IFERROR((separ(INDEX(Sheet!AB$2:AB$7967,$A174),"-",2)),"")</f>
        <v/>
      </c>
      <c r="CI174" s="35" t="str">
        <f ca="1">IFERROR((separ(INDEX(Sheet!AC$2:AC$7967,$A174),"-",2)),"")</f>
        <v/>
      </c>
      <c r="CJ174" s="35" t="str">
        <f ca="1">IFERROR((separ(INDEX(Sheet!AD$2:AD$7967,$A174),"-",2)),"")</f>
        <v/>
      </c>
      <c r="CK174" s="35" t="str">
        <f ca="1">IFERROR((separ(INDEX(Sheet!AE$2:AE$7967,$A174),"-",2)),"")</f>
        <v/>
      </c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</row>
    <row r="175" spans="1:104" s="29" customFormat="1">
      <c r="A175" s="45" t="str">
        <f ca="1">IFERROR(MATCH($B$3,OFFSET(Sheet!$D$2,A174,0):'Sheet'!$D$7657,0)+A174,"")</f>
        <v/>
      </c>
      <c r="B175" s="29" t="str">
        <f ca="1">IF(ROW(A168)&lt;=COUNT($A$6:$A$800),INDEX(Sheet!$A$2:$A$7967,$A175),IF(ROW(A168)=COUNT($A$6:$A$800)+1," ",IF(ROW(A168)=COUNT($A$6:$A$800)+2,"  ","")))</f>
        <v/>
      </c>
      <c r="C175" s="67" t="str">
        <f ca="1">IF($A175="","",INDEX(Sheet!E$2:E$7967,$A175))</f>
        <v/>
      </c>
      <c r="D175" s="31" t="str">
        <f ca="1">IF(B172=" ",$AR$1,IF(B175=" ",$AQ$1,IF(A175="","",INDEX(Sheet!G$2:G$7967,$A175))))</f>
        <v/>
      </c>
      <c r="E175" s="32" t="str">
        <f ca="1">IF($A175="","",TEXT(INDEX(Sheet!J$2:J$7967,$A175),"#,#")&amp;" "&amp;INDEX(Sheet!AT$2:AT$7967,$A175))</f>
        <v/>
      </c>
      <c r="F175" s="53" t="str">
        <f ca="1">IF($A175="","",INDEX(Sheet!F$2:F$7967,$A175))</f>
        <v/>
      </c>
      <c r="G175" s="32" t="str">
        <f ca="1">IF($A175="","",INDEX(Sheet!I$2:I$7967,$A175))</f>
        <v/>
      </c>
      <c r="H175" s="32" t="str">
        <f ca="1">IF($A175="","",INDEX(Sheet!L$2:L$7967,$A175))</f>
        <v/>
      </c>
      <c r="I175" s="32" t="str">
        <f ca="1">IF($A175="","",INDEX(Sheet!N$2:N$7967,$A175))</f>
        <v/>
      </c>
      <c r="J175" s="53" t="str">
        <f ca="1">IF($A175="","",INDEX(Sheet!AS$2:AS$7967,$A175))</f>
        <v/>
      </c>
      <c r="K175" s="33" t="str">
        <f ca="1">IF($A175="","",IF(INDEX(Sheet!S$2:S$7967,$A175)="","",INDEX(Sheet!S$2:S$7967,$A175)))</f>
        <v/>
      </c>
      <c r="L175" s="33" t="str">
        <f ca="1">IF($A175="","",IF(INDEX(Sheet!R$2:R$7967,$A175)="","",INDEX(Sheet!R$2:R$7967,$A175)))</f>
        <v/>
      </c>
      <c r="M175" s="33" t="str">
        <f ca="1">IF($A175="","",IF(INDEX(Sheet!AO$2:AO$7967,$A175)="","",INDEX(Sheet!AO$2:AO$7967,$A175)))</f>
        <v/>
      </c>
      <c r="N175" s="33" t="str">
        <f ca="1">IF($A175="","",IF(INDEX(Sheet!T$2:T$7967,$A175)="","",INDEX(Sheet!T$2:T$7967,$A175)))</f>
        <v/>
      </c>
      <c r="O175" s="33" t="str">
        <f ca="1">IF($A175="","",IF(INDEX(Sheet!U$2:U$7967,$A175)="","",INDEX(Sheet!U$2:U$7967,$A175)))</f>
        <v/>
      </c>
      <c r="P175" s="33" t="str">
        <f ca="1">IF($A175="","",IF(INDEX(Sheet!W$2:W$7967,$A175)="","",INDEX(Sheet!W$2:W$7967,$A175)))</f>
        <v/>
      </c>
      <c r="Q175" s="33" t="str">
        <f ca="1">IF($A175="","",IF(INDEX(Sheet!V$2:V$7967,$A175)="","",INDEX(Sheet!V$2:V$7967,$A175)))</f>
        <v/>
      </c>
      <c r="R175" s="33" t="str">
        <f ca="1">IF($A175="","",IF(INDEX(Sheet!Z$2:Z$7967,$A175)="","",INDEX(Sheet!Z$2:Z$7967,$A175)))</f>
        <v/>
      </c>
      <c r="S175" s="33" t="str">
        <f ca="1">IF($A175="","",IF(INDEX(Sheet!Y$2:Y$7967,$A175)="","",INDEX(Sheet!Y$2:Y$7967,$A175)))</f>
        <v/>
      </c>
      <c r="T175" s="33" t="str">
        <f ca="1">IF($A175="","",IF(INDEX(Sheet!X$2:X$7967,$A175)="","",INDEX(Sheet!X$2:X$7967,$A175)))</f>
        <v/>
      </c>
      <c r="U175" s="33" t="str">
        <f ca="1">IF($A175="","",IF(INDEX(Sheet!AA$2:AA$7967,$A175)="","",INDEX(Sheet!AA$2:AA$7967,$A175)))</f>
        <v/>
      </c>
      <c r="V175" s="33" t="str">
        <f ca="1">IF($A175="","",IF(INDEX(Sheet!AB$2:AB$7967,$A175)="","",INDEX(Sheet!AB$2:AB$7967,$A175)))</f>
        <v/>
      </c>
      <c r="W175" s="33" t="str">
        <f ca="1">IF($A175="","",IF(INDEX(Sheet!AH$2:AH$7967,$A175)="","",INDEX(Sheet!AH$2:AH$7967,$A175)))</f>
        <v/>
      </c>
      <c r="X175" s="33" t="str">
        <f ca="1">IF($A175="","",IF(INDEX(Sheet!AC$2:AC$7967,$A175)="","",INDEX(Sheet!AC$2:AC$7967,$A175)))</f>
        <v/>
      </c>
      <c r="Y175" s="33" t="str">
        <f ca="1">IF($A175="","",IF(INDEX(Sheet!AD$2:AD$7967,$A175)="","",INDEX(Sheet!AD$2:AD$7967,$A175)))</f>
        <v/>
      </c>
      <c r="Z175" s="33" t="str">
        <f ca="1">IF($A175="","",IF(INDEX(Sheet!AL$2:AL$7967,$A175)="","",INDEX(Sheet!AL$2:AL$7967,$A175)))</f>
        <v/>
      </c>
      <c r="AA175" s="33" t="str">
        <f ca="1">IF($A175="","",IF(INDEX(Sheet!AE$2:AE$7967,$A175)="","",INDEX(Sheet!AE$2:AE$7967,$A175)))</f>
        <v/>
      </c>
      <c r="AB175" s="33" t="str">
        <f ca="1">IF($A175="","",IF(INDEX(Sheet!AF$2:AF$7967,$A175)="","",INDEX(Sheet!AF$2:AF$7967,$A175)))</f>
        <v/>
      </c>
      <c r="AC175" s="33" t="str">
        <f ca="1">IF($A175="","",IF(INDEX(Sheet!AG$2:AG$7967,$A175)="","",INDEX(Sheet!AG$2:AG$7967,$A175)))</f>
        <v/>
      </c>
      <c r="AD175" s="33" t="str">
        <f ca="1">IF($A175="","",IF(INDEX(Sheet!AM$2:AM$7967,$A175)="","",INDEX(Sheet!AM$2:AM$7967,$A175)))</f>
        <v/>
      </c>
      <c r="AE175" s="33" t="str">
        <f ca="1">IF($A175="","",IF(INDEX(Sheet!AJ$2:AJ$7967,$A175)="","",INDEX(Sheet!AJ$2:AJ$7967,$A175)))</f>
        <v/>
      </c>
      <c r="AF175" s="33" t="str">
        <f ca="1">IF($A175="","",IF(INDEX(Sheet!AI$2:AI$7967,$A175)="","",INDEX(Sheet!AI$2:AI$7967,$A175)))</f>
        <v/>
      </c>
      <c r="AG175" s="33" t="str">
        <f ca="1">IF(D175="duyệt sản xuất"," Bảo Bảo, Ngày "&amp;DAY($J$4)&amp;" Tháng "&amp;MONTH($J$4)&amp;" Năm "&amp;YEAR($J$4),IF(D175="Phê duyệt","NGƯỜI LẬP",IF(D175="Nguyễn Ngọc Thắng","NGUYỄN THỊ MAI",IF($A175="","",INDEX(Sheet!AK$2:AK$7967,$A175)))))</f>
        <v/>
      </c>
      <c r="AH175" s="58" t="str">
        <f ca="1">IF($A175="","",INDEX(Sheet!AR$2:AR$7967,$A175)&amp;" ; "&amp;INDEX(Sheet!M$2:M$7967,$A175))</f>
        <v/>
      </c>
      <c r="AI175" s="1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G175" s="35" t="str">
        <f ca="1">IFERROR(VALUE(separ(INDEX(Sheet!Q$2:Q$7967,$A175),"-",1)),"")</f>
        <v/>
      </c>
      <c r="BH175" s="35" t="str">
        <f ca="1">IFERROR(VALUE(separ(INDEX(Sheet!R$2:R$7967,$A175),"-",1)),"")</f>
        <v/>
      </c>
      <c r="BI175" s="35" t="str">
        <f ca="1">IFERROR(VALUE(separ(INDEX(Sheet!S$2:S$7967,$A175),"-",1)),"")</f>
        <v/>
      </c>
      <c r="BJ175" s="35" t="str">
        <f ca="1">IFERROR(VALUE(separ(INDEX(Sheet!T$2:T$7967,$A175),"-",1)),"")</f>
        <v/>
      </c>
      <c r="BK175" s="35" t="str">
        <f ca="1">IFERROR(VALUE(separ(INDEX(Sheet!U$2:U$7967,$A175),"-",1)),"")</f>
        <v/>
      </c>
      <c r="BL175" s="35" t="str">
        <f ca="1">IFERROR(VALUE(separ(INDEX(Sheet!V$2:V$7967,$A175),"-",1)),"")</f>
        <v/>
      </c>
      <c r="BM175" s="35" t="str">
        <f ca="1">IFERROR(VALUE(separ(INDEX(Sheet!W$2:W$7967,$A175),"-",1)),"")</f>
        <v/>
      </c>
      <c r="BN175" s="35" t="str">
        <f ca="1">IFERROR(VALUE(separ(INDEX(Sheet!X$2:X$7967,$A175),"-",1)),"")</f>
        <v/>
      </c>
      <c r="BO175" s="35" t="str">
        <f ca="1">IFERROR(VALUE(separ(INDEX(Sheet!Y$2:Y$7967,$A175),"-",1)),"")</f>
        <v/>
      </c>
      <c r="BP175" s="35" t="str">
        <f ca="1">IFERROR(VALUE(separ(INDEX(Sheet!Z$2:Z$7967,$A175),"-",1)),"")</f>
        <v/>
      </c>
      <c r="BQ175" s="35" t="str">
        <f ca="1">IFERROR(VALUE(separ(INDEX(Sheet!AA$2:AA$7967,$A175),"-",1)),"")</f>
        <v/>
      </c>
      <c r="BR175" s="35" t="str">
        <f ca="1">IFERROR(VALUE(separ(INDEX(Sheet!AB$2:AB$7967,$A175),"-",1)),"")</f>
        <v/>
      </c>
      <c r="BS175" s="35" t="str">
        <f ca="1">IFERROR(VALUE(separ(INDEX(Sheet!AC$2:AC$7967,$A175),"-",1)),"")</f>
        <v/>
      </c>
      <c r="BT175" s="35" t="str">
        <f ca="1">IFERROR(VALUE(separ(INDEX(Sheet!AD$2:AD$7967,$A175),"-",1)),"")</f>
        <v/>
      </c>
      <c r="BU175" s="35" t="str">
        <f ca="1">IFERROR(VALUE(separ(INDEX(Sheet!AE$2:AE$7967,$A175),"-",1)),"")</f>
        <v/>
      </c>
      <c r="BV175" s="35"/>
      <c r="BW175" s="35" t="str">
        <f ca="1">IFERROR((separ(INDEX(Sheet!Q$2:Q$7967,$A175),"-",2)),"")</f>
        <v/>
      </c>
      <c r="BX175" s="35" t="str">
        <f ca="1">IFERROR((separ(INDEX(Sheet!R$2:R$7967,$A175),"-",2)),"")</f>
        <v/>
      </c>
      <c r="BY175" s="35" t="str">
        <f ca="1">IFERROR((separ(INDEX(Sheet!S$2:S$7967,$A175),"-",2)),"")</f>
        <v/>
      </c>
      <c r="BZ175" s="35" t="str">
        <f ca="1">IFERROR((separ(INDEX(Sheet!T$2:T$7967,$A175),"-",2)),"")</f>
        <v/>
      </c>
      <c r="CA175" s="35" t="str">
        <f ca="1">IFERROR((separ(INDEX(Sheet!U$2:U$7967,$A175),"-",2)),"")</f>
        <v/>
      </c>
      <c r="CB175" s="35" t="str">
        <f ca="1">IFERROR((separ(INDEX(Sheet!V$2:V$7967,$A175),"-",2)),"")</f>
        <v/>
      </c>
      <c r="CC175" s="35" t="str">
        <f ca="1">IFERROR((separ(INDEX(Sheet!W$2:W$7967,$A175),"-",2)),"")</f>
        <v/>
      </c>
      <c r="CD175" s="35" t="str">
        <f ca="1">IFERROR((separ(INDEX(Sheet!X$2:X$7967,$A175),"-",2)),"")</f>
        <v/>
      </c>
      <c r="CE175" s="35" t="str">
        <f ca="1">IFERROR((separ(INDEX(Sheet!Y$2:Y$7967,$A175),"-",2)),"")</f>
        <v/>
      </c>
      <c r="CF175" s="35" t="str">
        <f ca="1">IFERROR((separ(INDEX(Sheet!Z$2:Z$7967,$A175),"-",2)),"")</f>
        <v/>
      </c>
      <c r="CG175" s="35" t="str">
        <f ca="1">IFERROR((separ(INDEX(Sheet!AA$2:AA$7967,$A175),"-",2)),"")</f>
        <v/>
      </c>
      <c r="CH175" s="35" t="str">
        <f ca="1">IFERROR((separ(INDEX(Sheet!AB$2:AB$7967,$A175),"-",2)),"")</f>
        <v/>
      </c>
      <c r="CI175" s="35" t="str">
        <f ca="1">IFERROR((separ(INDEX(Sheet!AC$2:AC$7967,$A175),"-",2)),"")</f>
        <v/>
      </c>
      <c r="CJ175" s="35" t="str">
        <f ca="1">IFERROR((separ(INDEX(Sheet!AD$2:AD$7967,$A175),"-",2)),"")</f>
        <v/>
      </c>
      <c r="CK175" s="35" t="str">
        <f ca="1">IFERROR((separ(INDEX(Sheet!AE$2:AE$7967,$A175),"-",2)),"")</f>
        <v/>
      </c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</row>
    <row r="176" spans="1:104" s="29" customFormat="1">
      <c r="A176" s="45" t="str">
        <f ca="1">IFERROR(MATCH($B$3,OFFSET(Sheet!$D$2,A175,0):'Sheet'!$D$7657,0)+A175,"")</f>
        <v/>
      </c>
      <c r="B176" s="29" t="str">
        <f ca="1">IF(ROW(A169)&lt;=COUNT($A$6:$A$800),INDEX(Sheet!$A$2:$A$7967,$A176),IF(ROW(A169)=COUNT($A$6:$A$800)+1," ",IF(ROW(A169)=COUNT($A$6:$A$800)+2,"  ","")))</f>
        <v/>
      </c>
      <c r="C176" s="67" t="str">
        <f ca="1">IF($A176="","",INDEX(Sheet!E$2:E$7967,$A176))</f>
        <v/>
      </c>
      <c r="D176" s="31" t="str">
        <f ca="1">IF(B173=" ",$AR$1,IF(B176=" ",$AQ$1,IF(A176="","",INDEX(Sheet!G$2:G$7967,$A176))))</f>
        <v/>
      </c>
      <c r="E176" s="32" t="str">
        <f ca="1">IF($A176="","",TEXT(INDEX(Sheet!J$2:J$7967,$A176),"#,#")&amp;" "&amp;INDEX(Sheet!AT$2:AT$7967,$A176))</f>
        <v/>
      </c>
      <c r="F176" s="53" t="str">
        <f ca="1">IF($A176="","",INDEX(Sheet!F$2:F$7967,$A176))</f>
        <v/>
      </c>
      <c r="G176" s="32" t="str">
        <f ca="1">IF($A176="","",INDEX(Sheet!I$2:I$7967,$A176))</f>
        <v/>
      </c>
      <c r="H176" s="32" t="str">
        <f ca="1">IF($A176="","",INDEX(Sheet!L$2:L$7967,$A176))</f>
        <v/>
      </c>
      <c r="I176" s="32" t="str">
        <f ca="1">IF($A176="","",INDEX(Sheet!N$2:N$7967,$A176))</f>
        <v/>
      </c>
      <c r="J176" s="53" t="str">
        <f ca="1">IF($A176="","",INDEX(Sheet!AS$2:AS$7967,$A176))</f>
        <v/>
      </c>
      <c r="K176" s="33" t="str">
        <f ca="1">IF($A176="","",IF(INDEX(Sheet!S$2:S$7967,$A176)="","",INDEX(Sheet!S$2:S$7967,$A176)))</f>
        <v/>
      </c>
      <c r="L176" s="33" t="str">
        <f ca="1">IF($A176="","",IF(INDEX(Sheet!R$2:R$7967,$A176)="","",INDEX(Sheet!R$2:R$7967,$A176)))</f>
        <v/>
      </c>
      <c r="M176" s="33" t="str">
        <f ca="1">IF($A176="","",IF(INDEX(Sheet!AO$2:AO$7967,$A176)="","",INDEX(Sheet!AO$2:AO$7967,$A176)))</f>
        <v/>
      </c>
      <c r="N176" s="33" t="str">
        <f ca="1">IF($A176="","",IF(INDEX(Sheet!T$2:T$7967,$A176)="","",INDEX(Sheet!T$2:T$7967,$A176)))</f>
        <v/>
      </c>
      <c r="O176" s="33" t="str">
        <f ca="1">IF($A176="","",IF(INDEX(Sheet!U$2:U$7967,$A176)="","",INDEX(Sheet!U$2:U$7967,$A176)))</f>
        <v/>
      </c>
      <c r="P176" s="33" t="str">
        <f ca="1">IF($A176="","",IF(INDEX(Sheet!W$2:W$7967,$A176)="","",INDEX(Sheet!W$2:W$7967,$A176)))</f>
        <v/>
      </c>
      <c r="Q176" s="33" t="str">
        <f ca="1">IF($A176="","",IF(INDEX(Sheet!V$2:V$7967,$A176)="","",INDEX(Sheet!V$2:V$7967,$A176)))</f>
        <v/>
      </c>
      <c r="R176" s="33" t="str">
        <f ca="1">IF($A176="","",IF(INDEX(Sheet!Z$2:Z$7967,$A176)="","",INDEX(Sheet!Z$2:Z$7967,$A176)))</f>
        <v/>
      </c>
      <c r="S176" s="33" t="str">
        <f ca="1">IF($A176="","",IF(INDEX(Sheet!Y$2:Y$7967,$A176)="","",INDEX(Sheet!Y$2:Y$7967,$A176)))</f>
        <v/>
      </c>
      <c r="T176" s="33" t="str">
        <f ca="1">IF($A176="","",IF(INDEX(Sheet!X$2:X$7967,$A176)="","",INDEX(Sheet!X$2:X$7967,$A176)))</f>
        <v/>
      </c>
      <c r="U176" s="33" t="str">
        <f ca="1">IF($A176="","",IF(INDEX(Sheet!AA$2:AA$7967,$A176)="","",INDEX(Sheet!AA$2:AA$7967,$A176)))</f>
        <v/>
      </c>
      <c r="V176" s="33" t="str">
        <f ca="1">IF($A176="","",IF(INDEX(Sheet!AB$2:AB$7967,$A176)="","",INDEX(Sheet!AB$2:AB$7967,$A176)))</f>
        <v/>
      </c>
      <c r="W176" s="33" t="str">
        <f ca="1">IF($A176="","",IF(INDEX(Sheet!AH$2:AH$7967,$A176)="","",INDEX(Sheet!AH$2:AH$7967,$A176)))</f>
        <v/>
      </c>
      <c r="X176" s="33" t="str">
        <f ca="1">IF($A176="","",IF(INDEX(Sheet!AC$2:AC$7967,$A176)="","",INDEX(Sheet!AC$2:AC$7967,$A176)))</f>
        <v/>
      </c>
      <c r="Y176" s="33" t="str">
        <f ca="1">IF($A176="","",IF(INDEX(Sheet!AD$2:AD$7967,$A176)="","",INDEX(Sheet!AD$2:AD$7967,$A176)))</f>
        <v/>
      </c>
      <c r="Z176" s="33" t="str">
        <f ca="1">IF($A176="","",IF(INDEX(Sheet!AL$2:AL$7967,$A176)="","",INDEX(Sheet!AL$2:AL$7967,$A176)))</f>
        <v/>
      </c>
      <c r="AA176" s="33" t="str">
        <f ca="1">IF($A176="","",IF(INDEX(Sheet!AE$2:AE$7967,$A176)="","",INDEX(Sheet!AE$2:AE$7967,$A176)))</f>
        <v/>
      </c>
      <c r="AB176" s="33" t="str">
        <f ca="1">IF($A176="","",IF(INDEX(Sheet!AF$2:AF$7967,$A176)="","",INDEX(Sheet!AF$2:AF$7967,$A176)))</f>
        <v/>
      </c>
      <c r="AC176" s="33" t="str">
        <f ca="1">IF($A176="","",IF(INDEX(Sheet!AG$2:AG$7967,$A176)="","",INDEX(Sheet!AG$2:AG$7967,$A176)))</f>
        <v/>
      </c>
      <c r="AD176" s="33" t="str">
        <f ca="1">IF($A176="","",IF(INDEX(Sheet!AM$2:AM$7967,$A176)="","",INDEX(Sheet!AM$2:AM$7967,$A176)))</f>
        <v/>
      </c>
      <c r="AE176" s="33" t="str">
        <f ca="1">IF($A176="","",IF(INDEX(Sheet!AJ$2:AJ$7967,$A176)="","",INDEX(Sheet!AJ$2:AJ$7967,$A176)))</f>
        <v/>
      </c>
      <c r="AF176" s="33" t="str">
        <f ca="1">IF($A176="","",IF(INDEX(Sheet!AI$2:AI$7967,$A176)="","",INDEX(Sheet!AI$2:AI$7967,$A176)))</f>
        <v/>
      </c>
      <c r="AG176" s="33" t="str">
        <f ca="1">IF(D176="duyệt sản xuất"," Bảo Bảo, Ngày "&amp;DAY($J$4)&amp;" Tháng "&amp;MONTH($J$4)&amp;" Năm "&amp;YEAR($J$4),IF(D176="Phê duyệt","NGƯỜI LẬP",IF(D176="Nguyễn Ngọc Thắng","NGUYỄN THỊ MAI",IF($A176="","",INDEX(Sheet!AK$2:AK$7967,$A176)))))</f>
        <v/>
      </c>
      <c r="AH176" s="58" t="str">
        <f ca="1">IF($A176="","",INDEX(Sheet!AR$2:AR$7967,$A176)&amp;" ; "&amp;INDEX(Sheet!M$2:M$7967,$A176))</f>
        <v/>
      </c>
      <c r="AI176" s="1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G176" s="35" t="str">
        <f ca="1">IFERROR(VALUE(separ(INDEX(Sheet!Q$2:Q$7967,$A176),"-",1)),"")</f>
        <v/>
      </c>
      <c r="BH176" s="35" t="str">
        <f ca="1">IFERROR(VALUE(separ(INDEX(Sheet!R$2:R$7967,$A176),"-",1)),"")</f>
        <v/>
      </c>
      <c r="BI176" s="35" t="str">
        <f ca="1">IFERROR(VALUE(separ(INDEX(Sheet!S$2:S$7967,$A176),"-",1)),"")</f>
        <v/>
      </c>
      <c r="BJ176" s="35" t="str">
        <f ca="1">IFERROR(VALUE(separ(INDEX(Sheet!T$2:T$7967,$A176),"-",1)),"")</f>
        <v/>
      </c>
      <c r="BK176" s="35" t="str">
        <f ca="1">IFERROR(VALUE(separ(INDEX(Sheet!U$2:U$7967,$A176),"-",1)),"")</f>
        <v/>
      </c>
      <c r="BL176" s="35" t="str">
        <f ca="1">IFERROR(VALUE(separ(INDEX(Sheet!V$2:V$7967,$A176),"-",1)),"")</f>
        <v/>
      </c>
      <c r="BM176" s="35" t="str">
        <f ca="1">IFERROR(VALUE(separ(INDEX(Sheet!W$2:W$7967,$A176),"-",1)),"")</f>
        <v/>
      </c>
      <c r="BN176" s="35" t="str">
        <f ca="1">IFERROR(VALUE(separ(INDEX(Sheet!X$2:X$7967,$A176),"-",1)),"")</f>
        <v/>
      </c>
      <c r="BO176" s="35" t="str">
        <f ca="1">IFERROR(VALUE(separ(INDEX(Sheet!Y$2:Y$7967,$A176),"-",1)),"")</f>
        <v/>
      </c>
      <c r="BP176" s="35" t="str">
        <f ca="1">IFERROR(VALUE(separ(INDEX(Sheet!Z$2:Z$7967,$A176),"-",1)),"")</f>
        <v/>
      </c>
      <c r="BQ176" s="35" t="str">
        <f ca="1">IFERROR(VALUE(separ(INDEX(Sheet!AA$2:AA$7967,$A176),"-",1)),"")</f>
        <v/>
      </c>
      <c r="BR176" s="35" t="str">
        <f ca="1">IFERROR(VALUE(separ(INDEX(Sheet!AB$2:AB$7967,$A176),"-",1)),"")</f>
        <v/>
      </c>
      <c r="BS176" s="35" t="str">
        <f ca="1">IFERROR(VALUE(separ(INDEX(Sheet!AC$2:AC$7967,$A176),"-",1)),"")</f>
        <v/>
      </c>
      <c r="BT176" s="35" t="str">
        <f ca="1">IFERROR(VALUE(separ(INDEX(Sheet!AD$2:AD$7967,$A176),"-",1)),"")</f>
        <v/>
      </c>
      <c r="BU176" s="35" t="str">
        <f ca="1">IFERROR(VALUE(separ(INDEX(Sheet!AE$2:AE$7967,$A176),"-",1)),"")</f>
        <v/>
      </c>
      <c r="BV176" s="35"/>
      <c r="BW176" s="35" t="str">
        <f ca="1">IFERROR((separ(INDEX(Sheet!Q$2:Q$7967,$A176),"-",2)),"")</f>
        <v/>
      </c>
      <c r="BX176" s="35" t="str">
        <f ca="1">IFERROR((separ(INDEX(Sheet!R$2:R$7967,$A176),"-",2)),"")</f>
        <v/>
      </c>
      <c r="BY176" s="35" t="str">
        <f ca="1">IFERROR((separ(INDEX(Sheet!S$2:S$7967,$A176),"-",2)),"")</f>
        <v/>
      </c>
      <c r="BZ176" s="35" t="str">
        <f ca="1">IFERROR((separ(INDEX(Sheet!T$2:T$7967,$A176),"-",2)),"")</f>
        <v/>
      </c>
      <c r="CA176" s="35" t="str">
        <f ca="1">IFERROR((separ(INDEX(Sheet!U$2:U$7967,$A176),"-",2)),"")</f>
        <v/>
      </c>
      <c r="CB176" s="35" t="str">
        <f ca="1">IFERROR((separ(INDEX(Sheet!V$2:V$7967,$A176),"-",2)),"")</f>
        <v/>
      </c>
      <c r="CC176" s="35" t="str">
        <f ca="1">IFERROR((separ(INDEX(Sheet!W$2:W$7967,$A176),"-",2)),"")</f>
        <v/>
      </c>
      <c r="CD176" s="35" t="str">
        <f ca="1">IFERROR((separ(INDEX(Sheet!X$2:X$7967,$A176),"-",2)),"")</f>
        <v/>
      </c>
      <c r="CE176" s="35" t="str">
        <f ca="1">IFERROR((separ(INDEX(Sheet!Y$2:Y$7967,$A176),"-",2)),"")</f>
        <v/>
      </c>
      <c r="CF176" s="35" t="str">
        <f ca="1">IFERROR((separ(INDEX(Sheet!Z$2:Z$7967,$A176),"-",2)),"")</f>
        <v/>
      </c>
      <c r="CG176" s="35" t="str">
        <f ca="1">IFERROR((separ(INDEX(Sheet!AA$2:AA$7967,$A176),"-",2)),"")</f>
        <v/>
      </c>
      <c r="CH176" s="35" t="str">
        <f ca="1">IFERROR((separ(INDEX(Sheet!AB$2:AB$7967,$A176),"-",2)),"")</f>
        <v/>
      </c>
      <c r="CI176" s="35" t="str">
        <f ca="1">IFERROR((separ(INDEX(Sheet!AC$2:AC$7967,$A176),"-",2)),"")</f>
        <v/>
      </c>
      <c r="CJ176" s="35" t="str">
        <f ca="1">IFERROR((separ(INDEX(Sheet!AD$2:AD$7967,$A176),"-",2)),"")</f>
        <v/>
      </c>
      <c r="CK176" s="35" t="str">
        <f ca="1">IFERROR((separ(INDEX(Sheet!AE$2:AE$7967,$A176),"-",2)),"")</f>
        <v/>
      </c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</row>
    <row r="177" spans="1:104" s="29" customFormat="1">
      <c r="A177" s="45" t="str">
        <f ca="1">IFERROR(MATCH($B$3,OFFSET(Sheet!$D$2,A176,0):'Sheet'!$D$7657,0)+A176,"")</f>
        <v/>
      </c>
      <c r="B177" s="29" t="str">
        <f ca="1">IF(ROW(A170)&lt;=COUNT($A$6:$A$800),INDEX(Sheet!$A$2:$A$7967,$A177),IF(ROW(A170)=COUNT($A$6:$A$800)+1," ",IF(ROW(A170)=COUNT($A$6:$A$800)+2,"  ","")))</f>
        <v/>
      </c>
      <c r="C177" s="67" t="str">
        <f ca="1">IF($A177="","",INDEX(Sheet!E$2:E$7967,$A177))</f>
        <v/>
      </c>
      <c r="D177" s="31" t="str">
        <f ca="1">IF(B174=" ",$AR$1,IF(B177=" ",$AQ$1,IF(A177="","",INDEX(Sheet!G$2:G$7967,$A177))))</f>
        <v/>
      </c>
      <c r="E177" s="32" t="str">
        <f ca="1">IF($A177="","",TEXT(INDEX(Sheet!J$2:J$7967,$A177),"#,#")&amp;" "&amp;INDEX(Sheet!AT$2:AT$7967,$A177))</f>
        <v/>
      </c>
      <c r="F177" s="53" t="str">
        <f ca="1">IF($A177="","",INDEX(Sheet!F$2:F$7967,$A177))</f>
        <v/>
      </c>
      <c r="G177" s="32" t="str">
        <f ca="1">IF($A177="","",INDEX(Sheet!I$2:I$7967,$A177))</f>
        <v/>
      </c>
      <c r="H177" s="32" t="str">
        <f ca="1">IF($A177="","",INDEX(Sheet!L$2:L$7967,$A177))</f>
        <v/>
      </c>
      <c r="I177" s="32" t="str">
        <f ca="1">IF($A177="","",INDEX(Sheet!N$2:N$7967,$A177))</f>
        <v/>
      </c>
      <c r="J177" s="53" t="str">
        <f ca="1">IF($A177="","",INDEX(Sheet!AS$2:AS$7967,$A177))</f>
        <v/>
      </c>
      <c r="K177" s="33" t="str">
        <f ca="1">IF($A177="","",IF(INDEX(Sheet!S$2:S$7967,$A177)="","",INDEX(Sheet!S$2:S$7967,$A177)))</f>
        <v/>
      </c>
      <c r="L177" s="33" t="str">
        <f ca="1">IF($A177="","",IF(INDEX(Sheet!R$2:R$7967,$A177)="","",INDEX(Sheet!R$2:R$7967,$A177)))</f>
        <v/>
      </c>
      <c r="M177" s="33" t="str">
        <f ca="1">IF($A177="","",IF(INDEX(Sheet!AO$2:AO$7967,$A177)="","",INDEX(Sheet!AO$2:AO$7967,$A177)))</f>
        <v/>
      </c>
      <c r="N177" s="33" t="str">
        <f ca="1">IF($A177="","",IF(INDEX(Sheet!T$2:T$7967,$A177)="","",INDEX(Sheet!T$2:T$7967,$A177)))</f>
        <v/>
      </c>
      <c r="O177" s="33" t="str">
        <f ca="1">IF($A177="","",IF(INDEX(Sheet!U$2:U$7967,$A177)="","",INDEX(Sheet!U$2:U$7967,$A177)))</f>
        <v/>
      </c>
      <c r="P177" s="33" t="str">
        <f ca="1">IF($A177="","",IF(INDEX(Sheet!W$2:W$7967,$A177)="","",INDEX(Sheet!W$2:W$7967,$A177)))</f>
        <v/>
      </c>
      <c r="Q177" s="33" t="str">
        <f ca="1">IF($A177="","",IF(INDEX(Sheet!V$2:V$7967,$A177)="","",INDEX(Sheet!V$2:V$7967,$A177)))</f>
        <v/>
      </c>
      <c r="R177" s="33" t="str">
        <f ca="1">IF($A177="","",IF(INDEX(Sheet!Z$2:Z$7967,$A177)="","",INDEX(Sheet!Z$2:Z$7967,$A177)))</f>
        <v/>
      </c>
      <c r="S177" s="33" t="str">
        <f ca="1">IF($A177="","",IF(INDEX(Sheet!Y$2:Y$7967,$A177)="","",INDEX(Sheet!Y$2:Y$7967,$A177)))</f>
        <v/>
      </c>
      <c r="T177" s="33" t="str">
        <f ca="1">IF($A177="","",IF(INDEX(Sheet!X$2:X$7967,$A177)="","",INDEX(Sheet!X$2:X$7967,$A177)))</f>
        <v/>
      </c>
      <c r="U177" s="33" t="str">
        <f ca="1">IF($A177="","",IF(INDEX(Sheet!AA$2:AA$7967,$A177)="","",INDEX(Sheet!AA$2:AA$7967,$A177)))</f>
        <v/>
      </c>
      <c r="V177" s="33" t="str">
        <f ca="1">IF($A177="","",IF(INDEX(Sheet!AB$2:AB$7967,$A177)="","",INDEX(Sheet!AB$2:AB$7967,$A177)))</f>
        <v/>
      </c>
      <c r="W177" s="33" t="str">
        <f ca="1">IF($A177="","",IF(INDEX(Sheet!AH$2:AH$7967,$A177)="","",INDEX(Sheet!AH$2:AH$7967,$A177)))</f>
        <v/>
      </c>
      <c r="X177" s="33" t="str">
        <f ca="1">IF($A177="","",IF(INDEX(Sheet!AC$2:AC$7967,$A177)="","",INDEX(Sheet!AC$2:AC$7967,$A177)))</f>
        <v/>
      </c>
      <c r="Y177" s="33" t="str">
        <f ca="1">IF($A177="","",IF(INDEX(Sheet!AD$2:AD$7967,$A177)="","",INDEX(Sheet!AD$2:AD$7967,$A177)))</f>
        <v/>
      </c>
      <c r="Z177" s="33" t="str">
        <f ca="1">IF($A177="","",IF(INDEX(Sheet!AL$2:AL$7967,$A177)="","",INDEX(Sheet!AL$2:AL$7967,$A177)))</f>
        <v/>
      </c>
      <c r="AA177" s="33" t="str">
        <f ca="1">IF($A177="","",IF(INDEX(Sheet!AE$2:AE$7967,$A177)="","",INDEX(Sheet!AE$2:AE$7967,$A177)))</f>
        <v/>
      </c>
      <c r="AB177" s="33" t="str">
        <f ca="1">IF($A177="","",IF(INDEX(Sheet!AF$2:AF$7967,$A177)="","",INDEX(Sheet!AF$2:AF$7967,$A177)))</f>
        <v/>
      </c>
      <c r="AC177" s="33" t="str">
        <f ca="1">IF($A177="","",IF(INDEX(Sheet!AG$2:AG$7967,$A177)="","",INDEX(Sheet!AG$2:AG$7967,$A177)))</f>
        <v/>
      </c>
      <c r="AD177" s="33" t="str">
        <f ca="1">IF($A177="","",IF(INDEX(Sheet!AM$2:AM$7967,$A177)="","",INDEX(Sheet!AM$2:AM$7967,$A177)))</f>
        <v/>
      </c>
      <c r="AE177" s="33" t="str">
        <f ca="1">IF($A177="","",IF(INDEX(Sheet!AJ$2:AJ$7967,$A177)="","",INDEX(Sheet!AJ$2:AJ$7967,$A177)))</f>
        <v/>
      </c>
      <c r="AF177" s="33" t="str">
        <f ca="1">IF($A177="","",IF(INDEX(Sheet!AI$2:AI$7967,$A177)="","",INDEX(Sheet!AI$2:AI$7967,$A177)))</f>
        <v/>
      </c>
      <c r="AG177" s="33" t="str">
        <f ca="1">IF(D177="duyệt sản xuất"," Bảo Bảo, Ngày "&amp;DAY($J$4)&amp;" Tháng "&amp;MONTH($J$4)&amp;" Năm "&amp;YEAR($J$4),IF(D177="Phê duyệt","NGƯỜI LẬP",IF(D177="Nguyễn Ngọc Thắng","NGUYỄN THỊ MAI",IF($A177="","",INDEX(Sheet!AK$2:AK$7967,$A177)))))</f>
        <v/>
      </c>
      <c r="AH177" s="58" t="str">
        <f ca="1">IF($A177="","",INDEX(Sheet!AR$2:AR$7967,$A177)&amp;" ; "&amp;INDEX(Sheet!M$2:M$7967,$A177))</f>
        <v/>
      </c>
      <c r="AI177" s="1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G177" s="35" t="str">
        <f ca="1">IFERROR(VALUE(separ(INDEX(Sheet!Q$2:Q$7967,$A177),"-",1)),"")</f>
        <v/>
      </c>
      <c r="BH177" s="35" t="str">
        <f ca="1">IFERROR(VALUE(separ(INDEX(Sheet!R$2:R$7967,$A177),"-",1)),"")</f>
        <v/>
      </c>
      <c r="BI177" s="35" t="str">
        <f ca="1">IFERROR(VALUE(separ(INDEX(Sheet!S$2:S$7967,$A177),"-",1)),"")</f>
        <v/>
      </c>
      <c r="BJ177" s="35" t="str">
        <f ca="1">IFERROR(VALUE(separ(INDEX(Sheet!T$2:T$7967,$A177),"-",1)),"")</f>
        <v/>
      </c>
      <c r="BK177" s="35" t="str">
        <f ca="1">IFERROR(VALUE(separ(INDEX(Sheet!U$2:U$7967,$A177),"-",1)),"")</f>
        <v/>
      </c>
      <c r="BL177" s="35" t="str">
        <f ca="1">IFERROR(VALUE(separ(INDEX(Sheet!V$2:V$7967,$A177),"-",1)),"")</f>
        <v/>
      </c>
      <c r="BM177" s="35" t="str">
        <f ca="1">IFERROR(VALUE(separ(INDEX(Sheet!W$2:W$7967,$A177),"-",1)),"")</f>
        <v/>
      </c>
      <c r="BN177" s="35" t="str">
        <f ca="1">IFERROR(VALUE(separ(INDEX(Sheet!X$2:X$7967,$A177),"-",1)),"")</f>
        <v/>
      </c>
      <c r="BO177" s="35" t="str">
        <f ca="1">IFERROR(VALUE(separ(INDEX(Sheet!Y$2:Y$7967,$A177),"-",1)),"")</f>
        <v/>
      </c>
      <c r="BP177" s="35" t="str">
        <f ca="1">IFERROR(VALUE(separ(INDEX(Sheet!Z$2:Z$7967,$A177),"-",1)),"")</f>
        <v/>
      </c>
      <c r="BQ177" s="35" t="str">
        <f ca="1">IFERROR(VALUE(separ(INDEX(Sheet!AA$2:AA$7967,$A177),"-",1)),"")</f>
        <v/>
      </c>
      <c r="BR177" s="35" t="str">
        <f ca="1">IFERROR(VALUE(separ(INDEX(Sheet!AB$2:AB$7967,$A177),"-",1)),"")</f>
        <v/>
      </c>
      <c r="BS177" s="35" t="str">
        <f ca="1">IFERROR(VALUE(separ(INDEX(Sheet!AC$2:AC$7967,$A177),"-",1)),"")</f>
        <v/>
      </c>
      <c r="BT177" s="35" t="str">
        <f ca="1">IFERROR(VALUE(separ(INDEX(Sheet!AD$2:AD$7967,$A177),"-",1)),"")</f>
        <v/>
      </c>
      <c r="BU177" s="35" t="str">
        <f ca="1">IFERROR(VALUE(separ(INDEX(Sheet!AE$2:AE$7967,$A177),"-",1)),"")</f>
        <v/>
      </c>
      <c r="BV177" s="35"/>
      <c r="BW177" s="35" t="str">
        <f ca="1">IFERROR((separ(INDEX(Sheet!Q$2:Q$7967,$A177),"-",2)),"")</f>
        <v/>
      </c>
      <c r="BX177" s="35" t="str">
        <f ca="1">IFERROR((separ(INDEX(Sheet!R$2:R$7967,$A177),"-",2)),"")</f>
        <v/>
      </c>
      <c r="BY177" s="35" t="str">
        <f ca="1">IFERROR((separ(INDEX(Sheet!S$2:S$7967,$A177),"-",2)),"")</f>
        <v/>
      </c>
      <c r="BZ177" s="35" t="str">
        <f ca="1">IFERROR((separ(INDEX(Sheet!T$2:T$7967,$A177),"-",2)),"")</f>
        <v/>
      </c>
      <c r="CA177" s="35" t="str">
        <f ca="1">IFERROR((separ(INDEX(Sheet!U$2:U$7967,$A177),"-",2)),"")</f>
        <v/>
      </c>
      <c r="CB177" s="35" t="str">
        <f ca="1">IFERROR((separ(INDEX(Sheet!V$2:V$7967,$A177),"-",2)),"")</f>
        <v/>
      </c>
      <c r="CC177" s="35" t="str">
        <f ca="1">IFERROR((separ(INDEX(Sheet!W$2:W$7967,$A177),"-",2)),"")</f>
        <v/>
      </c>
      <c r="CD177" s="35" t="str">
        <f ca="1">IFERROR((separ(INDEX(Sheet!X$2:X$7967,$A177),"-",2)),"")</f>
        <v/>
      </c>
      <c r="CE177" s="35" t="str">
        <f ca="1">IFERROR((separ(INDEX(Sheet!Y$2:Y$7967,$A177),"-",2)),"")</f>
        <v/>
      </c>
      <c r="CF177" s="35" t="str">
        <f ca="1">IFERROR((separ(INDEX(Sheet!Z$2:Z$7967,$A177),"-",2)),"")</f>
        <v/>
      </c>
      <c r="CG177" s="35" t="str">
        <f ca="1">IFERROR((separ(INDEX(Sheet!AA$2:AA$7967,$A177),"-",2)),"")</f>
        <v/>
      </c>
      <c r="CH177" s="35" t="str">
        <f ca="1">IFERROR((separ(INDEX(Sheet!AB$2:AB$7967,$A177),"-",2)),"")</f>
        <v/>
      </c>
      <c r="CI177" s="35" t="str">
        <f ca="1">IFERROR((separ(INDEX(Sheet!AC$2:AC$7967,$A177),"-",2)),"")</f>
        <v/>
      </c>
      <c r="CJ177" s="35" t="str">
        <f ca="1">IFERROR((separ(INDEX(Sheet!AD$2:AD$7967,$A177),"-",2)),"")</f>
        <v/>
      </c>
      <c r="CK177" s="35" t="str">
        <f ca="1">IFERROR((separ(INDEX(Sheet!AE$2:AE$7967,$A177),"-",2)),"")</f>
        <v/>
      </c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</row>
    <row r="178" spans="1:104" s="29" customFormat="1">
      <c r="A178" s="45" t="str">
        <f ca="1">IFERROR(MATCH($B$3,OFFSET(Sheet!$D$2,A177,0):'Sheet'!$D$7657,0)+A177,"")</f>
        <v/>
      </c>
      <c r="B178" s="29" t="str">
        <f ca="1">IF(ROW(A171)&lt;=COUNT($A$6:$A$800),INDEX(Sheet!$A$2:$A$7967,$A178),IF(ROW(A171)=COUNT($A$6:$A$800)+1," ",IF(ROW(A171)=COUNT($A$6:$A$800)+2,"  ","")))</f>
        <v/>
      </c>
      <c r="C178" s="67" t="str">
        <f ca="1">IF($A178="","",INDEX(Sheet!E$2:E$7967,$A178))</f>
        <v/>
      </c>
      <c r="D178" s="31" t="str">
        <f ca="1">IF(B175=" ",$AR$1,IF(B178=" ",$AQ$1,IF(A178="","",INDEX(Sheet!G$2:G$7967,$A178))))</f>
        <v/>
      </c>
      <c r="E178" s="32" t="str">
        <f ca="1">IF($A178="","",TEXT(INDEX(Sheet!J$2:J$7967,$A178),"#,#")&amp;" "&amp;INDEX(Sheet!AT$2:AT$7967,$A178))</f>
        <v/>
      </c>
      <c r="F178" s="53" t="str">
        <f ca="1">IF($A178="","",INDEX(Sheet!F$2:F$7967,$A178))</f>
        <v/>
      </c>
      <c r="G178" s="32" t="str">
        <f ca="1">IF($A178="","",INDEX(Sheet!I$2:I$7967,$A178))</f>
        <v/>
      </c>
      <c r="H178" s="32" t="str">
        <f ca="1">IF($A178="","",INDEX(Sheet!L$2:L$7967,$A178))</f>
        <v/>
      </c>
      <c r="I178" s="32" t="str">
        <f ca="1">IF($A178="","",INDEX(Sheet!N$2:N$7967,$A178))</f>
        <v/>
      </c>
      <c r="J178" s="53" t="str">
        <f ca="1">IF($A178="","",INDEX(Sheet!AS$2:AS$7967,$A178))</f>
        <v/>
      </c>
      <c r="K178" s="33" t="str">
        <f ca="1">IF($A178="","",IF(INDEX(Sheet!S$2:S$7967,$A178)="","",INDEX(Sheet!S$2:S$7967,$A178)))</f>
        <v/>
      </c>
      <c r="L178" s="33" t="str">
        <f ca="1">IF($A178="","",IF(INDEX(Sheet!R$2:R$7967,$A178)="","",INDEX(Sheet!R$2:R$7967,$A178)))</f>
        <v/>
      </c>
      <c r="M178" s="33" t="str">
        <f ca="1">IF($A178="","",IF(INDEX(Sheet!AO$2:AO$7967,$A178)="","",INDEX(Sheet!AO$2:AO$7967,$A178)))</f>
        <v/>
      </c>
      <c r="N178" s="33" t="str">
        <f ca="1">IF($A178="","",IF(INDEX(Sheet!T$2:T$7967,$A178)="","",INDEX(Sheet!T$2:T$7967,$A178)))</f>
        <v/>
      </c>
      <c r="O178" s="33" t="str">
        <f ca="1">IF($A178="","",IF(INDEX(Sheet!U$2:U$7967,$A178)="","",INDEX(Sheet!U$2:U$7967,$A178)))</f>
        <v/>
      </c>
      <c r="P178" s="33" t="str">
        <f ca="1">IF($A178="","",IF(INDEX(Sheet!W$2:W$7967,$A178)="","",INDEX(Sheet!W$2:W$7967,$A178)))</f>
        <v/>
      </c>
      <c r="Q178" s="33" t="str">
        <f ca="1">IF($A178="","",IF(INDEX(Sheet!V$2:V$7967,$A178)="","",INDEX(Sheet!V$2:V$7967,$A178)))</f>
        <v/>
      </c>
      <c r="R178" s="33" t="str">
        <f ca="1">IF($A178="","",IF(INDEX(Sheet!Z$2:Z$7967,$A178)="","",INDEX(Sheet!Z$2:Z$7967,$A178)))</f>
        <v/>
      </c>
      <c r="S178" s="33" t="str">
        <f ca="1">IF($A178="","",IF(INDEX(Sheet!Y$2:Y$7967,$A178)="","",INDEX(Sheet!Y$2:Y$7967,$A178)))</f>
        <v/>
      </c>
      <c r="T178" s="33" t="str">
        <f ca="1">IF($A178="","",IF(INDEX(Sheet!X$2:X$7967,$A178)="","",INDEX(Sheet!X$2:X$7967,$A178)))</f>
        <v/>
      </c>
      <c r="U178" s="33" t="str">
        <f ca="1">IF($A178="","",IF(INDEX(Sheet!AA$2:AA$7967,$A178)="","",INDEX(Sheet!AA$2:AA$7967,$A178)))</f>
        <v/>
      </c>
      <c r="V178" s="33" t="str">
        <f ca="1">IF($A178="","",IF(INDEX(Sheet!AB$2:AB$7967,$A178)="","",INDEX(Sheet!AB$2:AB$7967,$A178)))</f>
        <v/>
      </c>
      <c r="W178" s="33" t="str">
        <f ca="1">IF($A178="","",IF(INDEX(Sheet!AH$2:AH$7967,$A178)="","",INDEX(Sheet!AH$2:AH$7967,$A178)))</f>
        <v/>
      </c>
      <c r="X178" s="33" t="str">
        <f ca="1">IF($A178="","",IF(INDEX(Sheet!AC$2:AC$7967,$A178)="","",INDEX(Sheet!AC$2:AC$7967,$A178)))</f>
        <v/>
      </c>
      <c r="Y178" s="33" t="str">
        <f ca="1">IF($A178="","",IF(INDEX(Sheet!AD$2:AD$7967,$A178)="","",INDEX(Sheet!AD$2:AD$7967,$A178)))</f>
        <v/>
      </c>
      <c r="Z178" s="33" t="str">
        <f ca="1">IF($A178="","",IF(INDEX(Sheet!AL$2:AL$7967,$A178)="","",INDEX(Sheet!AL$2:AL$7967,$A178)))</f>
        <v/>
      </c>
      <c r="AA178" s="33" t="str">
        <f ca="1">IF($A178="","",IF(INDEX(Sheet!AE$2:AE$7967,$A178)="","",INDEX(Sheet!AE$2:AE$7967,$A178)))</f>
        <v/>
      </c>
      <c r="AB178" s="33" t="str">
        <f ca="1">IF($A178="","",IF(INDEX(Sheet!AF$2:AF$7967,$A178)="","",INDEX(Sheet!AF$2:AF$7967,$A178)))</f>
        <v/>
      </c>
      <c r="AC178" s="33" t="str">
        <f ca="1">IF($A178="","",IF(INDEX(Sheet!AG$2:AG$7967,$A178)="","",INDEX(Sheet!AG$2:AG$7967,$A178)))</f>
        <v/>
      </c>
      <c r="AD178" s="33" t="str">
        <f ca="1">IF($A178="","",IF(INDEX(Sheet!AM$2:AM$7967,$A178)="","",INDEX(Sheet!AM$2:AM$7967,$A178)))</f>
        <v/>
      </c>
      <c r="AE178" s="33" t="str">
        <f ca="1">IF($A178="","",IF(INDEX(Sheet!AJ$2:AJ$7967,$A178)="","",INDEX(Sheet!AJ$2:AJ$7967,$A178)))</f>
        <v/>
      </c>
      <c r="AF178" s="33" t="str">
        <f ca="1">IF($A178="","",IF(INDEX(Sheet!AI$2:AI$7967,$A178)="","",INDEX(Sheet!AI$2:AI$7967,$A178)))</f>
        <v/>
      </c>
      <c r="AG178" s="33" t="str">
        <f ca="1">IF(D178="duyệt sản xuất"," Bảo Bảo, Ngày "&amp;DAY($J$4)&amp;" Tháng "&amp;MONTH($J$4)&amp;" Năm "&amp;YEAR($J$4),IF(D178="Phê duyệt","NGƯỜI LẬP",IF(D178="Nguyễn Ngọc Thắng","NGUYỄN THỊ MAI",IF($A178="","",INDEX(Sheet!AK$2:AK$7967,$A178)))))</f>
        <v/>
      </c>
      <c r="AH178" s="58" t="str">
        <f ca="1">IF($A178="","",INDEX(Sheet!AR$2:AR$7967,$A178)&amp;" ; "&amp;INDEX(Sheet!M$2:M$7967,$A178))</f>
        <v/>
      </c>
      <c r="AI178" s="1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G178" s="35" t="str">
        <f ca="1">IFERROR(VALUE(separ(INDEX(Sheet!Q$2:Q$7967,$A178),"-",1)),"")</f>
        <v/>
      </c>
      <c r="BH178" s="35" t="str">
        <f ca="1">IFERROR(VALUE(separ(INDEX(Sheet!R$2:R$7967,$A178),"-",1)),"")</f>
        <v/>
      </c>
      <c r="BI178" s="35" t="str">
        <f ca="1">IFERROR(VALUE(separ(INDEX(Sheet!S$2:S$7967,$A178),"-",1)),"")</f>
        <v/>
      </c>
      <c r="BJ178" s="35" t="str">
        <f ca="1">IFERROR(VALUE(separ(INDEX(Sheet!T$2:T$7967,$A178),"-",1)),"")</f>
        <v/>
      </c>
      <c r="BK178" s="35" t="str">
        <f ca="1">IFERROR(VALUE(separ(INDEX(Sheet!U$2:U$7967,$A178),"-",1)),"")</f>
        <v/>
      </c>
      <c r="BL178" s="35" t="str">
        <f ca="1">IFERROR(VALUE(separ(INDEX(Sheet!V$2:V$7967,$A178),"-",1)),"")</f>
        <v/>
      </c>
      <c r="BM178" s="35" t="str">
        <f ca="1">IFERROR(VALUE(separ(INDEX(Sheet!W$2:W$7967,$A178),"-",1)),"")</f>
        <v/>
      </c>
      <c r="BN178" s="35" t="str">
        <f ca="1">IFERROR(VALUE(separ(INDEX(Sheet!X$2:X$7967,$A178),"-",1)),"")</f>
        <v/>
      </c>
      <c r="BO178" s="35" t="str">
        <f ca="1">IFERROR(VALUE(separ(INDEX(Sheet!Y$2:Y$7967,$A178),"-",1)),"")</f>
        <v/>
      </c>
      <c r="BP178" s="35" t="str">
        <f ca="1">IFERROR(VALUE(separ(INDEX(Sheet!Z$2:Z$7967,$A178),"-",1)),"")</f>
        <v/>
      </c>
      <c r="BQ178" s="35" t="str">
        <f ca="1">IFERROR(VALUE(separ(INDEX(Sheet!AA$2:AA$7967,$A178),"-",1)),"")</f>
        <v/>
      </c>
      <c r="BR178" s="35" t="str">
        <f ca="1">IFERROR(VALUE(separ(INDEX(Sheet!AB$2:AB$7967,$A178),"-",1)),"")</f>
        <v/>
      </c>
      <c r="BS178" s="35" t="str">
        <f ca="1">IFERROR(VALUE(separ(INDEX(Sheet!AC$2:AC$7967,$A178),"-",1)),"")</f>
        <v/>
      </c>
      <c r="BT178" s="35" t="str">
        <f ca="1">IFERROR(VALUE(separ(INDEX(Sheet!AD$2:AD$7967,$A178),"-",1)),"")</f>
        <v/>
      </c>
      <c r="BU178" s="35" t="str">
        <f ca="1">IFERROR(VALUE(separ(INDEX(Sheet!AE$2:AE$7967,$A178),"-",1)),"")</f>
        <v/>
      </c>
      <c r="BV178" s="35"/>
      <c r="BW178" s="35" t="str">
        <f ca="1">IFERROR((separ(INDEX(Sheet!Q$2:Q$7967,$A178),"-",2)),"")</f>
        <v/>
      </c>
      <c r="BX178" s="35" t="str">
        <f ca="1">IFERROR((separ(INDEX(Sheet!R$2:R$7967,$A178),"-",2)),"")</f>
        <v/>
      </c>
      <c r="BY178" s="35" t="str">
        <f ca="1">IFERROR((separ(INDEX(Sheet!S$2:S$7967,$A178),"-",2)),"")</f>
        <v/>
      </c>
      <c r="BZ178" s="35" t="str">
        <f ca="1">IFERROR((separ(INDEX(Sheet!T$2:T$7967,$A178),"-",2)),"")</f>
        <v/>
      </c>
      <c r="CA178" s="35" t="str">
        <f ca="1">IFERROR((separ(INDEX(Sheet!U$2:U$7967,$A178),"-",2)),"")</f>
        <v/>
      </c>
      <c r="CB178" s="35" t="str">
        <f ca="1">IFERROR((separ(INDEX(Sheet!V$2:V$7967,$A178),"-",2)),"")</f>
        <v/>
      </c>
      <c r="CC178" s="35" t="str">
        <f ca="1">IFERROR((separ(INDEX(Sheet!W$2:W$7967,$A178),"-",2)),"")</f>
        <v/>
      </c>
      <c r="CD178" s="35" t="str">
        <f ca="1">IFERROR((separ(INDEX(Sheet!X$2:X$7967,$A178),"-",2)),"")</f>
        <v/>
      </c>
      <c r="CE178" s="35" t="str">
        <f ca="1">IFERROR((separ(INDEX(Sheet!Y$2:Y$7967,$A178),"-",2)),"")</f>
        <v/>
      </c>
      <c r="CF178" s="35" t="str">
        <f ca="1">IFERROR((separ(INDEX(Sheet!Z$2:Z$7967,$A178),"-",2)),"")</f>
        <v/>
      </c>
      <c r="CG178" s="35" t="str">
        <f ca="1">IFERROR((separ(INDEX(Sheet!AA$2:AA$7967,$A178),"-",2)),"")</f>
        <v/>
      </c>
      <c r="CH178" s="35" t="str">
        <f ca="1">IFERROR((separ(INDEX(Sheet!AB$2:AB$7967,$A178),"-",2)),"")</f>
        <v/>
      </c>
      <c r="CI178" s="35" t="str">
        <f ca="1">IFERROR((separ(INDEX(Sheet!AC$2:AC$7967,$A178),"-",2)),"")</f>
        <v/>
      </c>
      <c r="CJ178" s="35" t="str">
        <f ca="1">IFERROR((separ(INDEX(Sheet!AD$2:AD$7967,$A178),"-",2)),"")</f>
        <v/>
      </c>
      <c r="CK178" s="35" t="str">
        <f ca="1">IFERROR((separ(INDEX(Sheet!AE$2:AE$7967,$A178),"-",2)),"")</f>
        <v/>
      </c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</row>
    <row r="179" spans="1:104" s="29" customFormat="1">
      <c r="A179" s="45" t="str">
        <f ca="1">IFERROR(MATCH($B$3,OFFSET(Sheet!$D$2,A178,0):'Sheet'!$D$7657,0)+A178,"")</f>
        <v/>
      </c>
      <c r="B179" s="29" t="str">
        <f ca="1">IF(ROW(A172)&lt;=COUNT($A$6:$A$800),INDEX(Sheet!$A$2:$A$7967,$A179),IF(ROW(A172)=COUNT($A$6:$A$800)+1," ",IF(ROW(A172)=COUNT($A$6:$A$800)+2,"  ","")))</f>
        <v/>
      </c>
      <c r="C179" s="67" t="str">
        <f ca="1">IF($A179="","",INDEX(Sheet!E$2:E$7967,$A179))</f>
        <v/>
      </c>
      <c r="D179" s="31" t="str">
        <f ca="1">IF(B176=" ",$AR$1,IF(B179=" ",$AQ$1,IF(A179="","",INDEX(Sheet!G$2:G$7967,$A179))))</f>
        <v/>
      </c>
      <c r="E179" s="32" t="str">
        <f ca="1">IF($A179="","",TEXT(INDEX(Sheet!J$2:J$7967,$A179),"#,#")&amp;" "&amp;INDEX(Sheet!AT$2:AT$7967,$A179))</f>
        <v/>
      </c>
      <c r="F179" s="53" t="str">
        <f ca="1">IF($A179="","",INDEX(Sheet!F$2:F$7967,$A179))</f>
        <v/>
      </c>
      <c r="G179" s="32" t="str">
        <f ca="1">IF($A179="","",INDEX(Sheet!I$2:I$7967,$A179))</f>
        <v/>
      </c>
      <c r="H179" s="32" t="str">
        <f ca="1">IF($A179="","",INDEX(Sheet!L$2:L$7967,$A179))</f>
        <v/>
      </c>
      <c r="I179" s="32" t="str">
        <f ca="1">IF($A179="","",INDEX(Sheet!N$2:N$7967,$A179))</f>
        <v/>
      </c>
      <c r="J179" s="53" t="str">
        <f ca="1">IF($A179="","",INDEX(Sheet!AS$2:AS$7967,$A179))</f>
        <v/>
      </c>
      <c r="K179" s="33" t="str">
        <f ca="1">IF($A179="","",IF(INDEX(Sheet!S$2:S$7967,$A179)="","",INDEX(Sheet!S$2:S$7967,$A179)))</f>
        <v/>
      </c>
      <c r="L179" s="33" t="str">
        <f ca="1">IF($A179="","",IF(INDEX(Sheet!R$2:R$7967,$A179)="","",INDEX(Sheet!R$2:R$7967,$A179)))</f>
        <v/>
      </c>
      <c r="M179" s="33" t="str">
        <f ca="1">IF($A179="","",IF(INDEX(Sheet!AO$2:AO$7967,$A179)="","",INDEX(Sheet!AO$2:AO$7967,$A179)))</f>
        <v/>
      </c>
      <c r="N179" s="33" t="str">
        <f ca="1">IF($A179="","",IF(INDEX(Sheet!T$2:T$7967,$A179)="","",INDEX(Sheet!T$2:T$7967,$A179)))</f>
        <v/>
      </c>
      <c r="O179" s="33" t="str">
        <f ca="1">IF($A179="","",IF(INDEX(Sheet!U$2:U$7967,$A179)="","",INDEX(Sheet!U$2:U$7967,$A179)))</f>
        <v/>
      </c>
      <c r="P179" s="33" t="str">
        <f ca="1">IF($A179="","",IF(INDEX(Sheet!W$2:W$7967,$A179)="","",INDEX(Sheet!W$2:W$7967,$A179)))</f>
        <v/>
      </c>
      <c r="Q179" s="33" t="str">
        <f ca="1">IF($A179="","",IF(INDEX(Sheet!V$2:V$7967,$A179)="","",INDEX(Sheet!V$2:V$7967,$A179)))</f>
        <v/>
      </c>
      <c r="R179" s="33" t="str">
        <f ca="1">IF($A179="","",IF(INDEX(Sheet!Z$2:Z$7967,$A179)="","",INDEX(Sheet!Z$2:Z$7967,$A179)))</f>
        <v/>
      </c>
      <c r="S179" s="33" t="str">
        <f ca="1">IF($A179="","",IF(INDEX(Sheet!Y$2:Y$7967,$A179)="","",INDEX(Sheet!Y$2:Y$7967,$A179)))</f>
        <v/>
      </c>
      <c r="T179" s="33" t="str">
        <f ca="1">IF($A179="","",IF(INDEX(Sheet!X$2:X$7967,$A179)="","",INDEX(Sheet!X$2:X$7967,$A179)))</f>
        <v/>
      </c>
      <c r="U179" s="33" t="str">
        <f ca="1">IF($A179="","",IF(INDEX(Sheet!AA$2:AA$7967,$A179)="","",INDEX(Sheet!AA$2:AA$7967,$A179)))</f>
        <v/>
      </c>
      <c r="V179" s="33" t="str">
        <f ca="1">IF($A179="","",IF(INDEX(Sheet!AB$2:AB$7967,$A179)="","",INDEX(Sheet!AB$2:AB$7967,$A179)))</f>
        <v/>
      </c>
      <c r="W179" s="33" t="str">
        <f ca="1">IF($A179="","",IF(INDEX(Sheet!AH$2:AH$7967,$A179)="","",INDEX(Sheet!AH$2:AH$7967,$A179)))</f>
        <v/>
      </c>
      <c r="X179" s="33" t="str">
        <f ca="1">IF($A179="","",IF(INDEX(Sheet!AC$2:AC$7967,$A179)="","",INDEX(Sheet!AC$2:AC$7967,$A179)))</f>
        <v/>
      </c>
      <c r="Y179" s="33" t="str">
        <f ca="1">IF($A179="","",IF(INDEX(Sheet!AD$2:AD$7967,$A179)="","",INDEX(Sheet!AD$2:AD$7967,$A179)))</f>
        <v/>
      </c>
      <c r="Z179" s="33" t="str">
        <f ca="1">IF($A179="","",IF(INDEX(Sheet!AL$2:AL$7967,$A179)="","",INDEX(Sheet!AL$2:AL$7967,$A179)))</f>
        <v/>
      </c>
      <c r="AA179" s="33" t="str">
        <f ca="1">IF($A179="","",IF(INDEX(Sheet!AE$2:AE$7967,$A179)="","",INDEX(Sheet!AE$2:AE$7967,$A179)))</f>
        <v/>
      </c>
      <c r="AB179" s="33" t="str">
        <f ca="1">IF($A179="","",IF(INDEX(Sheet!AF$2:AF$7967,$A179)="","",INDEX(Sheet!AF$2:AF$7967,$A179)))</f>
        <v/>
      </c>
      <c r="AC179" s="33" t="str">
        <f ca="1">IF($A179="","",IF(INDEX(Sheet!AG$2:AG$7967,$A179)="","",INDEX(Sheet!AG$2:AG$7967,$A179)))</f>
        <v/>
      </c>
      <c r="AD179" s="33" t="str">
        <f ca="1">IF($A179="","",IF(INDEX(Sheet!AM$2:AM$7967,$A179)="","",INDEX(Sheet!AM$2:AM$7967,$A179)))</f>
        <v/>
      </c>
      <c r="AE179" s="33" t="str">
        <f ca="1">IF($A179="","",IF(INDEX(Sheet!AJ$2:AJ$7967,$A179)="","",INDEX(Sheet!AJ$2:AJ$7967,$A179)))</f>
        <v/>
      </c>
      <c r="AF179" s="33" t="str">
        <f ca="1">IF($A179="","",IF(INDEX(Sheet!AI$2:AI$7967,$A179)="","",INDEX(Sheet!AI$2:AI$7967,$A179)))</f>
        <v/>
      </c>
      <c r="AG179" s="33" t="str">
        <f ca="1">IF(D179="duyệt sản xuất"," Bảo Bảo, Ngày "&amp;DAY($J$4)&amp;" Tháng "&amp;MONTH($J$4)&amp;" Năm "&amp;YEAR($J$4),IF(D179="Phê duyệt","NGƯỜI LẬP",IF(D179="Nguyễn Ngọc Thắng","NGUYỄN THỊ MAI",IF($A179="","",INDEX(Sheet!AK$2:AK$7967,$A179)))))</f>
        <v/>
      </c>
      <c r="AH179" s="58" t="str">
        <f ca="1">IF($A179="","",INDEX(Sheet!AR$2:AR$7967,$A179)&amp;" ; "&amp;INDEX(Sheet!M$2:M$7967,$A179))</f>
        <v/>
      </c>
      <c r="AI179" s="1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G179" s="35" t="str">
        <f ca="1">IFERROR(VALUE(separ(INDEX(Sheet!Q$2:Q$7967,$A179),"-",1)),"")</f>
        <v/>
      </c>
      <c r="BH179" s="35" t="str">
        <f ca="1">IFERROR(VALUE(separ(INDEX(Sheet!R$2:R$7967,$A179),"-",1)),"")</f>
        <v/>
      </c>
      <c r="BI179" s="35" t="str">
        <f ca="1">IFERROR(VALUE(separ(INDEX(Sheet!S$2:S$7967,$A179),"-",1)),"")</f>
        <v/>
      </c>
      <c r="BJ179" s="35" t="str">
        <f ca="1">IFERROR(VALUE(separ(INDEX(Sheet!T$2:T$7967,$A179),"-",1)),"")</f>
        <v/>
      </c>
      <c r="BK179" s="35" t="str">
        <f ca="1">IFERROR(VALUE(separ(INDEX(Sheet!U$2:U$7967,$A179),"-",1)),"")</f>
        <v/>
      </c>
      <c r="BL179" s="35" t="str">
        <f ca="1">IFERROR(VALUE(separ(INDEX(Sheet!V$2:V$7967,$A179),"-",1)),"")</f>
        <v/>
      </c>
      <c r="BM179" s="35" t="str">
        <f ca="1">IFERROR(VALUE(separ(INDEX(Sheet!W$2:W$7967,$A179),"-",1)),"")</f>
        <v/>
      </c>
      <c r="BN179" s="35" t="str">
        <f ca="1">IFERROR(VALUE(separ(INDEX(Sheet!X$2:X$7967,$A179),"-",1)),"")</f>
        <v/>
      </c>
      <c r="BO179" s="35" t="str">
        <f ca="1">IFERROR(VALUE(separ(INDEX(Sheet!Y$2:Y$7967,$A179),"-",1)),"")</f>
        <v/>
      </c>
      <c r="BP179" s="35" t="str">
        <f ca="1">IFERROR(VALUE(separ(INDEX(Sheet!Z$2:Z$7967,$A179),"-",1)),"")</f>
        <v/>
      </c>
      <c r="BQ179" s="35" t="str">
        <f ca="1">IFERROR(VALUE(separ(INDEX(Sheet!AA$2:AA$7967,$A179),"-",1)),"")</f>
        <v/>
      </c>
      <c r="BR179" s="35" t="str">
        <f ca="1">IFERROR(VALUE(separ(INDEX(Sheet!AB$2:AB$7967,$A179),"-",1)),"")</f>
        <v/>
      </c>
      <c r="BS179" s="35" t="str">
        <f ca="1">IFERROR(VALUE(separ(INDEX(Sheet!AC$2:AC$7967,$A179),"-",1)),"")</f>
        <v/>
      </c>
      <c r="BT179" s="35" t="str">
        <f ca="1">IFERROR(VALUE(separ(INDEX(Sheet!AD$2:AD$7967,$A179),"-",1)),"")</f>
        <v/>
      </c>
      <c r="BU179" s="35" t="str">
        <f ca="1">IFERROR(VALUE(separ(INDEX(Sheet!AE$2:AE$7967,$A179),"-",1)),"")</f>
        <v/>
      </c>
      <c r="BV179" s="35"/>
      <c r="BW179" s="35" t="str">
        <f ca="1">IFERROR((separ(INDEX(Sheet!Q$2:Q$7967,$A179),"-",2)),"")</f>
        <v/>
      </c>
      <c r="BX179" s="35" t="str">
        <f ca="1">IFERROR((separ(INDEX(Sheet!R$2:R$7967,$A179),"-",2)),"")</f>
        <v/>
      </c>
      <c r="BY179" s="35" t="str">
        <f ca="1">IFERROR((separ(INDEX(Sheet!S$2:S$7967,$A179),"-",2)),"")</f>
        <v/>
      </c>
      <c r="BZ179" s="35" t="str">
        <f ca="1">IFERROR((separ(INDEX(Sheet!T$2:T$7967,$A179),"-",2)),"")</f>
        <v/>
      </c>
      <c r="CA179" s="35" t="str">
        <f ca="1">IFERROR((separ(INDEX(Sheet!U$2:U$7967,$A179),"-",2)),"")</f>
        <v/>
      </c>
      <c r="CB179" s="35" t="str">
        <f ca="1">IFERROR((separ(INDEX(Sheet!V$2:V$7967,$A179),"-",2)),"")</f>
        <v/>
      </c>
      <c r="CC179" s="35" t="str">
        <f ca="1">IFERROR((separ(INDEX(Sheet!W$2:W$7967,$A179),"-",2)),"")</f>
        <v/>
      </c>
      <c r="CD179" s="35" t="str">
        <f ca="1">IFERROR((separ(INDEX(Sheet!X$2:X$7967,$A179),"-",2)),"")</f>
        <v/>
      </c>
      <c r="CE179" s="35" t="str">
        <f ca="1">IFERROR((separ(INDEX(Sheet!Y$2:Y$7967,$A179),"-",2)),"")</f>
        <v/>
      </c>
      <c r="CF179" s="35" t="str">
        <f ca="1">IFERROR((separ(INDEX(Sheet!Z$2:Z$7967,$A179),"-",2)),"")</f>
        <v/>
      </c>
      <c r="CG179" s="35" t="str">
        <f ca="1">IFERROR((separ(INDEX(Sheet!AA$2:AA$7967,$A179),"-",2)),"")</f>
        <v/>
      </c>
      <c r="CH179" s="35" t="str">
        <f ca="1">IFERROR((separ(INDEX(Sheet!AB$2:AB$7967,$A179),"-",2)),"")</f>
        <v/>
      </c>
      <c r="CI179" s="35" t="str">
        <f ca="1">IFERROR((separ(INDEX(Sheet!AC$2:AC$7967,$A179),"-",2)),"")</f>
        <v/>
      </c>
      <c r="CJ179" s="35" t="str">
        <f ca="1">IFERROR((separ(INDEX(Sheet!AD$2:AD$7967,$A179),"-",2)),"")</f>
        <v/>
      </c>
      <c r="CK179" s="35" t="str">
        <f ca="1">IFERROR((separ(INDEX(Sheet!AE$2:AE$7967,$A179),"-",2)),"")</f>
        <v/>
      </c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</row>
    <row r="180" spans="1:104" s="29" customFormat="1">
      <c r="A180" s="45" t="str">
        <f ca="1">IFERROR(MATCH($B$3,OFFSET(Sheet!$D$2,A179,0):'Sheet'!$D$7657,0)+A179,"")</f>
        <v/>
      </c>
      <c r="B180" s="29" t="str">
        <f ca="1">IF(ROW(A173)&lt;=COUNT($A$6:$A$800),INDEX(Sheet!$A$2:$A$7967,$A180),IF(ROW(A173)=COUNT($A$6:$A$800)+1," ",IF(ROW(A173)=COUNT($A$6:$A$800)+2,"  ","")))</f>
        <v/>
      </c>
      <c r="C180" s="67" t="str">
        <f ca="1">IF($A180="","",INDEX(Sheet!E$2:E$7967,$A180))</f>
        <v/>
      </c>
      <c r="D180" s="31" t="str">
        <f ca="1">IF(B177=" ",$AR$1,IF(B180=" ",$AQ$1,IF(A180="","",INDEX(Sheet!G$2:G$7967,$A180))))</f>
        <v/>
      </c>
      <c r="E180" s="32" t="str">
        <f ca="1">IF($A180="","",TEXT(INDEX(Sheet!J$2:J$7967,$A180),"#,#")&amp;" "&amp;INDEX(Sheet!AT$2:AT$7967,$A180))</f>
        <v/>
      </c>
      <c r="F180" s="53" t="str">
        <f ca="1">IF($A180="","",INDEX(Sheet!F$2:F$7967,$A180))</f>
        <v/>
      </c>
      <c r="G180" s="32" t="str">
        <f ca="1">IF($A180="","",INDEX(Sheet!I$2:I$7967,$A180))</f>
        <v/>
      </c>
      <c r="H180" s="32" t="str">
        <f ca="1">IF($A180="","",INDEX(Sheet!L$2:L$7967,$A180))</f>
        <v/>
      </c>
      <c r="I180" s="32" t="str">
        <f ca="1">IF($A180="","",INDEX(Sheet!N$2:N$7967,$A180))</f>
        <v/>
      </c>
      <c r="J180" s="53" t="str">
        <f ca="1">IF($A180="","",INDEX(Sheet!AS$2:AS$7967,$A180))</f>
        <v/>
      </c>
      <c r="K180" s="33" t="str">
        <f ca="1">IF($A180="","",IF(INDEX(Sheet!S$2:S$7967,$A180)="","",INDEX(Sheet!S$2:S$7967,$A180)))</f>
        <v/>
      </c>
      <c r="L180" s="33" t="str">
        <f ca="1">IF($A180="","",IF(INDEX(Sheet!R$2:R$7967,$A180)="","",INDEX(Sheet!R$2:R$7967,$A180)))</f>
        <v/>
      </c>
      <c r="M180" s="33" t="str">
        <f ca="1">IF($A180="","",IF(INDEX(Sheet!AO$2:AO$7967,$A180)="","",INDEX(Sheet!AO$2:AO$7967,$A180)))</f>
        <v/>
      </c>
      <c r="N180" s="33" t="str">
        <f ca="1">IF($A180="","",IF(INDEX(Sheet!T$2:T$7967,$A180)="","",INDEX(Sheet!T$2:T$7967,$A180)))</f>
        <v/>
      </c>
      <c r="O180" s="33" t="str">
        <f ca="1">IF($A180="","",IF(INDEX(Sheet!U$2:U$7967,$A180)="","",INDEX(Sheet!U$2:U$7967,$A180)))</f>
        <v/>
      </c>
      <c r="P180" s="33" t="str">
        <f ca="1">IF($A180="","",IF(INDEX(Sheet!W$2:W$7967,$A180)="","",INDEX(Sheet!W$2:W$7967,$A180)))</f>
        <v/>
      </c>
      <c r="Q180" s="33" t="str">
        <f ca="1">IF($A180="","",IF(INDEX(Sheet!V$2:V$7967,$A180)="","",INDEX(Sheet!V$2:V$7967,$A180)))</f>
        <v/>
      </c>
      <c r="R180" s="33" t="str">
        <f ca="1">IF($A180="","",IF(INDEX(Sheet!Z$2:Z$7967,$A180)="","",INDEX(Sheet!Z$2:Z$7967,$A180)))</f>
        <v/>
      </c>
      <c r="S180" s="33" t="str">
        <f ca="1">IF($A180="","",IF(INDEX(Sheet!Y$2:Y$7967,$A180)="","",INDEX(Sheet!Y$2:Y$7967,$A180)))</f>
        <v/>
      </c>
      <c r="T180" s="33" t="str">
        <f ca="1">IF($A180="","",IF(INDEX(Sheet!X$2:X$7967,$A180)="","",INDEX(Sheet!X$2:X$7967,$A180)))</f>
        <v/>
      </c>
      <c r="U180" s="33" t="str">
        <f ca="1">IF($A180="","",IF(INDEX(Sheet!AA$2:AA$7967,$A180)="","",INDEX(Sheet!AA$2:AA$7967,$A180)))</f>
        <v/>
      </c>
      <c r="V180" s="33" t="str">
        <f ca="1">IF($A180="","",IF(INDEX(Sheet!AB$2:AB$7967,$A180)="","",INDEX(Sheet!AB$2:AB$7967,$A180)))</f>
        <v/>
      </c>
      <c r="W180" s="33" t="str">
        <f ca="1">IF($A180="","",IF(INDEX(Sheet!AH$2:AH$7967,$A180)="","",INDEX(Sheet!AH$2:AH$7967,$A180)))</f>
        <v/>
      </c>
      <c r="X180" s="33" t="str">
        <f ca="1">IF($A180="","",IF(INDEX(Sheet!AC$2:AC$7967,$A180)="","",INDEX(Sheet!AC$2:AC$7967,$A180)))</f>
        <v/>
      </c>
      <c r="Y180" s="33" t="str">
        <f ca="1">IF($A180="","",IF(INDEX(Sheet!AD$2:AD$7967,$A180)="","",INDEX(Sheet!AD$2:AD$7967,$A180)))</f>
        <v/>
      </c>
      <c r="Z180" s="33" t="str">
        <f ca="1">IF($A180="","",IF(INDEX(Sheet!AL$2:AL$7967,$A180)="","",INDEX(Sheet!AL$2:AL$7967,$A180)))</f>
        <v/>
      </c>
      <c r="AA180" s="33" t="str">
        <f ca="1">IF($A180="","",IF(INDEX(Sheet!AE$2:AE$7967,$A180)="","",INDEX(Sheet!AE$2:AE$7967,$A180)))</f>
        <v/>
      </c>
      <c r="AB180" s="33" t="str">
        <f ca="1">IF($A180="","",IF(INDEX(Sheet!AF$2:AF$7967,$A180)="","",INDEX(Sheet!AF$2:AF$7967,$A180)))</f>
        <v/>
      </c>
      <c r="AC180" s="33" t="str">
        <f ca="1">IF($A180="","",IF(INDEX(Sheet!AG$2:AG$7967,$A180)="","",INDEX(Sheet!AG$2:AG$7967,$A180)))</f>
        <v/>
      </c>
      <c r="AD180" s="33" t="str">
        <f ca="1">IF($A180="","",IF(INDEX(Sheet!AM$2:AM$7967,$A180)="","",INDEX(Sheet!AM$2:AM$7967,$A180)))</f>
        <v/>
      </c>
      <c r="AE180" s="33" t="str">
        <f ca="1">IF($A180="","",IF(INDEX(Sheet!AJ$2:AJ$7967,$A180)="","",INDEX(Sheet!AJ$2:AJ$7967,$A180)))</f>
        <v/>
      </c>
      <c r="AF180" s="33" t="str">
        <f ca="1">IF($A180="","",IF(INDEX(Sheet!AI$2:AI$7967,$A180)="","",INDEX(Sheet!AI$2:AI$7967,$A180)))</f>
        <v/>
      </c>
      <c r="AG180" s="33" t="str">
        <f ca="1">IF(D180="duyệt sản xuất"," Bảo Bảo, Ngày "&amp;DAY($J$4)&amp;" Tháng "&amp;MONTH($J$4)&amp;" Năm "&amp;YEAR($J$4),IF(D180="Phê duyệt","NGƯỜI LẬP",IF(D180="Nguyễn Ngọc Thắng","NGUYỄN THỊ MAI",IF($A180="","",INDEX(Sheet!AK$2:AK$7967,$A180)))))</f>
        <v/>
      </c>
      <c r="AH180" s="58" t="str">
        <f ca="1">IF($A180="","",INDEX(Sheet!AR$2:AR$7967,$A180)&amp;" ; "&amp;INDEX(Sheet!M$2:M$7967,$A180))</f>
        <v/>
      </c>
      <c r="AI180" s="1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G180" s="35" t="str">
        <f ca="1">IFERROR(VALUE(separ(INDEX(Sheet!Q$2:Q$7967,$A180),"-",1)),"")</f>
        <v/>
      </c>
      <c r="BH180" s="35" t="str">
        <f ca="1">IFERROR(VALUE(separ(INDEX(Sheet!R$2:R$7967,$A180),"-",1)),"")</f>
        <v/>
      </c>
      <c r="BI180" s="35" t="str">
        <f ca="1">IFERROR(VALUE(separ(INDEX(Sheet!S$2:S$7967,$A180),"-",1)),"")</f>
        <v/>
      </c>
      <c r="BJ180" s="35" t="str">
        <f ca="1">IFERROR(VALUE(separ(INDEX(Sheet!T$2:T$7967,$A180),"-",1)),"")</f>
        <v/>
      </c>
      <c r="BK180" s="35" t="str">
        <f ca="1">IFERROR(VALUE(separ(INDEX(Sheet!U$2:U$7967,$A180),"-",1)),"")</f>
        <v/>
      </c>
      <c r="BL180" s="35" t="str">
        <f ca="1">IFERROR(VALUE(separ(INDEX(Sheet!V$2:V$7967,$A180),"-",1)),"")</f>
        <v/>
      </c>
      <c r="BM180" s="35" t="str">
        <f ca="1">IFERROR(VALUE(separ(INDEX(Sheet!W$2:W$7967,$A180),"-",1)),"")</f>
        <v/>
      </c>
      <c r="BN180" s="35" t="str">
        <f ca="1">IFERROR(VALUE(separ(INDEX(Sheet!X$2:X$7967,$A180),"-",1)),"")</f>
        <v/>
      </c>
      <c r="BO180" s="35" t="str">
        <f ca="1">IFERROR(VALUE(separ(INDEX(Sheet!Y$2:Y$7967,$A180),"-",1)),"")</f>
        <v/>
      </c>
      <c r="BP180" s="35" t="str">
        <f ca="1">IFERROR(VALUE(separ(INDEX(Sheet!Z$2:Z$7967,$A180),"-",1)),"")</f>
        <v/>
      </c>
      <c r="BQ180" s="35" t="str">
        <f ca="1">IFERROR(VALUE(separ(INDEX(Sheet!AA$2:AA$7967,$A180),"-",1)),"")</f>
        <v/>
      </c>
      <c r="BR180" s="35" t="str">
        <f ca="1">IFERROR(VALUE(separ(INDEX(Sheet!AB$2:AB$7967,$A180),"-",1)),"")</f>
        <v/>
      </c>
      <c r="BS180" s="35" t="str">
        <f ca="1">IFERROR(VALUE(separ(INDEX(Sheet!AC$2:AC$7967,$A180),"-",1)),"")</f>
        <v/>
      </c>
      <c r="BT180" s="35" t="str">
        <f ca="1">IFERROR(VALUE(separ(INDEX(Sheet!AD$2:AD$7967,$A180),"-",1)),"")</f>
        <v/>
      </c>
      <c r="BU180" s="35" t="str">
        <f ca="1">IFERROR(VALUE(separ(INDEX(Sheet!AE$2:AE$7967,$A180),"-",1)),"")</f>
        <v/>
      </c>
      <c r="BV180" s="35"/>
      <c r="BW180" s="35" t="str">
        <f ca="1">IFERROR((separ(INDEX(Sheet!Q$2:Q$7967,$A180),"-",2)),"")</f>
        <v/>
      </c>
      <c r="BX180" s="35" t="str">
        <f ca="1">IFERROR((separ(INDEX(Sheet!R$2:R$7967,$A180),"-",2)),"")</f>
        <v/>
      </c>
      <c r="BY180" s="35" t="str">
        <f ca="1">IFERROR((separ(INDEX(Sheet!S$2:S$7967,$A180),"-",2)),"")</f>
        <v/>
      </c>
      <c r="BZ180" s="35" t="str">
        <f ca="1">IFERROR((separ(INDEX(Sheet!T$2:T$7967,$A180),"-",2)),"")</f>
        <v/>
      </c>
      <c r="CA180" s="35" t="str">
        <f ca="1">IFERROR((separ(INDEX(Sheet!U$2:U$7967,$A180),"-",2)),"")</f>
        <v/>
      </c>
      <c r="CB180" s="35" t="str">
        <f ca="1">IFERROR((separ(INDEX(Sheet!V$2:V$7967,$A180),"-",2)),"")</f>
        <v/>
      </c>
      <c r="CC180" s="35" t="str">
        <f ca="1">IFERROR((separ(INDEX(Sheet!W$2:W$7967,$A180),"-",2)),"")</f>
        <v/>
      </c>
      <c r="CD180" s="35" t="str">
        <f ca="1">IFERROR((separ(INDEX(Sheet!X$2:X$7967,$A180),"-",2)),"")</f>
        <v/>
      </c>
      <c r="CE180" s="35" t="str">
        <f ca="1">IFERROR((separ(INDEX(Sheet!Y$2:Y$7967,$A180),"-",2)),"")</f>
        <v/>
      </c>
      <c r="CF180" s="35" t="str">
        <f ca="1">IFERROR((separ(INDEX(Sheet!Z$2:Z$7967,$A180),"-",2)),"")</f>
        <v/>
      </c>
      <c r="CG180" s="35" t="str">
        <f ca="1">IFERROR((separ(INDEX(Sheet!AA$2:AA$7967,$A180),"-",2)),"")</f>
        <v/>
      </c>
      <c r="CH180" s="35" t="str">
        <f ca="1">IFERROR((separ(INDEX(Sheet!AB$2:AB$7967,$A180),"-",2)),"")</f>
        <v/>
      </c>
      <c r="CI180" s="35" t="str">
        <f ca="1">IFERROR((separ(INDEX(Sheet!AC$2:AC$7967,$A180),"-",2)),"")</f>
        <v/>
      </c>
      <c r="CJ180" s="35" t="str">
        <f ca="1">IFERROR((separ(INDEX(Sheet!AD$2:AD$7967,$A180),"-",2)),"")</f>
        <v/>
      </c>
      <c r="CK180" s="35" t="str">
        <f ca="1">IFERROR((separ(INDEX(Sheet!AE$2:AE$7967,$A180),"-",2)),"")</f>
        <v/>
      </c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</row>
    <row r="181" spans="1:104">
      <c r="K181" s="37"/>
      <c r="L181" s="37"/>
      <c r="M181" s="37"/>
      <c r="N181" s="37"/>
      <c r="O181" s="37"/>
      <c r="P181" s="37"/>
      <c r="Q181" s="37"/>
      <c r="R181" s="37"/>
      <c r="S181" s="38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</row>
    <row r="182" spans="1:104">
      <c r="K182" s="37"/>
      <c r="L182" s="37"/>
      <c r="M182" s="37"/>
      <c r="N182" s="37"/>
      <c r="O182" s="37"/>
      <c r="P182" s="37"/>
      <c r="Q182" s="37"/>
      <c r="R182" s="37"/>
      <c r="S182" s="38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</row>
    <row r="183" spans="1:104">
      <c r="K183" s="37"/>
      <c r="L183" s="37"/>
      <c r="M183" s="37"/>
      <c r="N183" s="37"/>
      <c r="O183" s="37"/>
      <c r="P183" s="37"/>
      <c r="Q183" s="37"/>
      <c r="R183" s="37"/>
      <c r="S183" s="38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</row>
    <row r="184" spans="1:104">
      <c r="K184" s="37"/>
      <c r="L184" s="37"/>
      <c r="M184" s="37"/>
      <c r="N184" s="37"/>
      <c r="O184" s="37"/>
      <c r="P184" s="37"/>
      <c r="Q184" s="37"/>
      <c r="R184" s="37"/>
      <c r="S184" s="38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</row>
    <row r="185" spans="1:104">
      <c r="K185" s="37"/>
      <c r="L185" s="37"/>
      <c r="M185" s="37"/>
      <c r="N185" s="37"/>
      <c r="O185" s="37"/>
      <c r="P185" s="37"/>
      <c r="Q185" s="37"/>
      <c r="R185" s="37"/>
      <c r="S185" s="38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</row>
    <row r="186" spans="1:104">
      <c r="K186" s="37"/>
      <c r="L186" s="37"/>
      <c r="M186" s="37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</row>
    <row r="187" spans="1:104">
      <c r="K187" s="37"/>
      <c r="L187" s="37"/>
      <c r="M187" s="37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</row>
    <row r="188" spans="1:104">
      <c r="K188" s="37"/>
      <c r="L188" s="37"/>
      <c r="M188" s="37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</row>
    <row r="189" spans="1:104">
      <c r="K189" s="37"/>
      <c r="L189" s="37"/>
      <c r="M189" s="37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</row>
    <row r="190" spans="1:104">
      <c r="K190" s="37"/>
      <c r="L190" s="37"/>
      <c r="M190" s="37"/>
      <c r="N190" s="37"/>
      <c r="O190" s="37"/>
      <c r="P190" s="37"/>
      <c r="Q190" s="37"/>
      <c r="R190" s="37"/>
      <c r="S190" s="38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</row>
    <row r="191" spans="1:104">
      <c r="K191" s="37"/>
      <c r="L191" s="37"/>
      <c r="M191" s="37"/>
      <c r="N191" s="37"/>
      <c r="O191" s="37"/>
      <c r="P191" s="37"/>
      <c r="Q191" s="37"/>
      <c r="R191" s="37"/>
      <c r="S191" s="38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</row>
    <row r="192" spans="1:104">
      <c r="K192" s="37"/>
      <c r="L192" s="37"/>
      <c r="M192" s="37"/>
      <c r="N192" s="37"/>
      <c r="O192" s="37"/>
      <c r="P192" s="37"/>
      <c r="Q192" s="37"/>
      <c r="R192" s="37"/>
      <c r="S192" s="38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</row>
    <row r="193" spans="11:33">
      <c r="K193" s="37"/>
      <c r="L193" s="37"/>
      <c r="M193" s="37"/>
      <c r="N193" s="37"/>
      <c r="O193" s="37"/>
      <c r="P193" s="37"/>
      <c r="Q193" s="37"/>
      <c r="R193" s="37"/>
      <c r="S193" s="38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</row>
    <row r="194" spans="11:33">
      <c r="K194" s="37"/>
      <c r="L194" s="37"/>
      <c r="M194" s="37"/>
      <c r="N194" s="37"/>
      <c r="O194" s="37"/>
      <c r="P194" s="37"/>
      <c r="Q194" s="37"/>
      <c r="R194" s="37"/>
      <c r="S194" s="38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</row>
    <row r="195" spans="11:33">
      <c r="K195" s="37"/>
      <c r="L195" s="37"/>
      <c r="M195" s="37"/>
      <c r="N195" s="37"/>
      <c r="O195" s="37"/>
      <c r="P195" s="37"/>
      <c r="Q195" s="37"/>
      <c r="R195" s="37"/>
      <c r="S195" s="38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</row>
    <row r="196" spans="11:33">
      <c r="K196" s="37"/>
      <c r="L196" s="37"/>
      <c r="M196" s="37"/>
      <c r="N196" s="37"/>
      <c r="O196" s="37"/>
      <c r="P196" s="37"/>
      <c r="Q196" s="37"/>
      <c r="R196" s="37"/>
      <c r="S196" s="38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1:33">
      <c r="K197" s="37"/>
      <c r="L197" s="37"/>
      <c r="M197" s="37"/>
      <c r="N197" s="37"/>
      <c r="O197" s="37"/>
      <c r="P197" s="37"/>
      <c r="Q197" s="37"/>
      <c r="R197" s="37"/>
      <c r="S197" s="38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1:33">
      <c r="K198" s="37"/>
      <c r="L198" s="37"/>
      <c r="M198" s="37"/>
      <c r="N198" s="37"/>
      <c r="O198" s="37"/>
      <c r="P198" s="37"/>
      <c r="Q198" s="37"/>
      <c r="R198" s="37"/>
      <c r="S198" s="38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1:33">
      <c r="K199" s="37"/>
      <c r="L199" s="37"/>
      <c r="M199" s="37"/>
      <c r="N199" s="37"/>
      <c r="O199" s="37"/>
      <c r="P199" s="37"/>
      <c r="Q199" s="37"/>
      <c r="R199" s="37"/>
      <c r="S199" s="38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</row>
    <row r="200" spans="11:33">
      <c r="K200" s="37"/>
      <c r="L200" s="37"/>
      <c r="M200" s="37"/>
      <c r="N200" s="37"/>
      <c r="O200" s="37"/>
      <c r="P200" s="37"/>
      <c r="Q200" s="37"/>
      <c r="R200" s="37"/>
      <c r="S200" s="38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</row>
    <row r="201" spans="11:33">
      <c r="K201" s="37"/>
      <c r="L201" s="37"/>
      <c r="M201" s="37"/>
      <c r="N201" s="37"/>
      <c r="O201" s="37"/>
      <c r="P201" s="37"/>
      <c r="Q201" s="37"/>
      <c r="R201" s="37"/>
      <c r="S201" s="38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</row>
    <row r="202" spans="11:33">
      <c r="K202" s="37"/>
      <c r="L202" s="37"/>
      <c r="M202" s="37"/>
      <c r="N202" s="37"/>
      <c r="O202" s="37"/>
      <c r="P202" s="37"/>
      <c r="Q202" s="37"/>
      <c r="R202" s="37"/>
      <c r="S202" s="38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</row>
    <row r="203" spans="11:33">
      <c r="K203" s="37"/>
      <c r="L203" s="37"/>
      <c r="M203" s="37"/>
      <c r="N203" s="37"/>
      <c r="O203" s="37"/>
      <c r="P203" s="37"/>
      <c r="Q203" s="37"/>
      <c r="R203" s="37"/>
      <c r="S203" s="38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</row>
    <row r="204" spans="11:33">
      <c r="K204" s="37"/>
      <c r="L204" s="37"/>
      <c r="M204" s="37"/>
      <c r="N204" s="37"/>
      <c r="O204" s="37"/>
      <c r="P204" s="37"/>
      <c r="Q204" s="37"/>
      <c r="R204" s="37"/>
      <c r="S204" s="38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</row>
    <row r="205" spans="11:33">
      <c r="K205" s="37"/>
      <c r="L205" s="37"/>
      <c r="M205" s="37"/>
      <c r="N205" s="37"/>
      <c r="O205" s="37"/>
      <c r="P205" s="37"/>
      <c r="Q205" s="37"/>
      <c r="R205" s="37"/>
      <c r="S205" s="38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</row>
    <row r="206" spans="11:33">
      <c r="K206" s="37"/>
      <c r="L206" s="37"/>
      <c r="M206" s="37"/>
      <c r="N206" s="37"/>
      <c r="O206" s="37"/>
      <c r="P206" s="37"/>
      <c r="Q206" s="37"/>
      <c r="R206" s="37"/>
      <c r="S206" s="38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</row>
    <row r="207" spans="11:33">
      <c r="K207" s="37"/>
      <c r="L207" s="37"/>
      <c r="M207" s="37"/>
      <c r="N207" s="37"/>
      <c r="O207" s="37"/>
      <c r="P207" s="37"/>
      <c r="Q207" s="37"/>
      <c r="R207" s="37"/>
      <c r="S207" s="38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</row>
    <row r="208" spans="11:33">
      <c r="K208" s="37"/>
      <c r="L208" s="37"/>
      <c r="M208" s="37"/>
      <c r="N208" s="37"/>
      <c r="O208" s="37"/>
      <c r="P208" s="37"/>
      <c r="Q208" s="37"/>
      <c r="R208" s="37"/>
      <c r="S208" s="38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</row>
    <row r="209" spans="11:33">
      <c r="K209" s="37"/>
      <c r="L209" s="37"/>
      <c r="M209" s="37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</row>
    <row r="210" spans="11:33">
      <c r="K210" s="37"/>
      <c r="L210" s="37"/>
      <c r="M210" s="37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</row>
    <row r="211" spans="11:33">
      <c r="K211" s="37"/>
      <c r="L211" s="37"/>
      <c r="M211" s="37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</row>
    <row r="212" spans="11:33">
      <c r="K212" s="37"/>
      <c r="L212" s="37"/>
      <c r="M212" s="37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</row>
    <row r="213" spans="11:33">
      <c r="K213" s="37"/>
      <c r="L213" s="37"/>
      <c r="M213" s="37"/>
      <c r="N213" s="37"/>
      <c r="O213" s="37"/>
      <c r="P213" s="37"/>
      <c r="Q213" s="37"/>
      <c r="R213" s="37"/>
      <c r="S213" s="38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</row>
    <row r="214" spans="11:33">
      <c r="K214" s="37"/>
      <c r="L214" s="37"/>
      <c r="M214" s="37"/>
      <c r="N214" s="37"/>
      <c r="O214" s="37"/>
      <c r="P214" s="37"/>
      <c r="Q214" s="37"/>
      <c r="R214" s="37"/>
      <c r="S214" s="38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</row>
    <row r="215" spans="11:33">
      <c r="K215" s="37"/>
      <c r="L215" s="37"/>
      <c r="M215" s="37"/>
      <c r="N215" s="37"/>
      <c r="O215" s="37"/>
      <c r="P215" s="37"/>
      <c r="Q215" s="37"/>
      <c r="R215" s="37"/>
      <c r="S215" s="38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</row>
    <row r="216" spans="11:33">
      <c r="K216" s="37"/>
      <c r="L216" s="37"/>
      <c r="M216" s="37"/>
      <c r="N216" s="37"/>
      <c r="O216" s="37"/>
      <c r="P216" s="37"/>
      <c r="Q216" s="37"/>
      <c r="R216" s="37"/>
      <c r="S216" s="38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</row>
    <row r="217" spans="11:33">
      <c r="K217" s="37"/>
      <c r="L217" s="37"/>
      <c r="M217" s="37"/>
      <c r="N217" s="37"/>
      <c r="O217" s="37"/>
      <c r="P217" s="37"/>
      <c r="Q217" s="37"/>
      <c r="R217" s="37"/>
      <c r="S217" s="38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</row>
    <row r="218" spans="11:33">
      <c r="K218" s="37"/>
      <c r="L218" s="37"/>
      <c r="M218" s="37"/>
      <c r="N218" s="37"/>
      <c r="O218" s="37"/>
      <c r="P218" s="37"/>
      <c r="Q218" s="37"/>
      <c r="R218" s="37"/>
      <c r="S218" s="38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</row>
    <row r="219" spans="11:33">
      <c r="K219" s="37"/>
      <c r="L219" s="37"/>
      <c r="M219" s="37"/>
      <c r="N219" s="37"/>
      <c r="O219" s="37"/>
      <c r="P219" s="37"/>
      <c r="Q219" s="37"/>
      <c r="R219" s="37"/>
      <c r="S219" s="38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</row>
    <row r="220" spans="11:33">
      <c r="K220" s="37"/>
      <c r="L220" s="37"/>
      <c r="M220" s="37"/>
      <c r="N220" s="37"/>
      <c r="O220" s="37"/>
      <c r="P220" s="37"/>
      <c r="Q220" s="37"/>
      <c r="R220" s="37"/>
      <c r="S220" s="38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</row>
    <row r="221" spans="11:33">
      <c r="K221" s="37"/>
      <c r="L221" s="37"/>
      <c r="M221" s="37"/>
      <c r="N221" s="37"/>
      <c r="O221" s="37"/>
      <c r="P221" s="37"/>
      <c r="Q221" s="37"/>
      <c r="R221" s="37"/>
      <c r="S221" s="38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</row>
    <row r="222" spans="11:33">
      <c r="K222" s="37"/>
      <c r="L222" s="37"/>
      <c r="M222" s="37"/>
      <c r="N222" s="37"/>
      <c r="O222" s="37"/>
      <c r="P222" s="37"/>
      <c r="Q222" s="37"/>
      <c r="R222" s="37"/>
      <c r="S222" s="38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</row>
    <row r="223" spans="11:33">
      <c r="K223" s="37"/>
      <c r="L223" s="37"/>
      <c r="M223" s="37"/>
      <c r="N223" s="37"/>
      <c r="O223" s="37"/>
      <c r="P223" s="37"/>
      <c r="Q223" s="37"/>
      <c r="R223" s="37"/>
      <c r="S223" s="38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</row>
    <row r="224" spans="11:33">
      <c r="K224" s="37"/>
      <c r="L224" s="37"/>
      <c r="M224" s="37"/>
      <c r="N224" s="37"/>
      <c r="O224" s="37"/>
      <c r="P224" s="37"/>
      <c r="Q224" s="37"/>
      <c r="R224" s="37"/>
      <c r="S224" s="38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</row>
    <row r="225" spans="11:33">
      <c r="K225" s="37"/>
      <c r="L225" s="37"/>
      <c r="M225" s="37"/>
      <c r="N225" s="37"/>
      <c r="O225" s="37"/>
      <c r="P225" s="37"/>
      <c r="Q225" s="37"/>
      <c r="R225" s="37"/>
      <c r="S225" s="38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</row>
    <row r="226" spans="11:33">
      <c r="K226" s="37"/>
      <c r="L226" s="37"/>
      <c r="M226" s="37"/>
      <c r="N226" s="37"/>
      <c r="O226" s="37"/>
      <c r="P226" s="37"/>
      <c r="Q226" s="37"/>
      <c r="R226" s="37"/>
      <c r="S226" s="38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</row>
    <row r="227" spans="11:33">
      <c r="K227" s="37"/>
      <c r="L227" s="37"/>
      <c r="M227" s="37"/>
      <c r="N227" s="37"/>
      <c r="O227" s="37"/>
      <c r="P227" s="37"/>
      <c r="Q227" s="37"/>
      <c r="R227" s="37"/>
      <c r="S227" s="38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</row>
    <row r="228" spans="11:33">
      <c r="K228" s="37"/>
      <c r="L228" s="37"/>
      <c r="M228" s="37"/>
      <c r="N228" s="37"/>
      <c r="O228" s="37"/>
      <c r="P228" s="37"/>
      <c r="Q228" s="37"/>
      <c r="R228" s="37"/>
      <c r="S228" s="38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</row>
    <row r="229" spans="11:33">
      <c r="K229" s="37"/>
      <c r="L229" s="37"/>
      <c r="M229" s="37"/>
      <c r="N229" s="37"/>
      <c r="O229" s="37"/>
      <c r="P229" s="37"/>
      <c r="Q229" s="37"/>
      <c r="R229" s="37"/>
      <c r="S229" s="38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</row>
    <row r="230" spans="11:33">
      <c r="K230" s="37"/>
      <c r="L230" s="37"/>
      <c r="M230" s="37"/>
      <c r="N230" s="37"/>
      <c r="O230" s="37"/>
      <c r="P230" s="37"/>
      <c r="Q230" s="37"/>
      <c r="R230" s="37"/>
      <c r="S230" s="38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</row>
    <row r="231" spans="11:33">
      <c r="K231" s="37"/>
      <c r="L231" s="37"/>
      <c r="M231" s="37"/>
      <c r="N231" s="37"/>
      <c r="O231" s="37"/>
      <c r="P231" s="37"/>
      <c r="Q231" s="37"/>
      <c r="R231" s="37"/>
      <c r="S231" s="38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</row>
    <row r="232" spans="11:33">
      <c r="K232" s="37"/>
      <c r="L232" s="37"/>
      <c r="M232" s="37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</row>
    <row r="233" spans="11:33">
      <c r="K233" s="37"/>
      <c r="L233" s="37"/>
      <c r="M233" s="37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</row>
    <row r="234" spans="11:33">
      <c r="K234" s="37"/>
      <c r="L234" s="37"/>
      <c r="M234" s="37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</row>
    <row r="235" spans="11:33">
      <c r="K235" s="37"/>
      <c r="L235" s="37"/>
      <c r="M235" s="37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</row>
    <row r="236" spans="11:33">
      <c r="K236" s="37"/>
      <c r="L236" s="37"/>
      <c r="M236" s="37"/>
      <c r="N236" s="37"/>
      <c r="O236" s="37"/>
      <c r="P236" s="37"/>
      <c r="Q236" s="37"/>
      <c r="R236" s="37"/>
      <c r="S236" s="38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</row>
    <row r="237" spans="11:33">
      <c r="K237" s="37"/>
      <c r="L237" s="37"/>
      <c r="M237" s="37"/>
      <c r="N237" s="37"/>
      <c r="O237" s="37"/>
      <c r="P237" s="37"/>
      <c r="Q237" s="37"/>
      <c r="R237" s="37"/>
      <c r="S237" s="38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</row>
    <row r="238" spans="11:33">
      <c r="K238" s="37"/>
      <c r="L238" s="37"/>
      <c r="M238" s="37"/>
      <c r="N238" s="37"/>
      <c r="O238" s="37"/>
      <c r="P238" s="37"/>
      <c r="Q238" s="37"/>
      <c r="R238" s="37"/>
      <c r="S238" s="38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</row>
    <row r="239" spans="11:33">
      <c r="K239" s="37"/>
      <c r="L239" s="37"/>
      <c r="M239" s="37"/>
      <c r="N239" s="37"/>
      <c r="O239" s="37"/>
      <c r="P239" s="37"/>
      <c r="Q239" s="37"/>
      <c r="R239" s="37"/>
      <c r="S239" s="38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</row>
    <row r="240" spans="11:33">
      <c r="K240" s="37"/>
      <c r="L240" s="37"/>
      <c r="M240" s="37"/>
      <c r="N240" s="37"/>
      <c r="O240" s="37"/>
      <c r="P240" s="37"/>
      <c r="Q240" s="37"/>
      <c r="R240" s="37"/>
      <c r="S240" s="38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</row>
    <row r="241" spans="11:33">
      <c r="K241" s="37"/>
      <c r="L241" s="37"/>
      <c r="M241" s="37"/>
      <c r="N241" s="37"/>
      <c r="O241" s="37"/>
      <c r="P241" s="37"/>
      <c r="Q241" s="37"/>
      <c r="R241" s="37"/>
      <c r="S241" s="38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</row>
    <row r="242" spans="11:33">
      <c r="K242" s="37"/>
      <c r="L242" s="37"/>
      <c r="M242" s="37"/>
      <c r="N242" s="37"/>
      <c r="O242" s="37"/>
      <c r="P242" s="37"/>
      <c r="Q242" s="37"/>
      <c r="R242" s="37"/>
      <c r="S242" s="38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</row>
    <row r="243" spans="11:33">
      <c r="K243" s="37"/>
      <c r="L243" s="37"/>
      <c r="M243" s="37"/>
      <c r="N243" s="37"/>
      <c r="O243" s="37"/>
      <c r="P243" s="37"/>
      <c r="Q243" s="37"/>
      <c r="R243" s="37"/>
      <c r="S243" s="38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</row>
    <row r="244" spans="11:33">
      <c r="K244" s="37"/>
      <c r="L244" s="37"/>
      <c r="M244" s="37"/>
      <c r="N244" s="37"/>
      <c r="O244" s="37"/>
      <c r="P244" s="37"/>
      <c r="Q244" s="37"/>
      <c r="R244" s="37"/>
      <c r="S244" s="38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</row>
    <row r="245" spans="11:33">
      <c r="K245" s="37"/>
      <c r="L245" s="37"/>
      <c r="M245" s="37"/>
      <c r="N245" s="37"/>
      <c r="O245" s="37"/>
      <c r="P245" s="37"/>
      <c r="Q245" s="37"/>
      <c r="R245" s="37"/>
      <c r="S245" s="38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</row>
    <row r="246" spans="11:33">
      <c r="K246" s="37"/>
      <c r="L246" s="37"/>
      <c r="M246" s="37"/>
      <c r="N246" s="37"/>
      <c r="O246" s="37"/>
      <c r="P246" s="37"/>
      <c r="Q246" s="37"/>
      <c r="R246" s="37"/>
      <c r="S246" s="38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</row>
    <row r="247" spans="11:33">
      <c r="K247" s="37"/>
      <c r="L247" s="37"/>
      <c r="M247" s="37"/>
      <c r="N247" s="37"/>
      <c r="O247" s="37"/>
      <c r="P247" s="37"/>
      <c r="Q247" s="37"/>
      <c r="R247" s="37"/>
      <c r="S247" s="38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</row>
    <row r="248" spans="11:33">
      <c r="K248" s="37"/>
      <c r="L248" s="37"/>
      <c r="M248" s="37"/>
      <c r="N248" s="37"/>
      <c r="O248" s="37"/>
      <c r="P248" s="37"/>
      <c r="Q248" s="37"/>
      <c r="R248" s="37"/>
      <c r="S248" s="38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</row>
    <row r="249" spans="11:33">
      <c r="K249" s="37"/>
      <c r="L249" s="37"/>
      <c r="M249" s="37"/>
      <c r="N249" s="37"/>
      <c r="O249" s="37"/>
      <c r="P249" s="37"/>
      <c r="Q249" s="37"/>
      <c r="R249" s="37"/>
      <c r="S249" s="38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</row>
    <row r="250" spans="11:33">
      <c r="K250" s="37"/>
      <c r="L250" s="37"/>
      <c r="M250" s="37"/>
      <c r="N250" s="37"/>
      <c r="O250" s="37"/>
      <c r="P250" s="37"/>
      <c r="Q250" s="37"/>
      <c r="R250" s="37"/>
      <c r="S250" s="38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</row>
    <row r="251" spans="11:33">
      <c r="K251" s="37"/>
      <c r="L251" s="37"/>
      <c r="M251" s="37"/>
      <c r="N251" s="37"/>
      <c r="O251" s="37"/>
      <c r="P251" s="37"/>
      <c r="Q251" s="37"/>
      <c r="R251" s="37"/>
      <c r="S251" s="38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</row>
    <row r="252" spans="11:33">
      <c r="K252" s="37"/>
      <c r="L252" s="37"/>
      <c r="M252" s="37"/>
      <c r="N252" s="37"/>
      <c r="O252" s="37"/>
      <c r="P252" s="37"/>
      <c r="Q252" s="37"/>
      <c r="R252" s="37"/>
      <c r="S252" s="38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</row>
    <row r="253" spans="11:33">
      <c r="K253" s="37"/>
      <c r="L253" s="37"/>
      <c r="M253" s="37"/>
      <c r="N253" s="37"/>
      <c r="O253" s="37"/>
      <c r="P253" s="37"/>
      <c r="Q253" s="37"/>
      <c r="R253" s="37"/>
      <c r="S253" s="38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</row>
    <row r="254" spans="11:33">
      <c r="K254" s="37"/>
      <c r="L254" s="37"/>
      <c r="M254" s="37"/>
      <c r="N254" s="37"/>
      <c r="O254" s="37"/>
      <c r="P254" s="37"/>
      <c r="Q254" s="37"/>
      <c r="R254" s="37"/>
      <c r="S254" s="38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</row>
    <row r="255" spans="11:33">
      <c r="K255" s="37"/>
      <c r="L255" s="37"/>
      <c r="M255" s="37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</row>
    <row r="256" spans="11:33">
      <c r="K256" s="37"/>
      <c r="L256" s="37"/>
      <c r="M256" s="37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</row>
    <row r="257" spans="11:33">
      <c r="K257" s="37"/>
      <c r="L257" s="37"/>
      <c r="M257" s="37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</row>
    <row r="258" spans="11:33">
      <c r="K258" s="37"/>
      <c r="L258" s="37"/>
      <c r="M258" s="37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</row>
    <row r="259" spans="11:33">
      <c r="K259" s="37"/>
      <c r="L259" s="37"/>
      <c r="M259" s="37"/>
      <c r="N259" s="37"/>
      <c r="O259" s="37"/>
      <c r="P259" s="37"/>
      <c r="Q259" s="37"/>
      <c r="R259" s="37"/>
      <c r="S259" s="38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</row>
    <row r="260" spans="11:33">
      <c r="K260" s="37"/>
      <c r="L260" s="37"/>
      <c r="M260" s="37"/>
      <c r="N260" s="37"/>
      <c r="O260" s="37"/>
      <c r="P260" s="37"/>
      <c r="Q260" s="37"/>
      <c r="R260" s="37"/>
      <c r="S260" s="38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</row>
    <row r="261" spans="11:33">
      <c r="K261" s="37"/>
      <c r="L261" s="37"/>
      <c r="M261" s="37"/>
      <c r="N261" s="37"/>
      <c r="O261" s="37"/>
      <c r="P261" s="37"/>
      <c r="Q261" s="37"/>
      <c r="R261" s="37"/>
      <c r="S261" s="38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</row>
    <row r="262" spans="11:33">
      <c r="K262" s="37"/>
      <c r="L262" s="37"/>
      <c r="M262" s="37"/>
      <c r="N262" s="37"/>
      <c r="O262" s="37"/>
      <c r="P262" s="37"/>
      <c r="Q262" s="37"/>
      <c r="R262" s="37"/>
      <c r="S262" s="38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</row>
    <row r="263" spans="11:33">
      <c r="K263" s="37"/>
      <c r="L263" s="37"/>
      <c r="M263" s="37"/>
      <c r="N263" s="37"/>
      <c r="O263" s="37"/>
      <c r="P263" s="37"/>
      <c r="Q263" s="37"/>
      <c r="R263" s="37"/>
      <c r="S263" s="38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</row>
    <row r="264" spans="11:33">
      <c r="K264" s="37"/>
      <c r="L264" s="37"/>
      <c r="M264" s="37"/>
      <c r="N264" s="37"/>
      <c r="O264" s="37"/>
      <c r="P264" s="37"/>
      <c r="Q264" s="37"/>
      <c r="R264" s="37"/>
      <c r="S264" s="38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</row>
    <row r="265" spans="11:33">
      <c r="K265" s="37"/>
      <c r="L265" s="37"/>
      <c r="M265" s="37"/>
      <c r="N265" s="37"/>
      <c r="O265" s="37"/>
      <c r="P265" s="37"/>
      <c r="Q265" s="37"/>
      <c r="R265" s="37"/>
      <c r="S265" s="38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</row>
    <row r="266" spans="11:33">
      <c r="K266" s="37"/>
      <c r="L266" s="37"/>
      <c r="M266" s="37"/>
      <c r="N266" s="37"/>
      <c r="O266" s="37"/>
      <c r="P266" s="37"/>
      <c r="Q266" s="37"/>
      <c r="R266" s="37"/>
      <c r="S266" s="38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</row>
    <row r="267" spans="11:33">
      <c r="K267" s="37"/>
      <c r="L267" s="37"/>
      <c r="M267" s="37"/>
      <c r="N267" s="37"/>
      <c r="O267" s="37"/>
      <c r="P267" s="37"/>
      <c r="Q267" s="37"/>
      <c r="R267" s="37"/>
      <c r="S267" s="38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</row>
    <row r="268" spans="11:33">
      <c r="K268" s="37"/>
      <c r="L268" s="37"/>
      <c r="M268" s="37"/>
      <c r="N268" s="37"/>
      <c r="O268" s="37"/>
      <c r="P268" s="37"/>
      <c r="Q268" s="37"/>
      <c r="R268" s="37"/>
      <c r="S268" s="38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</row>
  </sheetData>
  <customSheetViews>
    <customSheetView guid="{E268F38E-0ADF-433A-B4A6-10EE55F57751}" scale="55" showPageBreaks="1" printArea="1" hiddenColumns="1" showRuler="0">
      <selection activeCell="A4" sqref="A4"/>
      <pageMargins left="0.24" right="0.23" top="0.23" bottom="0.2" header="0.2" footer="0.2"/>
      <pageSetup paperSize="9" scale="55" orientation="landscape" verticalDpi="0" r:id="rId1"/>
      <headerFooter alignWithMargins="0"/>
    </customSheetView>
  </customSheetViews>
  <mergeCells count="29">
    <mergeCell ref="AH6:AH7"/>
    <mergeCell ref="AC6:AC7"/>
    <mergeCell ref="AD6:AD7"/>
    <mergeCell ref="AE6:AE7"/>
    <mergeCell ref="AF6:AF7"/>
    <mergeCell ref="AG6:AG7"/>
    <mergeCell ref="X6:X7"/>
    <mergeCell ref="Y6:Y7"/>
    <mergeCell ref="Z6:Z7"/>
    <mergeCell ref="AA6:AA7"/>
    <mergeCell ref="AB6:AB7"/>
    <mergeCell ref="S6:S7"/>
    <mergeCell ref="T6:T7"/>
    <mergeCell ref="U6:U7"/>
    <mergeCell ref="V6:V7"/>
    <mergeCell ref="W6:W7"/>
    <mergeCell ref="M6:M7"/>
    <mergeCell ref="N6:N7"/>
    <mergeCell ref="O6:O7"/>
    <mergeCell ref="Q6:Q7"/>
    <mergeCell ref="R6:R7"/>
    <mergeCell ref="P6:P7"/>
    <mergeCell ref="B1:D1"/>
    <mergeCell ref="B2:J2"/>
    <mergeCell ref="B3:D5"/>
    <mergeCell ref="K6:K7"/>
    <mergeCell ref="L6:L7"/>
    <mergeCell ref="E3:E5"/>
    <mergeCell ref="F3:G5"/>
  </mergeCells>
  <phoneticPr fontId="5" type="noConversion"/>
  <conditionalFormatting sqref="B8:AG180">
    <cfRule type="expression" dxfId="36" priority="59" stopIfTrue="1">
      <formula>$A8&lt;&gt;""</formula>
    </cfRule>
  </conditionalFormatting>
  <conditionalFormatting sqref="D8:D180">
    <cfRule type="expression" dxfId="35" priority="57">
      <formula>$A8&lt;&gt;""</formula>
    </cfRule>
    <cfRule type="expression" dxfId="34" priority="58">
      <formula>$D8="nguyễn ngọc thắng"</formula>
    </cfRule>
  </conditionalFormatting>
  <conditionalFormatting sqref="K8:AG180">
    <cfRule type="expression" dxfId="33" priority="51">
      <formula>$A8&lt;&gt;""</formula>
    </cfRule>
    <cfRule type="expression" dxfId="32" priority="52">
      <formula>$D8="nguyễn ngọc thắng"</formula>
    </cfRule>
    <cfRule type="expression" dxfId="31" priority="53">
      <formula>$A8&lt;&gt;""</formula>
    </cfRule>
    <cfRule type="expression" dxfId="30" priority="54">
      <formula>$D8="nguyễn ngọc thắng"</formula>
    </cfRule>
    <cfRule type="expression" dxfId="29" priority="62">
      <formula>$A8&lt;&gt;""</formula>
    </cfRule>
    <cfRule type="expression" dxfId="28" priority="63">
      <formula>$D8="nguyễn ngọc thắng"</formula>
    </cfRule>
    <cfRule type="expression" dxfId="27" priority="68">
      <formula>$A8&lt;&gt;""</formula>
    </cfRule>
    <cfRule type="expression" dxfId="26" priority="69">
      <formula>$D8="nguyễn ngọc thắng"</formula>
    </cfRule>
    <cfRule type="expression" dxfId="25" priority="267" stopIfTrue="1">
      <formula>$D8="nguyễn ngọc thắng"</formula>
    </cfRule>
  </conditionalFormatting>
  <conditionalFormatting sqref="E8:J180">
    <cfRule type="expression" dxfId="24" priority="46" stopIfTrue="1">
      <formula>$A8&lt;&gt;""</formula>
    </cfRule>
    <cfRule type="expression" dxfId="23" priority="47" stopIfTrue="1">
      <formula>#REF!="nguyễn thị mai"</formula>
    </cfRule>
  </conditionalFormatting>
  <conditionalFormatting sqref="E8:J180">
    <cfRule type="expression" dxfId="22" priority="45" stopIfTrue="1">
      <formula>$A8&lt;&gt;""</formula>
    </cfRule>
  </conditionalFormatting>
  <conditionalFormatting sqref="J8:J180">
    <cfRule type="expression" dxfId="21" priority="43" stopIfTrue="1">
      <formula>$A8&lt;&gt;""</formula>
    </cfRule>
    <cfRule type="expression" dxfId="20" priority="44" stopIfTrue="1">
      <formula>#REF!="nguyễn thị mai"</formula>
    </cfRule>
  </conditionalFormatting>
  <conditionalFormatting sqref="L8:AF180">
    <cfRule type="expression" dxfId="19" priority="20" stopIfTrue="1">
      <formula>$A8&lt;&gt;""</formula>
    </cfRule>
  </conditionalFormatting>
  <conditionalFormatting sqref="L8:AF180">
    <cfRule type="expression" dxfId="18" priority="16">
      <formula>$A8&lt;&gt;""</formula>
    </cfRule>
    <cfRule type="expression" dxfId="17" priority="17">
      <formula>$D8="nguyễn ngọc thắng"</formula>
    </cfRule>
    <cfRule type="expression" dxfId="16" priority="18">
      <formula>$A8&lt;&gt;""</formula>
    </cfRule>
    <cfRule type="expression" dxfId="15" priority="19">
      <formula>$D8="nguyễn ngọc thắng"</formula>
    </cfRule>
    <cfRule type="expression" dxfId="14" priority="21">
      <formula>$A8&lt;&gt;""</formula>
    </cfRule>
    <cfRule type="expression" dxfId="13" priority="22">
      <formula>$D8="nguyễn ngọc thắng"</formula>
    </cfRule>
    <cfRule type="expression" dxfId="12" priority="23">
      <formula>$A8&lt;&gt;""</formula>
    </cfRule>
    <cfRule type="expression" dxfId="11" priority="24">
      <formula>$D8="nguyễn ngọc thắng"</formula>
    </cfRule>
    <cfRule type="expression" dxfId="10" priority="25" stopIfTrue="1">
      <formula>$D8="nguyễn ngọc thắng"</formula>
    </cfRule>
  </conditionalFormatting>
  <conditionalFormatting sqref="AH8:AH180">
    <cfRule type="expression" dxfId="9" priority="9" stopIfTrue="1">
      <formula>$A8&lt;&gt;""</formula>
    </cfRule>
  </conditionalFormatting>
  <conditionalFormatting sqref="AH8:AH180">
    <cfRule type="expression" dxfId="8" priority="5">
      <formula>$A8&lt;&gt;""</formula>
    </cfRule>
    <cfRule type="expression" dxfId="7" priority="6">
      <formula>$D8="nguyễn ngọc thắng"</formula>
    </cfRule>
    <cfRule type="expression" dxfId="6" priority="7">
      <formula>$A8&lt;&gt;""</formula>
    </cfRule>
    <cfRule type="expression" dxfId="5" priority="8">
      <formula>$D8="nguyễn ngọc thắng"</formula>
    </cfRule>
    <cfRule type="expression" dxfId="4" priority="10">
      <formula>$A8&lt;&gt;""</formula>
    </cfRule>
    <cfRule type="expression" dxfId="3" priority="11">
      <formula>$D8="nguyễn ngọc thắng"</formula>
    </cfRule>
    <cfRule type="expression" dxfId="2" priority="12">
      <formula>$A8&lt;&gt;""</formula>
    </cfRule>
    <cfRule type="expression" dxfId="1" priority="13">
      <formula>$D8="nguyễn ngọc thắng"</formula>
    </cfRule>
    <cfRule type="expression" dxfId="0" priority="14" stopIfTrue="1">
      <formula>$D8="nguyễn ngọc thắng"</formula>
    </cfRule>
  </conditionalFormatting>
  <conditionalFormatting sqref="L8:O180">
    <cfRule type="iconSet" priority="3">
      <iconSet iconSet="3Flags">
        <cfvo type="percent" val="0"/>
        <cfvo type="percent" val="33"/>
        <cfvo type="percent" val="67"/>
      </iconSet>
    </cfRule>
  </conditionalFormatting>
  <conditionalFormatting sqref="K8:AF180">
    <cfRule type="iconSet" priority="2">
      <iconSet iconSet="3Flags">
        <cfvo type="percent" val="0"/>
        <cfvo type="percent" val="33"/>
        <cfvo type="percent" val="67"/>
      </iconSet>
    </cfRule>
  </conditionalFormatting>
  <conditionalFormatting sqref="AG8:AG180">
    <cfRule type="iconSet" priority="1">
      <iconSet iconSet="3Flag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AK3">
      <formula1>hiden</formula1>
    </dataValidation>
  </dataValidations>
  <pageMargins left="0.03" right="0.16" top="0.2" bottom="0.2" header="0.2" footer="0.2"/>
  <pageSetup paperSize="9" scale="60" fitToHeight="0" orientation="landscape" r:id="rId2"/>
  <headerFooter alignWithMargins="0">
    <oddHeader>&amp;CKẾ HOẠCH SẢN XUẤT - QUY TRÌNH THỰC HIỆN</oddHeader>
  </headerFooter>
  <drawing r:id="rId3"/>
  <legacyDrawing r:id="rId4"/>
  <controls>
    <mc:AlternateContent xmlns:mc="http://schemas.openxmlformats.org/markup-compatibility/2006">
      <mc:Choice Requires="x14">
        <control shapeId="16431" r:id="rId5" name="Label1">
          <controlPr defaultSize="0" print="0" autoLine="0" autoPict="0" r:id="rId6">
            <anchor>
              <from>
                <xdr:col>344</xdr:col>
                <xdr:colOff>19050</xdr:colOff>
                <xdr:row>19617</xdr:row>
                <xdr:rowOff>142875</xdr:rowOff>
              </from>
              <to>
                <xdr:col>345</xdr:col>
                <xdr:colOff>1200150</xdr:colOff>
                <xdr:row>19617</xdr:row>
                <xdr:rowOff>142875</xdr:rowOff>
              </to>
            </anchor>
          </controlPr>
        </control>
      </mc:Choice>
      <mc:Fallback>
        <control shapeId="16431" r:id="rId5" name="Label1"/>
      </mc:Fallback>
    </mc:AlternateContent>
    <mc:AlternateContent xmlns:mc="http://schemas.openxmlformats.org/markup-compatibility/2006">
      <mc:Choice Requires="x14">
        <control shapeId="16429" r:id="rId7" name="CommandButton11">
          <controlPr defaultSize="0" print="0" autoLine="0" autoPict="0" r:id="rId8">
            <anchor>
              <from>
                <xdr:col>345</xdr:col>
                <xdr:colOff>1200150</xdr:colOff>
                <xdr:row>3602</xdr:row>
                <xdr:rowOff>104775</xdr:rowOff>
              </from>
              <to>
                <xdr:col>345</xdr:col>
                <xdr:colOff>1200150</xdr:colOff>
                <xdr:row>21829</xdr:row>
                <xdr:rowOff>104775</xdr:rowOff>
              </to>
            </anchor>
          </controlPr>
        </control>
      </mc:Choice>
      <mc:Fallback>
        <control shapeId="16429" r:id="rId7" name="CommandButton11"/>
      </mc:Fallback>
    </mc:AlternateContent>
    <mc:AlternateContent xmlns:mc="http://schemas.openxmlformats.org/markup-compatibility/2006">
      <mc:Choice Requires="x14">
        <control shapeId="16428" r:id="rId9" name="CommandButton10">
          <controlPr defaultSize="0" print="0" autoLine="0" autoPict="0" r:id="rId10">
            <anchor>
              <from>
                <xdr:col>345</xdr:col>
                <xdr:colOff>1200150</xdr:colOff>
                <xdr:row>3602</xdr:row>
                <xdr:rowOff>104775</xdr:rowOff>
              </from>
              <to>
                <xdr:col>345</xdr:col>
                <xdr:colOff>1200150</xdr:colOff>
                <xdr:row>21829</xdr:row>
                <xdr:rowOff>104775</xdr:rowOff>
              </to>
            </anchor>
          </controlPr>
        </control>
      </mc:Choice>
      <mc:Fallback>
        <control shapeId="16428" r:id="rId9" name="CommandButton10"/>
      </mc:Fallback>
    </mc:AlternateContent>
    <mc:AlternateContent xmlns:mc="http://schemas.openxmlformats.org/markup-compatibility/2006">
      <mc:Choice Requires="x14">
        <control shapeId="16427" r:id="rId11" name="CommandButton9">
          <controlPr defaultSize="0" print="0" autoLine="0" autoPict="0" r:id="rId12">
            <anchor>
              <from>
                <xdr:col>345</xdr:col>
                <xdr:colOff>1200150</xdr:colOff>
                <xdr:row>3602</xdr:row>
                <xdr:rowOff>104775</xdr:rowOff>
              </from>
              <to>
                <xdr:col>345</xdr:col>
                <xdr:colOff>1200150</xdr:colOff>
                <xdr:row>21829</xdr:row>
                <xdr:rowOff>104775</xdr:rowOff>
              </to>
            </anchor>
          </controlPr>
        </control>
      </mc:Choice>
      <mc:Fallback>
        <control shapeId="16427" r:id="rId11" name="CommandButton9"/>
      </mc:Fallback>
    </mc:AlternateContent>
    <mc:AlternateContent xmlns:mc="http://schemas.openxmlformats.org/markup-compatibility/2006">
      <mc:Choice Requires="x14">
        <control shapeId="16426" r:id="rId13" name="CommandButton8">
          <controlPr defaultSize="0" print="0" autoLine="0" autoPict="0" r:id="rId14">
            <anchor>
              <from>
                <xdr:col>345</xdr:col>
                <xdr:colOff>1200150</xdr:colOff>
                <xdr:row>22715</xdr:row>
                <xdr:rowOff>47625</xdr:rowOff>
              </from>
              <to>
                <xdr:col>345</xdr:col>
                <xdr:colOff>1200150</xdr:colOff>
                <xdr:row>26898</xdr:row>
                <xdr:rowOff>19050</xdr:rowOff>
              </to>
            </anchor>
          </controlPr>
        </control>
      </mc:Choice>
      <mc:Fallback>
        <control shapeId="16426" r:id="rId13" name="CommandButton8"/>
      </mc:Fallback>
    </mc:AlternateContent>
    <mc:AlternateContent xmlns:mc="http://schemas.openxmlformats.org/markup-compatibility/2006">
      <mc:Choice Requires="x14">
        <control shapeId="16425" r:id="rId15" name="CommandButton7">
          <controlPr defaultSize="0" print="0" autoLine="0" r:id="rId16">
            <anchor>
              <from>
                <xdr:col>345</xdr:col>
                <xdr:colOff>1181100</xdr:colOff>
                <xdr:row>31441</xdr:row>
                <xdr:rowOff>57150</xdr:rowOff>
              </from>
              <to>
                <xdr:col>345</xdr:col>
                <xdr:colOff>1219200</xdr:colOff>
                <xdr:row>31504</xdr:row>
                <xdr:rowOff>95250</xdr:rowOff>
              </to>
            </anchor>
          </controlPr>
        </control>
      </mc:Choice>
      <mc:Fallback>
        <control shapeId="16425" r:id="rId15" name="CommandButton7"/>
      </mc:Fallback>
    </mc:AlternateContent>
    <mc:AlternateContent xmlns:mc="http://schemas.openxmlformats.org/markup-compatibility/2006">
      <mc:Choice Requires="x14">
        <control shapeId="16424" r:id="rId17" name="CommandButton6">
          <controlPr defaultSize="0" print="0" autoLine="0" r:id="rId16">
            <anchor>
              <from>
                <xdr:col>345</xdr:col>
                <xdr:colOff>1181100</xdr:colOff>
                <xdr:row>31441</xdr:row>
                <xdr:rowOff>57150</xdr:rowOff>
              </from>
              <to>
                <xdr:col>345</xdr:col>
                <xdr:colOff>1219200</xdr:colOff>
                <xdr:row>31504</xdr:row>
                <xdr:rowOff>95250</xdr:rowOff>
              </to>
            </anchor>
          </controlPr>
        </control>
      </mc:Choice>
      <mc:Fallback>
        <control shapeId="16424" r:id="rId17" name="CommandButton6"/>
      </mc:Fallback>
    </mc:AlternateContent>
    <mc:AlternateContent xmlns:mc="http://schemas.openxmlformats.org/markup-compatibility/2006">
      <mc:Choice Requires="x14">
        <control shapeId="16423" r:id="rId18" name="CommandButton5">
          <controlPr defaultSize="0" print="0" autoLine="0" r:id="rId16">
            <anchor>
              <from>
                <xdr:col>345</xdr:col>
                <xdr:colOff>1181100</xdr:colOff>
                <xdr:row>31441</xdr:row>
                <xdr:rowOff>57150</xdr:rowOff>
              </from>
              <to>
                <xdr:col>345</xdr:col>
                <xdr:colOff>1219200</xdr:colOff>
                <xdr:row>31504</xdr:row>
                <xdr:rowOff>95250</xdr:rowOff>
              </to>
            </anchor>
          </controlPr>
        </control>
      </mc:Choice>
      <mc:Fallback>
        <control shapeId="16423" r:id="rId18" name="CommandButton5"/>
      </mc:Fallback>
    </mc:AlternateContent>
    <mc:AlternateContent xmlns:mc="http://schemas.openxmlformats.org/markup-compatibility/2006">
      <mc:Choice Requires="x14">
        <control shapeId="16422" r:id="rId19" name="CommandButton4">
          <controlPr defaultSize="0" print="0" autoLine="0" r:id="rId16">
            <anchor>
              <from>
                <xdr:col>345</xdr:col>
                <xdr:colOff>1181100</xdr:colOff>
                <xdr:row>31441</xdr:row>
                <xdr:rowOff>57150</xdr:rowOff>
              </from>
              <to>
                <xdr:col>345</xdr:col>
                <xdr:colOff>1219200</xdr:colOff>
                <xdr:row>31504</xdr:row>
                <xdr:rowOff>95250</xdr:rowOff>
              </to>
            </anchor>
          </controlPr>
        </control>
      </mc:Choice>
      <mc:Fallback>
        <control shapeId="16422" r:id="rId19" name="CommandButton4"/>
      </mc:Fallback>
    </mc:AlternateContent>
    <mc:AlternateContent xmlns:mc="http://schemas.openxmlformats.org/markup-compatibility/2006">
      <mc:Choice Requires="x14">
        <control shapeId="16421" r:id="rId20" name="CommandButton3">
          <controlPr defaultSize="0" print="0" autoLine="0" r:id="rId16">
            <anchor>
              <from>
                <xdr:col>345</xdr:col>
                <xdr:colOff>1181100</xdr:colOff>
                <xdr:row>31441</xdr:row>
                <xdr:rowOff>57150</xdr:rowOff>
              </from>
              <to>
                <xdr:col>345</xdr:col>
                <xdr:colOff>1219200</xdr:colOff>
                <xdr:row>31504</xdr:row>
                <xdr:rowOff>95250</xdr:rowOff>
              </to>
            </anchor>
          </controlPr>
        </control>
      </mc:Choice>
      <mc:Fallback>
        <control shapeId="16421" r:id="rId20" name="CommandButton3"/>
      </mc:Fallback>
    </mc:AlternateContent>
    <mc:AlternateContent xmlns:mc="http://schemas.openxmlformats.org/markup-compatibility/2006">
      <mc:Choice Requires="x14">
        <control shapeId="16420" r:id="rId21" name="CommandButton2">
          <controlPr defaultSize="0" print="0" autoLine="0" r:id="rId22">
            <anchor>
              <from>
                <xdr:col>345</xdr:col>
                <xdr:colOff>1181100</xdr:colOff>
                <xdr:row>26493</xdr:row>
                <xdr:rowOff>114300</xdr:rowOff>
              </from>
              <to>
                <xdr:col>345</xdr:col>
                <xdr:colOff>1209675</xdr:colOff>
                <xdr:row>26523</xdr:row>
                <xdr:rowOff>123825</xdr:rowOff>
              </to>
            </anchor>
          </controlPr>
        </control>
      </mc:Choice>
      <mc:Fallback>
        <control shapeId="16420" r:id="rId21" name="CommandButton2"/>
      </mc:Fallback>
    </mc:AlternateContent>
    <mc:AlternateContent xmlns:mc="http://schemas.openxmlformats.org/markup-compatibility/2006">
      <mc:Choice Requires="x14">
        <control shapeId="16419" r:id="rId23" name="CommandButton1">
          <controlPr defaultSize="0" print="0" autoLine="0" r:id="rId24">
            <anchor>
              <from>
                <xdr:col>344</xdr:col>
                <xdr:colOff>1304925</xdr:colOff>
                <xdr:row>25918</xdr:row>
                <xdr:rowOff>95250</xdr:rowOff>
              </from>
              <to>
                <xdr:col>344</xdr:col>
                <xdr:colOff>1323975</xdr:colOff>
                <xdr:row>25924</xdr:row>
                <xdr:rowOff>57150</xdr:rowOff>
              </to>
            </anchor>
          </controlPr>
        </control>
      </mc:Choice>
      <mc:Fallback>
        <control shapeId="16419" r:id="rId23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C2D7E46C-71C0-4C75-8039-E509EE975BAF}">
            <x14:iconSet iconSet="3Flags" custom="1">
              <x14:cfvo type="percent">
                <xm:f>0</xm:f>
              </x14:cfvo>
              <x14:cfvo type="percent">
                <xm:f>33</xm:f>
              </x14:cfvo>
              <x14:cfvo type="percentile">
                <xm:f>67</xm:f>
              </x14:cfvo>
              <x14:cfIcon iconSet="NoIcons" iconId="0"/>
              <x14:cfIcon iconSet="NoIcons" iconId="0"/>
              <x14:cfIcon iconSet="3Flags" iconId="0"/>
            </x14:iconSet>
          </x14:cfRule>
          <xm:sqref>L8:AF180</xm:sqref>
        </x14:conditionalFormatting>
        <x14:conditionalFormatting xmlns:xm="http://schemas.microsoft.com/office/excel/2006/main">
          <x14:cfRule type="iconSet" priority="4" id="{2DC98B71-561D-4BB1-B866-6FDA91BED949}">
            <x14:iconSet iconSet="3Flags" custom="1">
              <x14:cfvo type="percent">
                <xm:f>0</xm:f>
              </x14:cfvo>
              <x14:cfvo type="percent">
                <xm:f>33</xm:f>
              </x14:cfvo>
              <x14:cfvo type="num" gte="0">
                <xm:f>"&gt;0"</xm:f>
              </x14:cfvo>
              <x14:cfIcon iconSet="NoIcons" iconId="0"/>
              <x14:cfIcon iconSet="NoIcons" iconId="0"/>
              <x14:cfIcon iconSet="3Flags" iconId="2"/>
            </x14:iconSet>
          </x14:cfRule>
          <xm:sqref>AH8:AH180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</vt:lpstr>
      <vt:lpstr>kehoach</vt:lpstr>
      <vt:lpstr>hiden</vt:lpstr>
      <vt:lpstr>MDHSX</vt:lpstr>
      <vt:lpstr>kehoach!Print_Area</vt:lpstr>
      <vt:lpstr>kehoach!Print_Titles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CHI HIEN</dc:creator>
  <cp:lastModifiedBy>CHIHIEN</cp:lastModifiedBy>
  <cp:lastPrinted>2019-04-02T04:18:52Z</cp:lastPrinted>
  <dcterms:created xsi:type="dcterms:W3CDTF">2012-04-15T07:43:58Z</dcterms:created>
  <dcterms:modified xsi:type="dcterms:W3CDTF">2019-12-04T08:11:07Z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839f204d-931e-4480-b92b-b7cefeed46d5</vt:lpwstr>
  </property>
</Properties>
</file>